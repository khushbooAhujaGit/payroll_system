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ms-excel.sheet.macroEnabled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drawings/drawing2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vbaProject.bin" ContentType="application/vnd.ms-office.vbaProject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 codeName="{28389E77-7640-9E18-AD5C-E98E2F4A8B83}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hivam\Downloads\"/>
    </mc:Choice>
  </mc:AlternateContent>
  <xr:revisionPtr revIDLastSave="0" documentId="13_ncr:1_{700A5581-81BA-40C9-81E2-D6A60F72241B}" xr6:coauthVersionLast="47" xr6:coauthVersionMax="47" xr10:uidLastSave="{00000000-0000-0000-0000-000000000000}"/>
  <bookViews>
    <workbookView xWindow="-108" yWindow="-108" windowWidth="23256" windowHeight="12456" firstSheet="2" activeTab="2" xr2:uid="{385E0E59-E65F-42F2-AA85-10D9B8C892AB}"/>
  </bookViews>
  <sheets>
    <sheet name="Summary" sheetId="6" state="hidden" r:id="rId1"/>
    <sheet name="Monthly Summary" sheetId="3" r:id="rId2"/>
    <sheet name="Mark Leave" sheetId="5" r:id="rId3"/>
    <sheet name="Setting" sheetId="2" r:id="rId4"/>
    <sheet name="Exception" sheetId="8" state="hidden" r:id="rId5"/>
    <sheet name="EEMaster" sheetId="18" r:id="rId6"/>
    <sheet name="InFormat" sheetId="16" r:id="rId7"/>
    <sheet name="ExceptionWorking" sheetId="10" r:id="rId8"/>
    <sheet name="mailformat" sheetId="9" r:id="rId9"/>
  </sheets>
  <definedNames>
    <definedName name="_xlnm._FilterDatabase" localSheetId="4" hidden="1">Exception!$A$1:$M$563</definedName>
    <definedName name="_xlnm._FilterDatabase" localSheetId="7" hidden="1">ExceptionWorking!$AP$2:$AS$40</definedName>
    <definedName name="_xlnm._FilterDatabase" localSheetId="2" hidden="1">'Mark Leave'!$A$1:$H$4495</definedName>
    <definedName name="_xlnm._FilterDatabase" localSheetId="0" hidden="1">Summary!$B$4:$C$63</definedName>
    <definedName name="Emp_Code">OFFSET('Monthly Summary'!$A$5,,,COUNTA('Monthly Summary'!$A:$A)-1,1)</definedName>
    <definedName name="Emp_Name">OFFSET('Monthly Summary'!$B$5,,,COUNTA('Monthly Summary'!$A:$A)-1,1)</definedName>
    <definedName name="Employee_Name">EEMaster!$A$2:$A$112</definedName>
    <definedName name="ExternalData_1" localSheetId="6" hidden="1">InFormat!$A$1:$E$524</definedName>
    <definedName name="ExternalData_2" localSheetId="5" hidden="1">EEMaster!$A$1:$B$112</definedName>
    <definedName name="Leave_Code">OFFSET(Setting!#REF!,,,COUNTA(Setting!$B:$B)-1,1)</definedName>
    <definedName name="New_Emp_ID">EEMaster!$B$2:$B$112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3169" i="5" l="1"/>
  <c r="A2797" i="5"/>
  <c r="A2796" i="5"/>
  <c r="A2795" i="5"/>
  <c r="A4495" i="5"/>
  <c r="A3078" i="5"/>
  <c r="A3066" i="5"/>
  <c r="A3067" i="5"/>
  <c r="A2837" i="5"/>
  <c r="A4494" i="5"/>
  <c r="A2982" i="5"/>
  <c r="A2983" i="5"/>
  <c r="A2984" i="5"/>
  <c r="A2985" i="5"/>
  <c r="A2986" i="5"/>
  <c r="A2987" i="5"/>
  <c r="A2988" i="5"/>
  <c r="A2989" i="5"/>
  <c r="A2990" i="5"/>
  <c r="A2991" i="5"/>
  <c r="A2992" i="5"/>
  <c r="A2993" i="5"/>
  <c r="A2994" i="5"/>
  <c r="A2995" i="5"/>
  <c r="A2996" i="5"/>
  <c r="A2997" i="5"/>
  <c r="A2998" i="5"/>
  <c r="A2999" i="5"/>
  <c r="A3000" i="5"/>
  <c r="A3001" i="5"/>
  <c r="A3002" i="5"/>
  <c r="A3003" i="5"/>
  <c r="A3004" i="5"/>
  <c r="A3005" i="5"/>
  <c r="A3006" i="5"/>
  <c r="A3007" i="5"/>
  <c r="A3008" i="5"/>
  <c r="A3009" i="5"/>
  <c r="A3010" i="5"/>
  <c r="A3011" i="5"/>
  <c r="A3012" i="5"/>
  <c r="A3013" i="5"/>
  <c r="A3014" i="5"/>
  <c r="A3015" i="5"/>
  <c r="A3016" i="5"/>
  <c r="A3017" i="5"/>
  <c r="A3018" i="5"/>
  <c r="A3019" i="5"/>
  <c r="A3020" i="5"/>
  <c r="A3021" i="5"/>
  <c r="A3022" i="5"/>
  <c r="A3023" i="5"/>
  <c r="A3024" i="5"/>
  <c r="A3025" i="5"/>
  <c r="A3026" i="5"/>
  <c r="A3027" i="5"/>
  <c r="A3028" i="5"/>
  <c r="A3029" i="5"/>
  <c r="A3030" i="5"/>
  <c r="A3031" i="5"/>
  <c r="A3032" i="5"/>
  <c r="A3033" i="5"/>
  <c r="A3034" i="5"/>
  <c r="A3035" i="5"/>
  <c r="A3036" i="5"/>
  <c r="A3037" i="5"/>
  <c r="A3038" i="5"/>
  <c r="A3039" i="5"/>
  <c r="A3040" i="5"/>
  <c r="A3041" i="5"/>
  <c r="A3042" i="5"/>
  <c r="A3043" i="5"/>
  <c r="A3044" i="5"/>
  <c r="A3045" i="5"/>
  <c r="A3046" i="5"/>
  <c r="A3047" i="5"/>
  <c r="A3048" i="5"/>
  <c r="A3049" i="5"/>
  <c r="A3050" i="5"/>
  <c r="A3051" i="5"/>
  <c r="A3052" i="5"/>
  <c r="A3053" i="5"/>
  <c r="A3054" i="5"/>
  <c r="A3055" i="5"/>
  <c r="A3056" i="5"/>
  <c r="A3057" i="5"/>
  <c r="A3058" i="5"/>
  <c r="A3059" i="5"/>
  <c r="A3060" i="5"/>
  <c r="A3061" i="5"/>
  <c r="A3062" i="5"/>
  <c r="A3063" i="5"/>
  <c r="A3064" i="5"/>
  <c r="A3065" i="5"/>
  <c r="A3068" i="5"/>
  <c r="A3069" i="5"/>
  <c r="A3070" i="5"/>
  <c r="A3071" i="5"/>
  <c r="A3072" i="5"/>
  <c r="A3073" i="5"/>
  <c r="A3074" i="5"/>
  <c r="A3075" i="5"/>
  <c r="A3076" i="5"/>
  <c r="A3077" i="5"/>
  <c r="A3079" i="5"/>
  <c r="A3080" i="5"/>
  <c r="A3081" i="5"/>
  <c r="A3082" i="5"/>
  <c r="A3083" i="5"/>
  <c r="A3084" i="5"/>
  <c r="A3085" i="5"/>
  <c r="A3086" i="5"/>
  <c r="A3087" i="5"/>
  <c r="A3088" i="5"/>
  <c r="A3089" i="5"/>
  <c r="A3090" i="5"/>
  <c r="A3091" i="5"/>
  <c r="A3092" i="5"/>
  <c r="A3093" i="5"/>
  <c r="A3094" i="5"/>
  <c r="A3095" i="5"/>
  <c r="A3096" i="5"/>
  <c r="A3097" i="5"/>
  <c r="A3098" i="5"/>
  <c r="A3099" i="5"/>
  <c r="A3100" i="5"/>
  <c r="A3101" i="5"/>
  <c r="A3102" i="5"/>
  <c r="A3103" i="5"/>
  <c r="A3104" i="5"/>
  <c r="A3105" i="5"/>
  <c r="A3106" i="5"/>
  <c r="A3107" i="5"/>
  <c r="A3108" i="5"/>
  <c r="A3109" i="5"/>
  <c r="A3110" i="5"/>
  <c r="A3111" i="5"/>
  <c r="A3112" i="5"/>
  <c r="A3113" i="5"/>
  <c r="A3114" i="5"/>
  <c r="A3115" i="5"/>
  <c r="A3116" i="5"/>
  <c r="A3117" i="5"/>
  <c r="A3118" i="5"/>
  <c r="A3119" i="5"/>
  <c r="A3120" i="5"/>
  <c r="A3121" i="5"/>
  <c r="A3122" i="5"/>
  <c r="A3123" i="5"/>
  <c r="A3124" i="5"/>
  <c r="A3125" i="5"/>
  <c r="A3126" i="5"/>
  <c r="A3127" i="5"/>
  <c r="A3128" i="5"/>
  <c r="A3129" i="5"/>
  <c r="A3130" i="5"/>
  <c r="A3131" i="5"/>
  <c r="A3132" i="5"/>
  <c r="A3133" i="5"/>
  <c r="A3134" i="5"/>
  <c r="A3135" i="5"/>
  <c r="A3136" i="5"/>
  <c r="A3137" i="5"/>
  <c r="A3138" i="5"/>
  <c r="A3139" i="5"/>
  <c r="A3140" i="5"/>
  <c r="A3141" i="5"/>
  <c r="A3142" i="5"/>
  <c r="A3143" i="5"/>
  <c r="A3144" i="5"/>
  <c r="A3145" i="5"/>
  <c r="A3146" i="5"/>
  <c r="A3147" i="5"/>
  <c r="A3148" i="5"/>
  <c r="A3149" i="5"/>
  <c r="A3150" i="5"/>
  <c r="A3151" i="5"/>
  <c r="A3152" i="5"/>
  <c r="A3153" i="5"/>
  <c r="A3154" i="5"/>
  <c r="A3155" i="5"/>
  <c r="A3156" i="5"/>
  <c r="A3157" i="5"/>
  <c r="A3158" i="5"/>
  <c r="A3159" i="5"/>
  <c r="A3160" i="5"/>
  <c r="A3161" i="5"/>
  <c r="A3162" i="5"/>
  <c r="A3163" i="5"/>
  <c r="A3164" i="5"/>
  <c r="A3165" i="5"/>
  <c r="A3166" i="5"/>
  <c r="A3167" i="5"/>
  <c r="A3168" i="5"/>
  <c r="A3170" i="5"/>
  <c r="A3171" i="5"/>
  <c r="A3172" i="5"/>
  <c r="A3173" i="5"/>
  <c r="A3174" i="5"/>
  <c r="A3175" i="5"/>
  <c r="A3176" i="5"/>
  <c r="A3177" i="5"/>
  <c r="A3178" i="5"/>
  <c r="A3179" i="5"/>
  <c r="A3180" i="5"/>
  <c r="A3181" i="5"/>
  <c r="A3182" i="5"/>
  <c r="A3183" i="5"/>
  <c r="A3184" i="5"/>
  <c r="A3185" i="5"/>
  <c r="A3186" i="5"/>
  <c r="A3187" i="5"/>
  <c r="A3188" i="5"/>
  <c r="A3189" i="5"/>
  <c r="A3190" i="5"/>
  <c r="A3191" i="5"/>
  <c r="A3192" i="5"/>
  <c r="A3193" i="5"/>
  <c r="A3194" i="5"/>
  <c r="A3195" i="5"/>
  <c r="A3196" i="5"/>
  <c r="A3197" i="5"/>
  <c r="A3198" i="5"/>
  <c r="A3199" i="5"/>
  <c r="A3200" i="5"/>
  <c r="A3201" i="5"/>
  <c r="A3202" i="5"/>
  <c r="A3203" i="5"/>
  <c r="A3204" i="5"/>
  <c r="A3205" i="5"/>
  <c r="A3206" i="5"/>
  <c r="A3207" i="5"/>
  <c r="A3208" i="5"/>
  <c r="A3209" i="5"/>
  <c r="A3210" i="5"/>
  <c r="A3211" i="5"/>
  <c r="A3212" i="5"/>
  <c r="A3213" i="5"/>
  <c r="A3214" i="5"/>
  <c r="A3215" i="5"/>
  <c r="A3216" i="5"/>
  <c r="A3217" i="5"/>
  <c r="A3218" i="5"/>
  <c r="A3219" i="5"/>
  <c r="A3220" i="5"/>
  <c r="A3221" i="5"/>
  <c r="A3222" i="5"/>
  <c r="A3223" i="5"/>
  <c r="A3224" i="5"/>
  <c r="A3225" i="5"/>
  <c r="A3226" i="5"/>
  <c r="A3227" i="5"/>
  <c r="A3228" i="5"/>
  <c r="A3229" i="5"/>
  <c r="A3230" i="5"/>
  <c r="A3231" i="5"/>
  <c r="A3232" i="5"/>
  <c r="A3233" i="5"/>
  <c r="A3234" i="5"/>
  <c r="A3235" i="5"/>
  <c r="A3236" i="5"/>
  <c r="A3237" i="5"/>
  <c r="A3238" i="5"/>
  <c r="A3239" i="5"/>
  <c r="A3240" i="5"/>
  <c r="A3241" i="5"/>
  <c r="A3242" i="5"/>
  <c r="A3243" i="5"/>
  <c r="A3244" i="5"/>
  <c r="A3245" i="5"/>
  <c r="A3246" i="5"/>
  <c r="A3247" i="5"/>
  <c r="A3248" i="5"/>
  <c r="A3249" i="5"/>
  <c r="A3250" i="5"/>
  <c r="A3251" i="5"/>
  <c r="A3252" i="5"/>
  <c r="A3253" i="5"/>
  <c r="A3254" i="5"/>
  <c r="A3255" i="5"/>
  <c r="A3256" i="5"/>
  <c r="A3257" i="5"/>
  <c r="A3258" i="5"/>
  <c r="A3259" i="5"/>
  <c r="A3260" i="5"/>
  <c r="A3261" i="5"/>
  <c r="A3262" i="5"/>
  <c r="A3263" i="5"/>
  <c r="A3264" i="5"/>
  <c r="A3265" i="5"/>
  <c r="A3266" i="5"/>
  <c r="A3267" i="5"/>
  <c r="A3268" i="5"/>
  <c r="A3269" i="5"/>
  <c r="A3270" i="5"/>
  <c r="A3271" i="5"/>
  <c r="A3272" i="5"/>
  <c r="A3273" i="5"/>
  <c r="A3274" i="5"/>
  <c r="A3275" i="5"/>
  <c r="A3276" i="5"/>
  <c r="A3277" i="5"/>
  <c r="A3278" i="5"/>
  <c r="A3279" i="5"/>
  <c r="A3280" i="5"/>
  <c r="A3281" i="5"/>
  <c r="A3282" i="5"/>
  <c r="A3283" i="5"/>
  <c r="A3284" i="5"/>
  <c r="A3285" i="5"/>
  <c r="A3286" i="5"/>
  <c r="A3287" i="5"/>
  <c r="A3288" i="5"/>
  <c r="A3289" i="5"/>
  <c r="A3290" i="5"/>
  <c r="A3291" i="5"/>
  <c r="A3292" i="5"/>
  <c r="A3293" i="5"/>
  <c r="A3294" i="5"/>
  <c r="A3295" i="5"/>
  <c r="A3296" i="5"/>
  <c r="A3297" i="5"/>
  <c r="A3298" i="5"/>
  <c r="A3299" i="5"/>
  <c r="A3300" i="5"/>
  <c r="A3301" i="5"/>
  <c r="A3302" i="5"/>
  <c r="A3303" i="5"/>
  <c r="A3304" i="5"/>
  <c r="A3305" i="5"/>
  <c r="A3306" i="5"/>
  <c r="A3307" i="5"/>
  <c r="A3308" i="5"/>
  <c r="A3309" i="5"/>
  <c r="A3310" i="5"/>
  <c r="A3311" i="5"/>
  <c r="A3312" i="5"/>
  <c r="A3313" i="5"/>
  <c r="A3314" i="5"/>
  <c r="A3315" i="5"/>
  <c r="A3316" i="5"/>
  <c r="A3317" i="5"/>
  <c r="A3318" i="5"/>
  <c r="A3319" i="5"/>
  <c r="A3320" i="5"/>
  <c r="A3321" i="5"/>
  <c r="A3322" i="5"/>
  <c r="A3323" i="5"/>
  <c r="A3324" i="5"/>
  <c r="A3325" i="5"/>
  <c r="A3326" i="5"/>
  <c r="A3327" i="5"/>
  <c r="A3328" i="5"/>
  <c r="A3329" i="5"/>
  <c r="A3330" i="5"/>
  <c r="A3331" i="5"/>
  <c r="A3332" i="5"/>
  <c r="A3333" i="5"/>
  <c r="A3334" i="5"/>
  <c r="A3335" i="5"/>
  <c r="A3336" i="5"/>
  <c r="A3337" i="5"/>
  <c r="A3338" i="5"/>
  <c r="A3339" i="5"/>
  <c r="A3340" i="5"/>
  <c r="A3341" i="5"/>
  <c r="A3342" i="5"/>
  <c r="A3343" i="5"/>
  <c r="A3344" i="5"/>
  <c r="A3345" i="5"/>
  <c r="A3346" i="5"/>
  <c r="A3347" i="5"/>
  <c r="A3348" i="5"/>
  <c r="A3349" i="5"/>
  <c r="A3350" i="5"/>
  <c r="A3351" i="5"/>
  <c r="A3352" i="5"/>
  <c r="A3353" i="5"/>
  <c r="A3354" i="5"/>
  <c r="A3355" i="5"/>
  <c r="A3356" i="5"/>
  <c r="A3357" i="5"/>
  <c r="A3358" i="5"/>
  <c r="A3359" i="5"/>
  <c r="A3360" i="5"/>
  <c r="A3361" i="5"/>
  <c r="A3362" i="5"/>
  <c r="A3363" i="5"/>
  <c r="A3364" i="5"/>
  <c r="A3365" i="5"/>
  <c r="A3366" i="5"/>
  <c r="A3367" i="5"/>
  <c r="A3368" i="5"/>
  <c r="A3369" i="5"/>
  <c r="A3370" i="5"/>
  <c r="A3371" i="5"/>
  <c r="A3372" i="5"/>
  <c r="A3373" i="5"/>
  <c r="A3374" i="5"/>
  <c r="A3375" i="5"/>
  <c r="A3376" i="5"/>
  <c r="A3377" i="5"/>
  <c r="A3378" i="5"/>
  <c r="A3379" i="5"/>
  <c r="A3380" i="5"/>
  <c r="A3381" i="5"/>
  <c r="A3382" i="5"/>
  <c r="A3383" i="5"/>
  <c r="A3384" i="5"/>
  <c r="A3385" i="5"/>
  <c r="A3386" i="5"/>
  <c r="A3387" i="5"/>
  <c r="A3388" i="5"/>
  <c r="A3389" i="5"/>
  <c r="A3390" i="5"/>
  <c r="A3391" i="5"/>
  <c r="A3392" i="5"/>
  <c r="A3393" i="5"/>
  <c r="A3394" i="5"/>
  <c r="A3395" i="5"/>
  <c r="A3396" i="5"/>
  <c r="A3397" i="5"/>
  <c r="A3398" i="5"/>
  <c r="A3399" i="5"/>
  <c r="A3400" i="5"/>
  <c r="A3401" i="5"/>
  <c r="A3402" i="5"/>
  <c r="A3403" i="5"/>
  <c r="A3404" i="5"/>
  <c r="A3405" i="5"/>
  <c r="A3406" i="5"/>
  <c r="A3407" i="5"/>
  <c r="A3408" i="5"/>
  <c r="A3409" i="5"/>
  <c r="A3410" i="5"/>
  <c r="A3411" i="5"/>
  <c r="A3412" i="5"/>
  <c r="A3413" i="5"/>
  <c r="A3414" i="5"/>
  <c r="A3415" i="5"/>
  <c r="A3416" i="5"/>
  <c r="A3417" i="5"/>
  <c r="A3418" i="5"/>
  <c r="A3419" i="5"/>
  <c r="A3420" i="5"/>
  <c r="A3421" i="5"/>
  <c r="A3422" i="5"/>
  <c r="A3423" i="5"/>
  <c r="A3424" i="5"/>
  <c r="A3425" i="5"/>
  <c r="A3426" i="5"/>
  <c r="A3427" i="5"/>
  <c r="A3428" i="5"/>
  <c r="A3429" i="5"/>
  <c r="A3430" i="5"/>
  <c r="A3431" i="5"/>
  <c r="A3432" i="5"/>
  <c r="A3433" i="5"/>
  <c r="A3434" i="5"/>
  <c r="A3435" i="5"/>
  <c r="A3436" i="5"/>
  <c r="A3437" i="5"/>
  <c r="A3438" i="5"/>
  <c r="A3439" i="5"/>
  <c r="A3440" i="5"/>
  <c r="A3441" i="5"/>
  <c r="A3442" i="5"/>
  <c r="A3443" i="5"/>
  <c r="A3444" i="5"/>
  <c r="A3445" i="5"/>
  <c r="A3446" i="5"/>
  <c r="A3447" i="5"/>
  <c r="A3448" i="5"/>
  <c r="A3449" i="5"/>
  <c r="A3450" i="5"/>
  <c r="A3451" i="5"/>
  <c r="A3452" i="5"/>
  <c r="A3453" i="5"/>
  <c r="A3454" i="5"/>
  <c r="A3455" i="5"/>
  <c r="A3456" i="5"/>
  <c r="A3457" i="5"/>
  <c r="A3458" i="5"/>
  <c r="A3459" i="5"/>
  <c r="A3460" i="5"/>
  <c r="A3461" i="5"/>
  <c r="A3462" i="5"/>
  <c r="A3463" i="5"/>
  <c r="A3464" i="5"/>
  <c r="A3465" i="5"/>
  <c r="A3466" i="5"/>
  <c r="A3467" i="5"/>
  <c r="A3468" i="5"/>
  <c r="A3469" i="5"/>
  <c r="A3470" i="5"/>
  <c r="A3471" i="5"/>
  <c r="A3472" i="5"/>
  <c r="A3473" i="5"/>
  <c r="A3474" i="5"/>
  <c r="A3475" i="5"/>
  <c r="A3476" i="5"/>
  <c r="A3477" i="5"/>
  <c r="A3478" i="5"/>
  <c r="A3479" i="5"/>
  <c r="A3480" i="5"/>
  <c r="A3481" i="5"/>
  <c r="A3482" i="5"/>
  <c r="A3483" i="5"/>
  <c r="A3484" i="5"/>
  <c r="A3485" i="5"/>
  <c r="A3486" i="5"/>
  <c r="A3487" i="5"/>
  <c r="A3488" i="5"/>
  <c r="A3489" i="5"/>
  <c r="A3490" i="5"/>
  <c r="A3491" i="5"/>
  <c r="A3492" i="5"/>
  <c r="A3493" i="5"/>
  <c r="A3494" i="5"/>
  <c r="A3495" i="5"/>
  <c r="A3496" i="5"/>
  <c r="A3497" i="5"/>
  <c r="A3498" i="5"/>
  <c r="A3499" i="5"/>
  <c r="A3500" i="5"/>
  <c r="A3501" i="5"/>
  <c r="A3502" i="5"/>
  <c r="A3503" i="5"/>
  <c r="A3504" i="5"/>
  <c r="A3505" i="5"/>
  <c r="A3506" i="5"/>
  <c r="A3507" i="5"/>
  <c r="A3508" i="5"/>
  <c r="A3509" i="5"/>
  <c r="A3510" i="5"/>
  <c r="A3511" i="5"/>
  <c r="A3512" i="5"/>
  <c r="A3513" i="5"/>
  <c r="A3514" i="5"/>
  <c r="A3515" i="5"/>
  <c r="A3516" i="5"/>
  <c r="A3517" i="5"/>
  <c r="A3518" i="5"/>
  <c r="A3519" i="5"/>
  <c r="A3520" i="5"/>
  <c r="A3521" i="5"/>
  <c r="A3522" i="5"/>
  <c r="A3523" i="5"/>
  <c r="A3524" i="5"/>
  <c r="A3525" i="5"/>
  <c r="A3526" i="5"/>
  <c r="A3527" i="5"/>
  <c r="A3528" i="5"/>
  <c r="A3529" i="5"/>
  <c r="A3530" i="5"/>
  <c r="A3531" i="5"/>
  <c r="A3532" i="5"/>
  <c r="A3533" i="5"/>
  <c r="A3534" i="5"/>
  <c r="A3535" i="5"/>
  <c r="A3536" i="5"/>
  <c r="A3537" i="5"/>
  <c r="A3538" i="5"/>
  <c r="A3539" i="5"/>
  <c r="A3540" i="5"/>
  <c r="A3541" i="5"/>
  <c r="A3542" i="5"/>
  <c r="A3543" i="5"/>
  <c r="A3544" i="5"/>
  <c r="A3545" i="5"/>
  <c r="A3546" i="5"/>
  <c r="A3547" i="5"/>
  <c r="A3548" i="5"/>
  <c r="A3549" i="5"/>
  <c r="A3550" i="5"/>
  <c r="A3551" i="5"/>
  <c r="A3552" i="5"/>
  <c r="A3553" i="5"/>
  <c r="A3554" i="5"/>
  <c r="A3555" i="5"/>
  <c r="A3556" i="5"/>
  <c r="A3557" i="5"/>
  <c r="A3558" i="5"/>
  <c r="A3559" i="5"/>
  <c r="A3560" i="5"/>
  <c r="A3561" i="5"/>
  <c r="A3562" i="5"/>
  <c r="A3563" i="5"/>
  <c r="A3564" i="5"/>
  <c r="A3565" i="5"/>
  <c r="A3566" i="5"/>
  <c r="A3567" i="5"/>
  <c r="A3568" i="5"/>
  <c r="A3569" i="5"/>
  <c r="A3570" i="5"/>
  <c r="A3571" i="5"/>
  <c r="A3572" i="5"/>
  <c r="A3573" i="5"/>
  <c r="A3574" i="5"/>
  <c r="A3575" i="5"/>
  <c r="A3576" i="5"/>
  <c r="A3577" i="5"/>
  <c r="A3578" i="5"/>
  <c r="A3579" i="5"/>
  <c r="A3580" i="5"/>
  <c r="A3581" i="5"/>
  <c r="A3582" i="5"/>
  <c r="A3583" i="5"/>
  <c r="A3584" i="5"/>
  <c r="A3585" i="5"/>
  <c r="A3586" i="5"/>
  <c r="A3587" i="5"/>
  <c r="A3588" i="5"/>
  <c r="A3589" i="5"/>
  <c r="A3590" i="5"/>
  <c r="A3591" i="5"/>
  <c r="A3592" i="5"/>
  <c r="A3593" i="5"/>
  <c r="A3594" i="5"/>
  <c r="A3595" i="5"/>
  <c r="A3596" i="5"/>
  <c r="A3597" i="5"/>
  <c r="A3598" i="5"/>
  <c r="A3599" i="5"/>
  <c r="A3600" i="5"/>
  <c r="A3601" i="5"/>
  <c r="A3602" i="5"/>
  <c r="A3603" i="5"/>
  <c r="A3604" i="5"/>
  <c r="A3605" i="5"/>
  <c r="A3606" i="5"/>
  <c r="A3607" i="5"/>
  <c r="A3608" i="5"/>
  <c r="A3609" i="5"/>
  <c r="A3610" i="5"/>
  <c r="A3611" i="5"/>
  <c r="A3612" i="5"/>
  <c r="A3613" i="5"/>
  <c r="A3614" i="5"/>
  <c r="A3615" i="5"/>
  <c r="A3616" i="5"/>
  <c r="A3617" i="5"/>
  <c r="A3618" i="5"/>
  <c r="A3619" i="5"/>
  <c r="A3620" i="5"/>
  <c r="A3621" i="5"/>
  <c r="A3622" i="5"/>
  <c r="A3623" i="5"/>
  <c r="A3624" i="5"/>
  <c r="A3625" i="5"/>
  <c r="A3626" i="5"/>
  <c r="A3627" i="5"/>
  <c r="A3628" i="5"/>
  <c r="A3629" i="5"/>
  <c r="A3630" i="5"/>
  <c r="A3631" i="5"/>
  <c r="A3632" i="5"/>
  <c r="A3633" i="5"/>
  <c r="A3634" i="5"/>
  <c r="A3635" i="5"/>
  <c r="A3636" i="5"/>
  <c r="A3637" i="5"/>
  <c r="A3638" i="5"/>
  <c r="A3639" i="5"/>
  <c r="A3640" i="5"/>
  <c r="A3641" i="5"/>
  <c r="A3642" i="5"/>
  <c r="A3643" i="5"/>
  <c r="A3644" i="5"/>
  <c r="A3645" i="5"/>
  <c r="A3646" i="5"/>
  <c r="A3647" i="5"/>
  <c r="A3648" i="5"/>
  <c r="A3649" i="5"/>
  <c r="A3650" i="5"/>
  <c r="A3651" i="5"/>
  <c r="A3652" i="5"/>
  <c r="A3653" i="5"/>
  <c r="A3654" i="5"/>
  <c r="A3655" i="5"/>
  <c r="A3656" i="5"/>
  <c r="A3657" i="5"/>
  <c r="A3658" i="5"/>
  <c r="A3659" i="5"/>
  <c r="A3660" i="5"/>
  <c r="A3661" i="5"/>
  <c r="A3662" i="5"/>
  <c r="A3663" i="5"/>
  <c r="A3664" i="5"/>
  <c r="A3665" i="5"/>
  <c r="A3666" i="5"/>
  <c r="A3667" i="5"/>
  <c r="A3668" i="5"/>
  <c r="A3669" i="5"/>
  <c r="A3670" i="5"/>
  <c r="A3671" i="5"/>
  <c r="A3672" i="5"/>
  <c r="A3673" i="5"/>
  <c r="A3674" i="5"/>
  <c r="A3675" i="5"/>
  <c r="A3676" i="5"/>
  <c r="A3677" i="5"/>
  <c r="A3678" i="5"/>
  <c r="A3679" i="5"/>
  <c r="A3680" i="5"/>
  <c r="A3681" i="5"/>
  <c r="A3682" i="5"/>
  <c r="A3683" i="5"/>
  <c r="A3684" i="5"/>
  <c r="A3685" i="5"/>
  <c r="A3686" i="5"/>
  <c r="A3687" i="5"/>
  <c r="A3688" i="5"/>
  <c r="A3689" i="5"/>
  <c r="A3690" i="5"/>
  <c r="A3691" i="5"/>
  <c r="A3692" i="5"/>
  <c r="A3693" i="5"/>
  <c r="A3694" i="5"/>
  <c r="A3695" i="5"/>
  <c r="A3696" i="5"/>
  <c r="A3697" i="5"/>
  <c r="A3698" i="5"/>
  <c r="A3699" i="5"/>
  <c r="A3700" i="5"/>
  <c r="A3701" i="5"/>
  <c r="A3702" i="5"/>
  <c r="A3703" i="5"/>
  <c r="A3704" i="5"/>
  <c r="A3705" i="5"/>
  <c r="A3706" i="5"/>
  <c r="A3707" i="5"/>
  <c r="A3708" i="5"/>
  <c r="A3709" i="5"/>
  <c r="A3710" i="5"/>
  <c r="A3711" i="5"/>
  <c r="A3712" i="5"/>
  <c r="A3713" i="5"/>
  <c r="A3714" i="5"/>
  <c r="A3715" i="5"/>
  <c r="A3716" i="5"/>
  <c r="A3717" i="5"/>
  <c r="A3718" i="5"/>
  <c r="A3719" i="5"/>
  <c r="A3720" i="5"/>
  <c r="A3721" i="5"/>
  <c r="A3722" i="5"/>
  <c r="A3723" i="5"/>
  <c r="A3724" i="5"/>
  <c r="A3725" i="5"/>
  <c r="A3726" i="5"/>
  <c r="A3727" i="5"/>
  <c r="A3728" i="5"/>
  <c r="A3729" i="5"/>
  <c r="A3730" i="5"/>
  <c r="A3731" i="5"/>
  <c r="A3732" i="5"/>
  <c r="A3733" i="5"/>
  <c r="A3734" i="5"/>
  <c r="A3735" i="5"/>
  <c r="A3736" i="5"/>
  <c r="A3737" i="5"/>
  <c r="A3738" i="5"/>
  <c r="A3739" i="5"/>
  <c r="A3740" i="5"/>
  <c r="A3741" i="5"/>
  <c r="A3742" i="5"/>
  <c r="A3743" i="5"/>
  <c r="A3744" i="5"/>
  <c r="A3745" i="5"/>
  <c r="A3746" i="5"/>
  <c r="A3747" i="5"/>
  <c r="A3748" i="5"/>
  <c r="A3749" i="5"/>
  <c r="A3750" i="5"/>
  <c r="A3751" i="5"/>
  <c r="A3752" i="5"/>
  <c r="A3753" i="5"/>
  <c r="A3754" i="5"/>
  <c r="A3755" i="5"/>
  <c r="A3756" i="5"/>
  <c r="A3757" i="5"/>
  <c r="A3758" i="5"/>
  <c r="A3759" i="5"/>
  <c r="A3760" i="5"/>
  <c r="A3761" i="5"/>
  <c r="A3762" i="5"/>
  <c r="A3763" i="5"/>
  <c r="A3764" i="5"/>
  <c r="A3765" i="5"/>
  <c r="A3766" i="5"/>
  <c r="A3767" i="5"/>
  <c r="A3768" i="5"/>
  <c r="A3769" i="5"/>
  <c r="A3770" i="5"/>
  <c r="A3771" i="5"/>
  <c r="A3772" i="5"/>
  <c r="A3773" i="5"/>
  <c r="A3774" i="5"/>
  <c r="A3775" i="5"/>
  <c r="A3776" i="5"/>
  <c r="A3777" i="5"/>
  <c r="A3778" i="5"/>
  <c r="A3779" i="5"/>
  <c r="A3780" i="5"/>
  <c r="A3781" i="5"/>
  <c r="A3782" i="5"/>
  <c r="A3783" i="5"/>
  <c r="A3784" i="5"/>
  <c r="A3785" i="5"/>
  <c r="A3786" i="5"/>
  <c r="A3787" i="5"/>
  <c r="A3788" i="5"/>
  <c r="A3789" i="5"/>
  <c r="A3790" i="5"/>
  <c r="A3791" i="5"/>
  <c r="A3792" i="5"/>
  <c r="A3793" i="5"/>
  <c r="A3794" i="5"/>
  <c r="A3795" i="5"/>
  <c r="A3796" i="5"/>
  <c r="A3797" i="5"/>
  <c r="A3798" i="5"/>
  <c r="A3799" i="5"/>
  <c r="A3800" i="5"/>
  <c r="A3801" i="5"/>
  <c r="A3802" i="5"/>
  <c r="A3803" i="5"/>
  <c r="A3804" i="5"/>
  <c r="A3805" i="5"/>
  <c r="A3806" i="5"/>
  <c r="A3807" i="5"/>
  <c r="A3808" i="5"/>
  <c r="A3809" i="5"/>
  <c r="A3810" i="5"/>
  <c r="A3811" i="5"/>
  <c r="A3812" i="5"/>
  <c r="A3813" i="5"/>
  <c r="A3814" i="5"/>
  <c r="A3815" i="5"/>
  <c r="A3816" i="5"/>
  <c r="A3817" i="5"/>
  <c r="A3818" i="5"/>
  <c r="A3819" i="5"/>
  <c r="A3820" i="5"/>
  <c r="A3821" i="5"/>
  <c r="A3822" i="5"/>
  <c r="A3823" i="5"/>
  <c r="A3824" i="5"/>
  <c r="A3825" i="5"/>
  <c r="A3826" i="5"/>
  <c r="A3827" i="5"/>
  <c r="A3828" i="5"/>
  <c r="A3829" i="5"/>
  <c r="A3830" i="5"/>
  <c r="A3831" i="5"/>
  <c r="A3832" i="5"/>
  <c r="A3833" i="5"/>
  <c r="A3834" i="5"/>
  <c r="A3835" i="5"/>
  <c r="A3836" i="5"/>
  <c r="A3837" i="5"/>
  <c r="A3838" i="5"/>
  <c r="A3839" i="5"/>
  <c r="A3840" i="5"/>
  <c r="A3841" i="5"/>
  <c r="A3842" i="5"/>
  <c r="A3843" i="5"/>
  <c r="A3844" i="5"/>
  <c r="A3845" i="5"/>
  <c r="A3846" i="5"/>
  <c r="A3847" i="5"/>
  <c r="A3848" i="5"/>
  <c r="A3849" i="5"/>
  <c r="A3850" i="5"/>
  <c r="A3851" i="5"/>
  <c r="A3852" i="5"/>
  <c r="A3853" i="5"/>
  <c r="A3854" i="5"/>
  <c r="A3855" i="5"/>
  <c r="A3856" i="5"/>
  <c r="A3857" i="5"/>
  <c r="A3858" i="5"/>
  <c r="A3859" i="5"/>
  <c r="A3860" i="5"/>
  <c r="A3861" i="5"/>
  <c r="A3862" i="5"/>
  <c r="A3863" i="5"/>
  <c r="A3864" i="5"/>
  <c r="A3865" i="5"/>
  <c r="A3866" i="5"/>
  <c r="A3867" i="5"/>
  <c r="A3868" i="5"/>
  <c r="A3869" i="5"/>
  <c r="A3870" i="5"/>
  <c r="A3871" i="5"/>
  <c r="A3872" i="5"/>
  <c r="A3873" i="5"/>
  <c r="A3874" i="5"/>
  <c r="A3875" i="5"/>
  <c r="A3876" i="5"/>
  <c r="A3877" i="5"/>
  <c r="A3878" i="5"/>
  <c r="A3879" i="5"/>
  <c r="A3880" i="5"/>
  <c r="A3881" i="5"/>
  <c r="A3882" i="5"/>
  <c r="A3883" i="5"/>
  <c r="A3884" i="5"/>
  <c r="A3885" i="5"/>
  <c r="A3886" i="5"/>
  <c r="A3887" i="5"/>
  <c r="A3888" i="5"/>
  <c r="A3889" i="5"/>
  <c r="A3890" i="5"/>
  <c r="A3891" i="5"/>
  <c r="A3892" i="5"/>
  <c r="A3893" i="5"/>
  <c r="A3894" i="5"/>
  <c r="A3895" i="5"/>
  <c r="A3896" i="5"/>
  <c r="A3897" i="5"/>
  <c r="A3898" i="5"/>
  <c r="A3899" i="5"/>
  <c r="A3900" i="5"/>
  <c r="A3901" i="5"/>
  <c r="A3902" i="5"/>
  <c r="A3903" i="5"/>
  <c r="A3904" i="5"/>
  <c r="A3905" i="5"/>
  <c r="A3906" i="5"/>
  <c r="A3907" i="5"/>
  <c r="A3908" i="5"/>
  <c r="A3909" i="5"/>
  <c r="A3910" i="5"/>
  <c r="A3911" i="5"/>
  <c r="A3912" i="5"/>
  <c r="A3913" i="5"/>
  <c r="A3914" i="5"/>
  <c r="A3915" i="5"/>
  <c r="A3916" i="5"/>
  <c r="A3917" i="5"/>
  <c r="A3918" i="5"/>
  <c r="A3919" i="5"/>
  <c r="A3920" i="5"/>
  <c r="A3921" i="5"/>
  <c r="A3922" i="5"/>
  <c r="A3923" i="5"/>
  <c r="A3924" i="5"/>
  <c r="A3925" i="5"/>
  <c r="A3926" i="5"/>
  <c r="A3927" i="5"/>
  <c r="A3928" i="5"/>
  <c r="A3929" i="5"/>
  <c r="A3930" i="5"/>
  <c r="A3931" i="5"/>
  <c r="A3932" i="5"/>
  <c r="A3933" i="5"/>
  <c r="A3934" i="5"/>
  <c r="A3935" i="5"/>
  <c r="A3936" i="5"/>
  <c r="A3937" i="5"/>
  <c r="A3938" i="5"/>
  <c r="A3939" i="5"/>
  <c r="A3940" i="5"/>
  <c r="A3941" i="5"/>
  <c r="A3942" i="5"/>
  <c r="A3943" i="5"/>
  <c r="A3944" i="5"/>
  <c r="A3945" i="5"/>
  <c r="A3946" i="5"/>
  <c r="A3947" i="5"/>
  <c r="A3948" i="5"/>
  <c r="A3949" i="5"/>
  <c r="A3950" i="5"/>
  <c r="A3951" i="5"/>
  <c r="A3952" i="5"/>
  <c r="A3953" i="5"/>
  <c r="A3954" i="5"/>
  <c r="A3955" i="5"/>
  <c r="A3956" i="5"/>
  <c r="A3957" i="5"/>
  <c r="A3958" i="5"/>
  <c r="A3959" i="5"/>
  <c r="A3960" i="5"/>
  <c r="A3961" i="5"/>
  <c r="A3962" i="5"/>
  <c r="A3963" i="5"/>
  <c r="A3964" i="5"/>
  <c r="A3965" i="5"/>
  <c r="A3966" i="5"/>
  <c r="A3967" i="5"/>
  <c r="A3968" i="5"/>
  <c r="A3969" i="5"/>
  <c r="A3970" i="5"/>
  <c r="A3971" i="5"/>
  <c r="A3972" i="5"/>
  <c r="A3973" i="5"/>
  <c r="A3974" i="5"/>
  <c r="A3975" i="5"/>
  <c r="A3976" i="5"/>
  <c r="A3977" i="5"/>
  <c r="A3978" i="5"/>
  <c r="A3979" i="5"/>
  <c r="A3980" i="5"/>
  <c r="A3981" i="5"/>
  <c r="A3982" i="5"/>
  <c r="A3983" i="5"/>
  <c r="A3984" i="5"/>
  <c r="A3985" i="5"/>
  <c r="A3986" i="5"/>
  <c r="A3987" i="5"/>
  <c r="A3988" i="5"/>
  <c r="A3989" i="5"/>
  <c r="A3990" i="5"/>
  <c r="A3991" i="5"/>
  <c r="A3992" i="5"/>
  <c r="A3993" i="5"/>
  <c r="A3994" i="5"/>
  <c r="A3995" i="5"/>
  <c r="A3996" i="5"/>
  <c r="A3997" i="5"/>
  <c r="A3998" i="5"/>
  <c r="A3999" i="5"/>
  <c r="A4000" i="5"/>
  <c r="A4001" i="5"/>
  <c r="A4002" i="5"/>
  <c r="A4003" i="5"/>
  <c r="A4004" i="5"/>
  <c r="A4005" i="5"/>
  <c r="A4006" i="5"/>
  <c r="A4007" i="5"/>
  <c r="A4008" i="5"/>
  <c r="A4009" i="5"/>
  <c r="A4010" i="5"/>
  <c r="A4011" i="5"/>
  <c r="A4012" i="5"/>
  <c r="A4013" i="5"/>
  <c r="A4014" i="5"/>
  <c r="A4015" i="5"/>
  <c r="A4016" i="5"/>
  <c r="A4017" i="5"/>
  <c r="A4018" i="5"/>
  <c r="A4019" i="5"/>
  <c r="A4020" i="5"/>
  <c r="A4021" i="5"/>
  <c r="A4022" i="5"/>
  <c r="A4023" i="5"/>
  <c r="A4024" i="5"/>
  <c r="A4025" i="5"/>
  <c r="A4026" i="5"/>
  <c r="A4027" i="5"/>
  <c r="A4028" i="5"/>
  <c r="A4029" i="5"/>
  <c r="A4030" i="5"/>
  <c r="A4031" i="5"/>
  <c r="A4032" i="5"/>
  <c r="A4033" i="5"/>
  <c r="A4034" i="5"/>
  <c r="A4035" i="5"/>
  <c r="A4036" i="5"/>
  <c r="A4037" i="5"/>
  <c r="A4038" i="5"/>
  <c r="A4039" i="5"/>
  <c r="A4040" i="5"/>
  <c r="A4041" i="5"/>
  <c r="A4042" i="5"/>
  <c r="A4043" i="5"/>
  <c r="A4044" i="5"/>
  <c r="A4045" i="5"/>
  <c r="A4046" i="5"/>
  <c r="A4047" i="5"/>
  <c r="A4048" i="5"/>
  <c r="A4049" i="5"/>
  <c r="A4050" i="5"/>
  <c r="A4051" i="5"/>
  <c r="A4052" i="5"/>
  <c r="A4053" i="5"/>
  <c r="A4054" i="5"/>
  <c r="A4055" i="5"/>
  <c r="A4056" i="5"/>
  <c r="A4057" i="5"/>
  <c r="A4058" i="5"/>
  <c r="A4059" i="5"/>
  <c r="A4060" i="5"/>
  <c r="A4061" i="5"/>
  <c r="A4062" i="5"/>
  <c r="A4063" i="5"/>
  <c r="A4064" i="5"/>
  <c r="A4065" i="5"/>
  <c r="A4066" i="5"/>
  <c r="A4067" i="5"/>
  <c r="A4068" i="5"/>
  <c r="A4069" i="5"/>
  <c r="A4070" i="5"/>
  <c r="A4071" i="5"/>
  <c r="A4072" i="5"/>
  <c r="A4073" i="5"/>
  <c r="A4074" i="5"/>
  <c r="A4075" i="5"/>
  <c r="A4076" i="5"/>
  <c r="A4077" i="5"/>
  <c r="A4078" i="5"/>
  <c r="A4079" i="5"/>
  <c r="A4080" i="5"/>
  <c r="A4081" i="5"/>
  <c r="A4082" i="5"/>
  <c r="A4083" i="5"/>
  <c r="A4084" i="5"/>
  <c r="A4085" i="5"/>
  <c r="A4086" i="5"/>
  <c r="A4087" i="5"/>
  <c r="A4088" i="5"/>
  <c r="A4089" i="5"/>
  <c r="A4090" i="5"/>
  <c r="A4091" i="5"/>
  <c r="A4092" i="5"/>
  <c r="A4093" i="5"/>
  <c r="A4094" i="5"/>
  <c r="A4095" i="5"/>
  <c r="A4096" i="5"/>
  <c r="A4097" i="5"/>
  <c r="A4098" i="5"/>
  <c r="A4099" i="5"/>
  <c r="A4100" i="5"/>
  <c r="A4101" i="5"/>
  <c r="A4102" i="5"/>
  <c r="A4103" i="5"/>
  <c r="A4104" i="5"/>
  <c r="A4105" i="5"/>
  <c r="A4106" i="5"/>
  <c r="A4107" i="5"/>
  <c r="A4108" i="5"/>
  <c r="A4109" i="5"/>
  <c r="A4110" i="5"/>
  <c r="A4111" i="5"/>
  <c r="A4112" i="5"/>
  <c r="A4113" i="5"/>
  <c r="A4114" i="5"/>
  <c r="A4115" i="5"/>
  <c r="A4116" i="5"/>
  <c r="A4117" i="5"/>
  <c r="A4118" i="5"/>
  <c r="A4119" i="5"/>
  <c r="A4120" i="5"/>
  <c r="A4121" i="5"/>
  <c r="A4122" i="5"/>
  <c r="A4123" i="5"/>
  <c r="A4124" i="5"/>
  <c r="A4125" i="5"/>
  <c r="A4126" i="5"/>
  <c r="A4127" i="5"/>
  <c r="A4128" i="5"/>
  <c r="A4129" i="5"/>
  <c r="A4130" i="5"/>
  <c r="A4131" i="5"/>
  <c r="A4132" i="5"/>
  <c r="A4133" i="5"/>
  <c r="A4134" i="5"/>
  <c r="A4135" i="5"/>
  <c r="A4136" i="5"/>
  <c r="A4137" i="5"/>
  <c r="A4138" i="5"/>
  <c r="A4139" i="5"/>
  <c r="A4140" i="5"/>
  <c r="A4141" i="5"/>
  <c r="A4142" i="5"/>
  <c r="A4143" i="5"/>
  <c r="A4144" i="5"/>
  <c r="A4145" i="5"/>
  <c r="A4146" i="5"/>
  <c r="A4147" i="5"/>
  <c r="A4148" i="5"/>
  <c r="A4149" i="5"/>
  <c r="A4150" i="5"/>
  <c r="A4151" i="5"/>
  <c r="A4152" i="5"/>
  <c r="A4153" i="5"/>
  <c r="A4154" i="5"/>
  <c r="A4155" i="5"/>
  <c r="A4156" i="5"/>
  <c r="A4157" i="5"/>
  <c r="A4158" i="5"/>
  <c r="A4159" i="5"/>
  <c r="A4160" i="5"/>
  <c r="A4161" i="5"/>
  <c r="A4162" i="5"/>
  <c r="A4163" i="5"/>
  <c r="A4164" i="5"/>
  <c r="A4165" i="5"/>
  <c r="A4166" i="5"/>
  <c r="A4167" i="5"/>
  <c r="A4168" i="5"/>
  <c r="A4169" i="5"/>
  <c r="A4170" i="5"/>
  <c r="A4171" i="5"/>
  <c r="A4172" i="5"/>
  <c r="A4173" i="5"/>
  <c r="A4174" i="5"/>
  <c r="A4175" i="5"/>
  <c r="A4176" i="5"/>
  <c r="A4177" i="5"/>
  <c r="A4178" i="5"/>
  <c r="A4179" i="5"/>
  <c r="A4180" i="5"/>
  <c r="A4181" i="5"/>
  <c r="A4182" i="5"/>
  <c r="A4183" i="5"/>
  <c r="A4184" i="5"/>
  <c r="A4185" i="5"/>
  <c r="A4186" i="5"/>
  <c r="A4187" i="5"/>
  <c r="A4188" i="5"/>
  <c r="A4189" i="5"/>
  <c r="A4190" i="5"/>
  <c r="A4191" i="5"/>
  <c r="A4192" i="5"/>
  <c r="A4193" i="5"/>
  <c r="A4194" i="5"/>
  <c r="A4195" i="5"/>
  <c r="A4196" i="5"/>
  <c r="A4197" i="5"/>
  <c r="A4198" i="5"/>
  <c r="A4199" i="5"/>
  <c r="A4200" i="5"/>
  <c r="A4201" i="5"/>
  <c r="A4202" i="5"/>
  <c r="A4203" i="5"/>
  <c r="A4204" i="5"/>
  <c r="A4205" i="5"/>
  <c r="A4206" i="5"/>
  <c r="A4207" i="5"/>
  <c r="A4208" i="5"/>
  <c r="A4209" i="5"/>
  <c r="A4210" i="5"/>
  <c r="A4211" i="5"/>
  <c r="A4212" i="5"/>
  <c r="A4213" i="5"/>
  <c r="A4214" i="5"/>
  <c r="A4215" i="5"/>
  <c r="A4216" i="5"/>
  <c r="A4217" i="5"/>
  <c r="A4218" i="5"/>
  <c r="A4219" i="5"/>
  <c r="A4220" i="5"/>
  <c r="A4221" i="5"/>
  <c r="A4222" i="5"/>
  <c r="A4223" i="5"/>
  <c r="A4224" i="5"/>
  <c r="A4225" i="5"/>
  <c r="A4226" i="5"/>
  <c r="A4227" i="5"/>
  <c r="A4228" i="5"/>
  <c r="A4229" i="5"/>
  <c r="A4230" i="5"/>
  <c r="A4231" i="5"/>
  <c r="A4232" i="5"/>
  <c r="A4233" i="5"/>
  <c r="A4234" i="5"/>
  <c r="A4235" i="5"/>
  <c r="A4236" i="5"/>
  <c r="A4237" i="5"/>
  <c r="A4238" i="5"/>
  <c r="A4239" i="5"/>
  <c r="A4240" i="5"/>
  <c r="A4241" i="5"/>
  <c r="A4242" i="5"/>
  <c r="A4243" i="5"/>
  <c r="A4244" i="5"/>
  <c r="A4245" i="5"/>
  <c r="A4246" i="5"/>
  <c r="A4247" i="5"/>
  <c r="A4248" i="5"/>
  <c r="A4249" i="5"/>
  <c r="A4250" i="5"/>
  <c r="A4251" i="5"/>
  <c r="A4252" i="5"/>
  <c r="A4253" i="5"/>
  <c r="A4254" i="5"/>
  <c r="A4255" i="5"/>
  <c r="A4256" i="5"/>
  <c r="A4257" i="5"/>
  <c r="A4258" i="5"/>
  <c r="A4259" i="5"/>
  <c r="A4260" i="5"/>
  <c r="A4261" i="5"/>
  <c r="A4262" i="5"/>
  <c r="A4263" i="5"/>
  <c r="A4264" i="5"/>
  <c r="A4265" i="5"/>
  <c r="A4266" i="5"/>
  <c r="A4267" i="5"/>
  <c r="A4268" i="5"/>
  <c r="A4269" i="5"/>
  <c r="A4270" i="5"/>
  <c r="A4271" i="5"/>
  <c r="A4272" i="5"/>
  <c r="A4273" i="5"/>
  <c r="A4274" i="5"/>
  <c r="A4275" i="5"/>
  <c r="A4276" i="5"/>
  <c r="A4277" i="5"/>
  <c r="A4278" i="5"/>
  <c r="A4279" i="5"/>
  <c r="A4280" i="5"/>
  <c r="A4281" i="5"/>
  <c r="A4282" i="5"/>
  <c r="A4283" i="5"/>
  <c r="A4284" i="5"/>
  <c r="A4285" i="5"/>
  <c r="A4286" i="5"/>
  <c r="A4287" i="5"/>
  <c r="A4288" i="5"/>
  <c r="A4289" i="5"/>
  <c r="A4290" i="5"/>
  <c r="A4291" i="5"/>
  <c r="A4292" i="5"/>
  <c r="A4293" i="5"/>
  <c r="A4294" i="5"/>
  <c r="A4295" i="5"/>
  <c r="A4296" i="5"/>
  <c r="A4297" i="5"/>
  <c r="A4298" i="5"/>
  <c r="A4299" i="5"/>
  <c r="A4300" i="5"/>
  <c r="A4301" i="5"/>
  <c r="A4302" i="5"/>
  <c r="A4303" i="5"/>
  <c r="A4304" i="5"/>
  <c r="A4305" i="5"/>
  <c r="A4306" i="5"/>
  <c r="A4307" i="5"/>
  <c r="A4308" i="5"/>
  <c r="A4309" i="5"/>
  <c r="A4310" i="5"/>
  <c r="A4311" i="5"/>
  <c r="A4312" i="5"/>
  <c r="A4313" i="5"/>
  <c r="A4314" i="5"/>
  <c r="A4315" i="5"/>
  <c r="A4316" i="5"/>
  <c r="A4317" i="5"/>
  <c r="A4318" i="5"/>
  <c r="A4319" i="5"/>
  <c r="A4320" i="5"/>
  <c r="A4321" i="5"/>
  <c r="A4322" i="5"/>
  <c r="A4323" i="5"/>
  <c r="A4324" i="5"/>
  <c r="A4325" i="5"/>
  <c r="A4326" i="5"/>
  <c r="A4327" i="5"/>
  <c r="A4328" i="5"/>
  <c r="A4329" i="5"/>
  <c r="A4330" i="5"/>
  <c r="A4331" i="5"/>
  <c r="A4332" i="5"/>
  <c r="A4333" i="5"/>
  <c r="A4334" i="5"/>
  <c r="A4335" i="5"/>
  <c r="A4336" i="5"/>
  <c r="A4337" i="5"/>
  <c r="A4338" i="5"/>
  <c r="A4339" i="5"/>
  <c r="A4340" i="5"/>
  <c r="A4341" i="5"/>
  <c r="A4342" i="5"/>
  <c r="A4343" i="5"/>
  <c r="A4344" i="5"/>
  <c r="A4345" i="5"/>
  <c r="A4346" i="5"/>
  <c r="A4347" i="5"/>
  <c r="A4348" i="5"/>
  <c r="A4349" i="5"/>
  <c r="A4350" i="5"/>
  <c r="A4351" i="5"/>
  <c r="A4352" i="5"/>
  <c r="A4353" i="5"/>
  <c r="A4354" i="5"/>
  <c r="A4355" i="5"/>
  <c r="A4356" i="5"/>
  <c r="A4357" i="5"/>
  <c r="A4358" i="5"/>
  <c r="A4359" i="5"/>
  <c r="A4360" i="5"/>
  <c r="A4361" i="5"/>
  <c r="A4362" i="5"/>
  <c r="A4363" i="5"/>
  <c r="A4364" i="5"/>
  <c r="A4365" i="5"/>
  <c r="A4366" i="5"/>
  <c r="A4367" i="5"/>
  <c r="A4368" i="5"/>
  <c r="A4369" i="5"/>
  <c r="A4370" i="5"/>
  <c r="A4371" i="5"/>
  <c r="A4372" i="5"/>
  <c r="A4373" i="5"/>
  <c r="A4374" i="5"/>
  <c r="A4375" i="5"/>
  <c r="A4376" i="5"/>
  <c r="A4377" i="5"/>
  <c r="A4378" i="5"/>
  <c r="A4379" i="5"/>
  <c r="A4380" i="5"/>
  <c r="A4381" i="5"/>
  <c r="A4382" i="5"/>
  <c r="A4383" i="5"/>
  <c r="A4384" i="5"/>
  <c r="A4385" i="5"/>
  <c r="A4386" i="5"/>
  <c r="A4387" i="5"/>
  <c r="A4388" i="5"/>
  <c r="A4389" i="5"/>
  <c r="A4390" i="5"/>
  <c r="A4391" i="5"/>
  <c r="A4392" i="5"/>
  <c r="A4393" i="5"/>
  <c r="A4394" i="5"/>
  <c r="A4395" i="5"/>
  <c r="A4396" i="5"/>
  <c r="A4397" i="5"/>
  <c r="A4398" i="5"/>
  <c r="A4399" i="5"/>
  <c r="A4400" i="5"/>
  <c r="A4401" i="5"/>
  <c r="A4402" i="5"/>
  <c r="A4403" i="5"/>
  <c r="A4404" i="5"/>
  <c r="A4405" i="5"/>
  <c r="A4406" i="5"/>
  <c r="A4407" i="5"/>
  <c r="A4408" i="5"/>
  <c r="A4409" i="5"/>
  <c r="A4410" i="5"/>
  <c r="A4411" i="5"/>
  <c r="A4412" i="5"/>
  <c r="A4413" i="5"/>
  <c r="A4414" i="5"/>
  <c r="A4415" i="5"/>
  <c r="A4416" i="5"/>
  <c r="A4417" i="5"/>
  <c r="A4418" i="5"/>
  <c r="A4419" i="5"/>
  <c r="A4420" i="5"/>
  <c r="A4421" i="5"/>
  <c r="A4422" i="5"/>
  <c r="A4423" i="5"/>
  <c r="A4424" i="5"/>
  <c r="A4425" i="5"/>
  <c r="A4426" i="5"/>
  <c r="A4427" i="5"/>
  <c r="A4428" i="5"/>
  <c r="A4429" i="5"/>
  <c r="A4430" i="5"/>
  <c r="A4431" i="5"/>
  <c r="A4432" i="5"/>
  <c r="A4433" i="5"/>
  <c r="A4434" i="5"/>
  <c r="A4435" i="5"/>
  <c r="A4436" i="5"/>
  <c r="A4437" i="5"/>
  <c r="A4438" i="5"/>
  <c r="A4439" i="5"/>
  <c r="A4440" i="5"/>
  <c r="A4441" i="5"/>
  <c r="A4442" i="5"/>
  <c r="A4443" i="5"/>
  <c r="A4444" i="5"/>
  <c r="A4445" i="5"/>
  <c r="A4446" i="5"/>
  <c r="A4447" i="5"/>
  <c r="A4448" i="5"/>
  <c r="A4449" i="5"/>
  <c r="A4450" i="5"/>
  <c r="A4451" i="5"/>
  <c r="A4452" i="5"/>
  <c r="A4453" i="5"/>
  <c r="A4454" i="5"/>
  <c r="A4455" i="5"/>
  <c r="A4456" i="5"/>
  <c r="A4457" i="5"/>
  <c r="A4458" i="5"/>
  <c r="A4459" i="5"/>
  <c r="A4460" i="5"/>
  <c r="A4461" i="5"/>
  <c r="A4462" i="5"/>
  <c r="A4463" i="5"/>
  <c r="A4464" i="5"/>
  <c r="A4465" i="5"/>
  <c r="A4466" i="5"/>
  <c r="A4467" i="5"/>
  <c r="A4468" i="5"/>
  <c r="A4469" i="5"/>
  <c r="A4470" i="5"/>
  <c r="A4471" i="5"/>
  <c r="A4472" i="5"/>
  <c r="A4473" i="5"/>
  <c r="A4474" i="5"/>
  <c r="A4475" i="5"/>
  <c r="A4476" i="5"/>
  <c r="A4477" i="5"/>
  <c r="A4478" i="5"/>
  <c r="A4479" i="5"/>
  <c r="A4480" i="5"/>
  <c r="A4481" i="5"/>
  <c r="A4482" i="5"/>
  <c r="A4483" i="5"/>
  <c r="A4484" i="5"/>
  <c r="A4485" i="5"/>
  <c r="A4486" i="5"/>
  <c r="A4487" i="5"/>
  <c r="A4488" i="5"/>
  <c r="A4489" i="5"/>
  <c r="A4490" i="5"/>
  <c r="A4491" i="5"/>
  <c r="A4492" i="5"/>
  <c r="A4493" i="5"/>
  <c r="A2981" i="5"/>
  <c r="A2976" i="5"/>
  <c r="A2977" i="5"/>
  <c r="A2978" i="5"/>
  <c r="A2979" i="5"/>
  <c r="A2980" i="5"/>
  <c r="A2960" i="5"/>
  <c r="A2961" i="5"/>
  <c r="A2962" i="5"/>
  <c r="A2963" i="5"/>
  <c r="A2964" i="5"/>
  <c r="A2965" i="5"/>
  <c r="A2966" i="5"/>
  <c r="A2967" i="5"/>
  <c r="A2968" i="5"/>
  <c r="A2969" i="5"/>
  <c r="A2970" i="5"/>
  <c r="A2971" i="5"/>
  <c r="A2972" i="5"/>
  <c r="A2973" i="5"/>
  <c r="A2974" i="5"/>
  <c r="A2975" i="5"/>
  <c r="A2959" i="5"/>
  <c r="A2802" i="5"/>
  <c r="A2803" i="5"/>
  <c r="A2804" i="5"/>
  <c r="A2805" i="5"/>
  <c r="A2806" i="5"/>
  <c r="A2807" i="5"/>
  <c r="A2808" i="5"/>
  <c r="A2809" i="5"/>
  <c r="A2810" i="5"/>
  <c r="A2801" i="5"/>
  <c r="A2767" i="5"/>
  <c r="A2768" i="5"/>
  <c r="A2769" i="5"/>
  <c r="A2770" i="5"/>
  <c r="A2771" i="5"/>
  <c r="A2684" i="5"/>
  <c r="A2675" i="5"/>
  <c r="A2522" i="5"/>
  <c r="A2523" i="5"/>
  <c r="A2524" i="5"/>
  <c r="A2650" i="5"/>
  <c r="A2592" i="5"/>
  <c r="A2591" i="5"/>
  <c r="A2553" i="5"/>
  <c r="A2510" i="5"/>
  <c r="A2487" i="5"/>
  <c r="A2456" i="5"/>
  <c r="A2441" i="5"/>
  <c r="A2440" i="5"/>
  <c r="A2439" i="5"/>
  <c r="A2292" i="5"/>
  <c r="A2269" i="5"/>
  <c r="A2268" i="5"/>
  <c r="A2264" i="5"/>
  <c r="A2226" i="5" l="1"/>
  <c r="A2225" i="5"/>
  <c r="A2224" i="5"/>
  <c r="A2223" i="5"/>
  <c r="A2164" i="5"/>
  <c r="A2176" i="5"/>
  <c r="A2177" i="5"/>
  <c r="A2139" i="5"/>
  <c r="A2138" i="5"/>
  <c r="A2137" i="5"/>
  <c r="A2106" i="5"/>
  <c r="A2105" i="5"/>
  <c r="A2074" i="5"/>
  <c r="A2075" i="5"/>
  <c r="A2076" i="5"/>
  <c r="A2077" i="5"/>
  <c r="A2078" i="5"/>
  <c r="A2079" i="5"/>
  <c r="A2080" i="5"/>
  <c r="A2081" i="5"/>
  <c r="A2082" i="5"/>
  <c r="A2083" i="5"/>
  <c r="A2084" i="5"/>
  <c r="A2085" i="5"/>
  <c r="A2086" i="5"/>
  <c r="A2087" i="5"/>
  <c r="A2088" i="5"/>
  <c r="A2089" i="5"/>
  <c r="A2090" i="5"/>
  <c r="A2091" i="5"/>
  <c r="A2092" i="5"/>
  <c r="A2093" i="5"/>
  <c r="A2094" i="5"/>
  <c r="A2095" i="5"/>
  <c r="A2096" i="5"/>
  <c r="A2097" i="5"/>
  <c r="A2098" i="5"/>
  <c r="A2099" i="5"/>
  <c r="A2100" i="5"/>
  <c r="A2101" i="5"/>
  <c r="A2102" i="5"/>
  <c r="A2103" i="5"/>
  <c r="A2104" i="5"/>
  <c r="A2107" i="5"/>
  <c r="A2108" i="5"/>
  <c r="A2109" i="5"/>
  <c r="A2110" i="5"/>
  <c r="A2111" i="5"/>
  <c r="A2112" i="5"/>
  <c r="A2113" i="5"/>
  <c r="A2114" i="5"/>
  <c r="A2115" i="5"/>
  <c r="A2116" i="5"/>
  <c r="A2117" i="5"/>
  <c r="A2118" i="5"/>
  <c r="A2119" i="5"/>
  <c r="A2120" i="5"/>
  <c r="A2121" i="5"/>
  <c r="A2122" i="5"/>
  <c r="A2123" i="5"/>
  <c r="A2124" i="5"/>
  <c r="A2125" i="5"/>
  <c r="A2126" i="5"/>
  <c r="A2127" i="5"/>
  <c r="A2128" i="5"/>
  <c r="A2129" i="5"/>
  <c r="A2130" i="5"/>
  <c r="A2131" i="5"/>
  <c r="A2132" i="5"/>
  <c r="A2133" i="5"/>
  <c r="A2134" i="5"/>
  <c r="A2135" i="5"/>
  <c r="A2136" i="5"/>
  <c r="A2140" i="5"/>
  <c r="A2141" i="5"/>
  <c r="A2142" i="5"/>
  <c r="A2143" i="5"/>
  <c r="A2144" i="5"/>
  <c r="A2145" i="5"/>
  <c r="A2146" i="5"/>
  <c r="A2147" i="5"/>
  <c r="A2148" i="5"/>
  <c r="A2149" i="5"/>
  <c r="A2150" i="5"/>
  <c r="A2151" i="5"/>
  <c r="A2152" i="5"/>
  <c r="A2153" i="5"/>
  <c r="A2154" i="5"/>
  <c r="A2155" i="5"/>
  <c r="A2156" i="5"/>
  <c r="A2157" i="5"/>
  <c r="A2158" i="5"/>
  <c r="A2159" i="5"/>
  <c r="A2160" i="5"/>
  <c r="A2161" i="5"/>
  <c r="A2162" i="5"/>
  <c r="A2163" i="5"/>
  <c r="A2165" i="5"/>
  <c r="A2166" i="5"/>
  <c r="A2167" i="5"/>
  <c r="A2168" i="5"/>
  <c r="A2169" i="5"/>
  <c r="A2170" i="5"/>
  <c r="A2171" i="5"/>
  <c r="A2172" i="5"/>
  <c r="A2173" i="5"/>
  <c r="A2174" i="5"/>
  <c r="A2175" i="5"/>
  <c r="A2178" i="5"/>
  <c r="A2179" i="5"/>
  <c r="A2180" i="5"/>
  <c r="A2181" i="5"/>
  <c r="A2182" i="5"/>
  <c r="A2183" i="5"/>
  <c r="A2184" i="5"/>
  <c r="A2185" i="5"/>
  <c r="A2186" i="5"/>
  <c r="A2187" i="5"/>
  <c r="A2188" i="5"/>
  <c r="A2189" i="5"/>
  <c r="A2190" i="5"/>
  <c r="A2191" i="5"/>
  <c r="A2192" i="5"/>
  <c r="A2193" i="5"/>
  <c r="A2194" i="5"/>
  <c r="A2195" i="5"/>
  <c r="A2196" i="5"/>
  <c r="A2197" i="5"/>
  <c r="A2198" i="5"/>
  <c r="A2199" i="5"/>
  <c r="A2200" i="5"/>
  <c r="A2201" i="5"/>
  <c r="A2202" i="5"/>
  <c r="A2203" i="5"/>
  <c r="A2204" i="5"/>
  <c r="A2205" i="5"/>
  <c r="A2206" i="5"/>
  <c r="A2207" i="5"/>
  <c r="A2208" i="5"/>
  <c r="A2209" i="5"/>
  <c r="A2210" i="5"/>
  <c r="A2211" i="5"/>
  <c r="A2212" i="5"/>
  <c r="A2213" i="5"/>
  <c r="A2214" i="5"/>
  <c r="A2215" i="5"/>
  <c r="A2216" i="5"/>
  <c r="A2217" i="5"/>
  <c r="A2218" i="5"/>
  <c r="A2219" i="5"/>
  <c r="A2220" i="5"/>
  <c r="A2221" i="5"/>
  <c r="A2222" i="5"/>
  <c r="A2227" i="5"/>
  <c r="A2228" i="5"/>
  <c r="A2229" i="5"/>
  <c r="A2230" i="5"/>
  <c r="A2231" i="5"/>
  <c r="A2232" i="5"/>
  <c r="A2233" i="5"/>
  <c r="A2234" i="5"/>
  <c r="A2235" i="5"/>
  <c r="A2236" i="5"/>
  <c r="A2237" i="5"/>
  <c r="A2238" i="5"/>
  <c r="A2239" i="5"/>
  <c r="A2240" i="5"/>
  <c r="A2241" i="5"/>
  <c r="A2242" i="5"/>
  <c r="A2243" i="5"/>
  <c r="A2244" i="5"/>
  <c r="A2245" i="5"/>
  <c r="A2246" i="5"/>
  <c r="A2247" i="5"/>
  <c r="A2248" i="5"/>
  <c r="A2249" i="5"/>
  <c r="A2250" i="5"/>
  <c r="A2251" i="5"/>
  <c r="A2252" i="5"/>
  <c r="A2253" i="5"/>
  <c r="A2254" i="5"/>
  <c r="A2255" i="5"/>
  <c r="A2256" i="5"/>
  <c r="A2257" i="5"/>
  <c r="A2258" i="5"/>
  <c r="A2259" i="5"/>
  <c r="A2260" i="5"/>
  <c r="A2261" i="5"/>
  <c r="A2262" i="5"/>
  <c r="A2263" i="5"/>
  <c r="A2265" i="5"/>
  <c r="A2266" i="5"/>
  <c r="A2267" i="5"/>
  <c r="A2270" i="5"/>
  <c r="A2271" i="5"/>
  <c r="A2272" i="5"/>
  <c r="A2273" i="5"/>
  <c r="A2274" i="5"/>
  <c r="A2275" i="5"/>
  <c r="A2276" i="5"/>
  <c r="A2277" i="5"/>
  <c r="A2278" i="5"/>
  <c r="A2279" i="5"/>
  <c r="A2280" i="5"/>
  <c r="A2281" i="5"/>
  <c r="A2282" i="5"/>
  <c r="A2283" i="5"/>
  <c r="A2284" i="5"/>
  <c r="A2285" i="5"/>
  <c r="A2286" i="5"/>
  <c r="A2287" i="5"/>
  <c r="A2288" i="5"/>
  <c r="A2289" i="5"/>
  <c r="A2290" i="5"/>
  <c r="A2291" i="5"/>
  <c r="A2293" i="5"/>
  <c r="A2294" i="5"/>
  <c r="A2295" i="5"/>
  <c r="A2296" i="5"/>
  <c r="A2297" i="5"/>
  <c r="A2298" i="5"/>
  <c r="A2299" i="5"/>
  <c r="A2300" i="5"/>
  <c r="A2301" i="5"/>
  <c r="A2302" i="5"/>
  <c r="A2303" i="5"/>
  <c r="A2304" i="5"/>
  <c r="A2305" i="5"/>
  <c r="A2306" i="5"/>
  <c r="A2307" i="5"/>
  <c r="A2308" i="5"/>
  <c r="A2309" i="5"/>
  <c r="A2310" i="5"/>
  <c r="A2311" i="5"/>
  <c r="A2312" i="5"/>
  <c r="A2313" i="5"/>
  <c r="A2314" i="5"/>
  <c r="A2315" i="5"/>
  <c r="A2316" i="5"/>
  <c r="A2317" i="5"/>
  <c r="A2318" i="5"/>
  <c r="A2319" i="5"/>
  <c r="A2320" i="5"/>
  <c r="A2321" i="5"/>
  <c r="A2322" i="5"/>
  <c r="A2323" i="5"/>
  <c r="A2324" i="5"/>
  <c r="A2325" i="5"/>
  <c r="A2326" i="5"/>
  <c r="A2327" i="5"/>
  <c r="A2328" i="5"/>
  <c r="A2329" i="5"/>
  <c r="A2330" i="5"/>
  <c r="A2331" i="5"/>
  <c r="A2332" i="5"/>
  <c r="A2333" i="5"/>
  <c r="A2334" i="5"/>
  <c r="A2335" i="5"/>
  <c r="A2336" i="5"/>
  <c r="A2337" i="5"/>
  <c r="A2338" i="5"/>
  <c r="A2339" i="5"/>
  <c r="A2340" i="5"/>
  <c r="A2341" i="5"/>
  <c r="A2342" i="5"/>
  <c r="A2343" i="5"/>
  <c r="A2344" i="5"/>
  <c r="A2345" i="5"/>
  <c r="A2346" i="5"/>
  <c r="A2347" i="5"/>
  <c r="A2348" i="5"/>
  <c r="A2349" i="5"/>
  <c r="A2350" i="5"/>
  <c r="A2351" i="5"/>
  <c r="A2352" i="5"/>
  <c r="A2353" i="5"/>
  <c r="A2354" i="5"/>
  <c r="A2355" i="5"/>
  <c r="A2356" i="5"/>
  <c r="A2357" i="5"/>
  <c r="A2358" i="5"/>
  <c r="A2359" i="5"/>
  <c r="A2360" i="5"/>
  <c r="A2361" i="5"/>
  <c r="A2362" i="5"/>
  <c r="A2363" i="5"/>
  <c r="A2364" i="5"/>
  <c r="A2365" i="5"/>
  <c r="A2366" i="5"/>
  <c r="A2367" i="5"/>
  <c r="A2368" i="5"/>
  <c r="A2369" i="5"/>
  <c r="A2370" i="5"/>
  <c r="A2371" i="5"/>
  <c r="A2372" i="5"/>
  <c r="A2373" i="5"/>
  <c r="A2374" i="5"/>
  <c r="A2375" i="5"/>
  <c r="A2376" i="5"/>
  <c r="A2377" i="5"/>
  <c r="A2378" i="5"/>
  <c r="A2379" i="5"/>
  <c r="A2380" i="5"/>
  <c r="A2381" i="5"/>
  <c r="A2382" i="5"/>
  <c r="A2383" i="5"/>
  <c r="A2384" i="5"/>
  <c r="A2385" i="5"/>
  <c r="A2386" i="5"/>
  <c r="A2387" i="5"/>
  <c r="A2388" i="5"/>
  <c r="A2389" i="5"/>
  <c r="A2390" i="5"/>
  <c r="A2391" i="5"/>
  <c r="A2392" i="5"/>
  <c r="A2393" i="5"/>
  <c r="A2394" i="5"/>
  <c r="A2395" i="5"/>
  <c r="A2396" i="5"/>
  <c r="A2397" i="5"/>
  <c r="A2398" i="5"/>
  <c r="A2399" i="5"/>
  <c r="A2400" i="5"/>
  <c r="A2401" i="5"/>
  <c r="A2402" i="5"/>
  <c r="A2403" i="5"/>
  <c r="A2404" i="5"/>
  <c r="A2405" i="5"/>
  <c r="A2406" i="5"/>
  <c r="A2407" i="5"/>
  <c r="A2408" i="5"/>
  <c r="A2409" i="5"/>
  <c r="A2410" i="5"/>
  <c r="A2411" i="5"/>
  <c r="A2412" i="5"/>
  <c r="A2413" i="5"/>
  <c r="A2414" i="5"/>
  <c r="A2415" i="5"/>
  <c r="A2416" i="5"/>
  <c r="A2417" i="5"/>
  <c r="A2418" i="5"/>
  <c r="A2419" i="5"/>
  <c r="A2420" i="5"/>
  <c r="A2421" i="5"/>
  <c r="A2422" i="5"/>
  <c r="A2423" i="5"/>
  <c r="A2424" i="5"/>
  <c r="A2425" i="5"/>
  <c r="A2426" i="5"/>
  <c r="A2427" i="5"/>
  <c r="A2428" i="5"/>
  <c r="A2429" i="5"/>
  <c r="A2430" i="5"/>
  <c r="A2431" i="5"/>
  <c r="A2432" i="5"/>
  <c r="A2433" i="5"/>
  <c r="A2434" i="5"/>
  <c r="A2435" i="5"/>
  <c r="A2436" i="5"/>
  <c r="A2437" i="5"/>
  <c r="A2438" i="5"/>
  <c r="A2442" i="5"/>
  <c r="A2443" i="5"/>
  <c r="A2444" i="5"/>
  <c r="A2445" i="5"/>
  <c r="A2446" i="5"/>
  <c r="A2447" i="5"/>
  <c r="A2448" i="5"/>
  <c r="A2449" i="5"/>
  <c r="A2450" i="5"/>
  <c r="A2451" i="5"/>
  <c r="A2452" i="5"/>
  <c r="A2453" i="5"/>
  <c r="A2454" i="5"/>
  <c r="A2455" i="5"/>
  <c r="A2457" i="5"/>
  <c r="A2458" i="5"/>
  <c r="A2459" i="5"/>
  <c r="A2460" i="5"/>
  <c r="A2461" i="5"/>
  <c r="A2462" i="5"/>
  <c r="A2463" i="5"/>
  <c r="A2464" i="5"/>
  <c r="A2465" i="5"/>
  <c r="A2466" i="5"/>
  <c r="A2467" i="5"/>
  <c r="A2468" i="5"/>
  <c r="A2469" i="5"/>
  <c r="A2470" i="5"/>
  <c r="A2471" i="5"/>
  <c r="A2472" i="5"/>
  <c r="A2473" i="5"/>
  <c r="A2474" i="5"/>
  <c r="A2475" i="5"/>
  <c r="A2476" i="5"/>
  <c r="A2477" i="5"/>
  <c r="A2478" i="5"/>
  <c r="A2479" i="5"/>
  <c r="A2480" i="5"/>
  <c r="A2481" i="5"/>
  <c r="A2482" i="5"/>
  <c r="A2483" i="5"/>
  <c r="A2484" i="5"/>
  <c r="A2485" i="5"/>
  <c r="A2486" i="5"/>
  <c r="A2488" i="5"/>
  <c r="A2489" i="5"/>
  <c r="A2490" i="5"/>
  <c r="A2491" i="5"/>
  <c r="A2492" i="5"/>
  <c r="A2493" i="5"/>
  <c r="A2494" i="5"/>
  <c r="A2495" i="5"/>
  <c r="A2496" i="5"/>
  <c r="A2497" i="5"/>
  <c r="A2498" i="5"/>
  <c r="A2499" i="5"/>
  <c r="A2500" i="5"/>
  <c r="A2501" i="5"/>
  <c r="A2502" i="5"/>
  <c r="A2503" i="5"/>
  <c r="A2504" i="5"/>
  <c r="A2505" i="5"/>
  <c r="A2506" i="5"/>
  <c r="A2507" i="5"/>
  <c r="A2508" i="5"/>
  <c r="A2509" i="5"/>
  <c r="A2511" i="5"/>
  <c r="A2512" i="5"/>
  <c r="A2513" i="5"/>
  <c r="A2514" i="5"/>
  <c r="A2515" i="5"/>
  <c r="A2516" i="5"/>
  <c r="A2517" i="5"/>
  <c r="A2518" i="5"/>
  <c r="A2519" i="5"/>
  <c r="A2520" i="5"/>
  <c r="A2521" i="5"/>
  <c r="A2525" i="5"/>
  <c r="A2526" i="5"/>
  <c r="A2527" i="5"/>
  <c r="A2528" i="5"/>
  <c r="A2529" i="5"/>
  <c r="A2530" i="5"/>
  <c r="A2531" i="5"/>
  <c r="A2532" i="5"/>
  <c r="A2533" i="5"/>
  <c r="A2534" i="5"/>
  <c r="A2535" i="5"/>
  <c r="A2536" i="5"/>
  <c r="A2537" i="5"/>
  <c r="A2538" i="5"/>
  <c r="A2539" i="5"/>
  <c r="A2540" i="5"/>
  <c r="A2541" i="5"/>
  <c r="A2542" i="5"/>
  <c r="A2543" i="5"/>
  <c r="A2544" i="5"/>
  <c r="A2545" i="5"/>
  <c r="A2546" i="5"/>
  <c r="A2547" i="5"/>
  <c r="A2548" i="5"/>
  <c r="A2549" i="5"/>
  <c r="A2550" i="5"/>
  <c r="A2551" i="5"/>
  <c r="A2552" i="5"/>
  <c r="A2554" i="5"/>
  <c r="A2555" i="5"/>
  <c r="A2556" i="5"/>
  <c r="A2557" i="5"/>
  <c r="A2558" i="5"/>
  <c r="A2559" i="5"/>
  <c r="A2560" i="5"/>
  <c r="A2561" i="5"/>
  <c r="A2562" i="5"/>
  <c r="A2563" i="5"/>
  <c r="A2564" i="5"/>
  <c r="A2565" i="5"/>
  <c r="A2566" i="5"/>
  <c r="A2567" i="5"/>
  <c r="A2568" i="5"/>
  <c r="A2569" i="5"/>
  <c r="A2570" i="5"/>
  <c r="A2571" i="5"/>
  <c r="A2572" i="5"/>
  <c r="A2573" i="5"/>
  <c r="A2574" i="5"/>
  <c r="A2575" i="5"/>
  <c r="A2576" i="5"/>
  <c r="A2577" i="5"/>
  <c r="A2578" i="5"/>
  <c r="A2579" i="5"/>
  <c r="A2580" i="5"/>
  <c r="A2581" i="5"/>
  <c r="A2582" i="5"/>
  <c r="A2583" i="5"/>
  <c r="A2584" i="5"/>
  <c r="A2585" i="5"/>
  <c r="A2586" i="5"/>
  <c r="A2587" i="5"/>
  <c r="A2588" i="5"/>
  <c r="A2589" i="5"/>
  <c r="A2590" i="5"/>
  <c r="A2593" i="5"/>
  <c r="A2594" i="5"/>
  <c r="A2595" i="5"/>
  <c r="A2596" i="5"/>
  <c r="A2597" i="5"/>
  <c r="A2598" i="5"/>
  <c r="A2599" i="5"/>
  <c r="A2600" i="5"/>
  <c r="A2601" i="5"/>
  <c r="A2602" i="5"/>
  <c r="A2603" i="5"/>
  <c r="A2604" i="5"/>
  <c r="A2605" i="5"/>
  <c r="A2606" i="5"/>
  <c r="A2607" i="5"/>
  <c r="A2608" i="5"/>
  <c r="A2609" i="5"/>
  <c r="A2610" i="5"/>
  <c r="A2611" i="5"/>
  <c r="A2612" i="5"/>
  <c r="A2613" i="5"/>
  <c r="A2614" i="5"/>
  <c r="A2615" i="5"/>
  <c r="A2616" i="5"/>
  <c r="A2617" i="5"/>
  <c r="A2618" i="5"/>
  <c r="A2619" i="5"/>
  <c r="A2620" i="5"/>
  <c r="A2621" i="5"/>
  <c r="A2622" i="5"/>
  <c r="A2623" i="5"/>
  <c r="A2624" i="5"/>
  <c r="A2625" i="5"/>
  <c r="A2626" i="5"/>
  <c r="A2627" i="5"/>
  <c r="A2628" i="5"/>
  <c r="A2629" i="5"/>
  <c r="A2630" i="5"/>
  <c r="A2631" i="5"/>
  <c r="A2632" i="5"/>
  <c r="A2633" i="5"/>
  <c r="A2634" i="5"/>
  <c r="A2635" i="5"/>
  <c r="A2636" i="5"/>
  <c r="A2637" i="5"/>
  <c r="A2638" i="5"/>
  <c r="A2639" i="5"/>
  <c r="A2640" i="5"/>
  <c r="A2641" i="5"/>
  <c r="A2642" i="5"/>
  <c r="A2643" i="5"/>
  <c r="A2644" i="5"/>
  <c r="A2645" i="5"/>
  <c r="A2646" i="5"/>
  <c r="A2647" i="5"/>
  <c r="A2648" i="5"/>
  <c r="A2649" i="5"/>
  <c r="A2651" i="5"/>
  <c r="A2652" i="5"/>
  <c r="A2653" i="5"/>
  <c r="A2654" i="5"/>
  <c r="A2655" i="5"/>
  <c r="A2656" i="5"/>
  <c r="A2657" i="5"/>
  <c r="A2658" i="5"/>
  <c r="A2659" i="5"/>
  <c r="A2660" i="5"/>
  <c r="A2661" i="5"/>
  <c r="A2662" i="5"/>
  <c r="A2663" i="5"/>
  <c r="A2664" i="5"/>
  <c r="A2665" i="5"/>
  <c r="A2666" i="5"/>
  <c r="A2667" i="5"/>
  <c r="A2668" i="5"/>
  <c r="A2669" i="5"/>
  <c r="A2670" i="5"/>
  <c r="A2671" i="5"/>
  <c r="A2672" i="5"/>
  <c r="A2673" i="5"/>
  <c r="A2674" i="5"/>
  <c r="A2676" i="5"/>
  <c r="A2677" i="5"/>
  <c r="A2678" i="5"/>
  <c r="A2679" i="5"/>
  <c r="A2680" i="5"/>
  <c r="A2681" i="5"/>
  <c r="A2682" i="5"/>
  <c r="A2683" i="5"/>
  <c r="A2685" i="5"/>
  <c r="A2686" i="5"/>
  <c r="A2687" i="5"/>
  <c r="A2688" i="5"/>
  <c r="A2689" i="5"/>
  <c r="A2690" i="5"/>
  <c r="A2691" i="5"/>
  <c r="A2692" i="5"/>
  <c r="A2693" i="5"/>
  <c r="A2694" i="5"/>
  <c r="A2695" i="5"/>
  <c r="A2696" i="5"/>
  <c r="A2697" i="5"/>
  <c r="A2698" i="5"/>
  <c r="A2699" i="5"/>
  <c r="A2700" i="5"/>
  <c r="A2701" i="5"/>
  <c r="A2702" i="5"/>
  <c r="A2703" i="5"/>
  <c r="A2704" i="5"/>
  <c r="A2705" i="5"/>
  <c r="A2706" i="5"/>
  <c r="A2707" i="5"/>
  <c r="A2708" i="5"/>
  <c r="A2709" i="5"/>
  <c r="A2710" i="5"/>
  <c r="A2711" i="5"/>
  <c r="A2712" i="5"/>
  <c r="A2713" i="5"/>
  <c r="A2714" i="5"/>
  <c r="A2715" i="5"/>
  <c r="A2716" i="5"/>
  <c r="A2717" i="5"/>
  <c r="A2718" i="5"/>
  <c r="A2719" i="5"/>
  <c r="A2720" i="5"/>
  <c r="A2721" i="5"/>
  <c r="A2722" i="5"/>
  <c r="A2723" i="5"/>
  <c r="A2724" i="5"/>
  <c r="A2725" i="5"/>
  <c r="A2726" i="5"/>
  <c r="A2727" i="5"/>
  <c r="A2728" i="5"/>
  <c r="A2729" i="5"/>
  <c r="A2730" i="5"/>
  <c r="A2731" i="5"/>
  <c r="A2732" i="5"/>
  <c r="A2733" i="5"/>
  <c r="A2734" i="5"/>
  <c r="A2735" i="5"/>
  <c r="A2736" i="5"/>
  <c r="A2737" i="5"/>
  <c r="A2738" i="5"/>
  <c r="A2739" i="5"/>
  <c r="A2740" i="5"/>
  <c r="A2741" i="5"/>
  <c r="A2742" i="5"/>
  <c r="A2743" i="5"/>
  <c r="A2744" i="5"/>
  <c r="A2745" i="5"/>
  <c r="A2746" i="5"/>
  <c r="A2747" i="5"/>
  <c r="A2748" i="5"/>
  <c r="A2749" i="5"/>
  <c r="A2750" i="5"/>
  <c r="A2751" i="5"/>
  <c r="A2752" i="5"/>
  <c r="A2753" i="5"/>
  <c r="A2754" i="5"/>
  <c r="A2755" i="5"/>
  <c r="A2756" i="5"/>
  <c r="A2757" i="5"/>
  <c r="A2758" i="5"/>
  <c r="A2759" i="5"/>
  <c r="A2760" i="5"/>
  <c r="A2761" i="5"/>
  <c r="A2762" i="5"/>
  <c r="A2763" i="5"/>
  <c r="A2764" i="5"/>
  <c r="A2765" i="5"/>
  <c r="A2766" i="5"/>
  <c r="A2772" i="5"/>
  <c r="A2773" i="5"/>
  <c r="A2774" i="5"/>
  <c r="A2775" i="5"/>
  <c r="A2776" i="5"/>
  <c r="A2777" i="5"/>
  <c r="A2778" i="5"/>
  <c r="A2779" i="5"/>
  <c r="A2780" i="5"/>
  <c r="A2781" i="5"/>
  <c r="A2782" i="5"/>
  <c r="A2783" i="5"/>
  <c r="A2784" i="5"/>
  <c r="A2785" i="5"/>
  <c r="A2786" i="5"/>
  <c r="A2787" i="5"/>
  <c r="A2788" i="5"/>
  <c r="A2789" i="5"/>
  <c r="A2790" i="5"/>
  <c r="A2791" i="5"/>
  <c r="A2792" i="5"/>
  <c r="A2793" i="5"/>
  <c r="A2794" i="5"/>
  <c r="A2798" i="5"/>
  <c r="A2799" i="5"/>
  <c r="A2800" i="5"/>
  <c r="A2811" i="5"/>
  <c r="A2812" i="5"/>
  <c r="A2813" i="5"/>
  <c r="A2814" i="5"/>
  <c r="A2815" i="5"/>
  <c r="A2816" i="5"/>
  <c r="A2817" i="5"/>
  <c r="A2818" i="5"/>
  <c r="A2819" i="5"/>
  <c r="A2820" i="5"/>
  <c r="A2821" i="5"/>
  <c r="A2822" i="5"/>
  <c r="A2823" i="5"/>
  <c r="A2824" i="5"/>
  <c r="A2825" i="5"/>
  <c r="A2826" i="5"/>
  <c r="A2827" i="5"/>
  <c r="A2828" i="5"/>
  <c r="A2829" i="5"/>
  <c r="A2830" i="5"/>
  <c r="A2831" i="5"/>
  <c r="A2832" i="5"/>
  <c r="A2833" i="5"/>
  <c r="A2834" i="5"/>
  <c r="A2835" i="5"/>
  <c r="A2836" i="5"/>
  <c r="A2838" i="5"/>
  <c r="A2839" i="5"/>
  <c r="A2840" i="5"/>
  <c r="A2841" i="5"/>
  <c r="A2842" i="5"/>
  <c r="A2843" i="5"/>
  <c r="A2844" i="5"/>
  <c r="A2845" i="5"/>
  <c r="A2846" i="5"/>
  <c r="A2847" i="5"/>
  <c r="A2848" i="5"/>
  <c r="A2849" i="5"/>
  <c r="A2850" i="5"/>
  <c r="A2851" i="5"/>
  <c r="A2852" i="5"/>
  <c r="A2853" i="5"/>
  <c r="A2854" i="5"/>
  <c r="A2855" i="5"/>
  <c r="A2856" i="5"/>
  <c r="A2857" i="5"/>
  <c r="A2858" i="5"/>
  <c r="A2859" i="5"/>
  <c r="A2860" i="5"/>
  <c r="A2861" i="5"/>
  <c r="A2862" i="5"/>
  <c r="A2863" i="5"/>
  <c r="A2864" i="5"/>
  <c r="A2865" i="5"/>
  <c r="A2866" i="5"/>
  <c r="A2867" i="5"/>
  <c r="A2868" i="5"/>
  <c r="A2869" i="5"/>
  <c r="A2870" i="5"/>
  <c r="A2871" i="5"/>
  <c r="A2872" i="5"/>
  <c r="A2873" i="5"/>
  <c r="A2874" i="5"/>
  <c r="A2875" i="5"/>
  <c r="A2876" i="5"/>
  <c r="A2877" i="5"/>
  <c r="A2878" i="5"/>
  <c r="A2879" i="5"/>
  <c r="A2880" i="5"/>
  <c r="A2881" i="5"/>
  <c r="A2882" i="5"/>
  <c r="A2883" i="5"/>
  <c r="A2884" i="5"/>
  <c r="A2885" i="5"/>
  <c r="A2886" i="5"/>
  <c r="A2887" i="5"/>
  <c r="A2888" i="5"/>
  <c r="A2889" i="5"/>
  <c r="A2890" i="5"/>
  <c r="A2891" i="5"/>
  <c r="A2892" i="5"/>
  <c r="A2893" i="5"/>
  <c r="A2894" i="5"/>
  <c r="A2895" i="5"/>
  <c r="A2896" i="5"/>
  <c r="A2897" i="5"/>
  <c r="A2898" i="5"/>
  <c r="A2899" i="5"/>
  <c r="A2900" i="5"/>
  <c r="A2901" i="5"/>
  <c r="A2902" i="5"/>
  <c r="A2903" i="5"/>
  <c r="A2904" i="5"/>
  <c r="A2905" i="5"/>
  <c r="A2906" i="5"/>
  <c r="A2907" i="5"/>
  <c r="A2908" i="5"/>
  <c r="A2909" i="5"/>
  <c r="A2910" i="5"/>
  <c r="A2911" i="5"/>
  <c r="A2912" i="5"/>
  <c r="A2913" i="5"/>
  <c r="A2914" i="5"/>
  <c r="A2915" i="5"/>
  <c r="A2916" i="5"/>
  <c r="A2917" i="5"/>
  <c r="A2918" i="5"/>
  <c r="A2919" i="5"/>
  <c r="A2920" i="5"/>
  <c r="A2921" i="5"/>
  <c r="A2922" i="5"/>
  <c r="A2923" i="5"/>
  <c r="A2924" i="5"/>
  <c r="A2925" i="5"/>
  <c r="A2926" i="5"/>
  <c r="A2927" i="5"/>
  <c r="A2928" i="5"/>
  <c r="A2929" i="5"/>
  <c r="A2930" i="5"/>
  <c r="A2931" i="5"/>
  <c r="A2932" i="5"/>
  <c r="A2933" i="5"/>
  <c r="A2934" i="5"/>
  <c r="A2935" i="5"/>
  <c r="A2936" i="5"/>
  <c r="A2937" i="5"/>
  <c r="A2938" i="5"/>
  <c r="A2939" i="5"/>
  <c r="A2940" i="5"/>
  <c r="A2941" i="5"/>
  <c r="A2942" i="5"/>
  <c r="A2943" i="5"/>
  <c r="A2944" i="5"/>
  <c r="A2945" i="5"/>
  <c r="A2946" i="5"/>
  <c r="A2947" i="5"/>
  <c r="A2948" i="5"/>
  <c r="A2949" i="5"/>
  <c r="A2950" i="5"/>
  <c r="A2951" i="5"/>
  <c r="A2952" i="5"/>
  <c r="A2953" i="5"/>
  <c r="A2954" i="5"/>
  <c r="A2955" i="5"/>
  <c r="A2956" i="5"/>
  <c r="A2957" i="5"/>
  <c r="A2958" i="5"/>
  <c r="A2073" i="5"/>
  <c r="A2072" i="5"/>
  <c r="A2070" i="5"/>
  <c r="A2071" i="5"/>
  <c r="A2058" i="5"/>
  <c r="A2069" i="5"/>
  <c r="A2068" i="5"/>
  <c r="A2067" i="5"/>
  <c r="A2066" i="5"/>
  <c r="A2065" i="5"/>
  <c r="A2063" i="5"/>
  <c r="A2064" i="5"/>
  <c r="A2057" i="5"/>
  <c r="A2060" i="5"/>
  <c r="A2061" i="5"/>
  <c r="A2062" i="5"/>
  <c r="A2059" i="5"/>
  <c r="A2056" i="5"/>
  <c r="A2055" i="5"/>
  <c r="A2049" i="5"/>
  <c r="A2050" i="5"/>
  <c r="A2051" i="5"/>
  <c r="A2052" i="5"/>
  <c r="A2053" i="5"/>
  <c r="A2054" i="5"/>
  <c r="A2043" i="5"/>
  <c r="A2044" i="5"/>
  <c r="A2045" i="5"/>
  <c r="A2046" i="5"/>
  <c r="A2047" i="5"/>
  <c r="A2048" i="5"/>
  <c r="A2040" i="5"/>
  <c r="A2041" i="5"/>
  <c r="A2042" i="5"/>
  <c r="A2039" i="5" l="1"/>
  <c r="A2038" i="5"/>
  <c r="A2037" i="5"/>
  <c r="A2036" i="5"/>
  <c r="A2033" i="5"/>
  <c r="A2034" i="5"/>
  <c r="A2035" i="5"/>
  <c r="A2032" i="5"/>
  <c r="A1868" i="5"/>
  <c r="A1867" i="5"/>
  <c r="A2001" i="5"/>
  <c r="A2010" i="5"/>
  <c r="A1949" i="5"/>
  <c r="A1900" i="5"/>
  <c r="A15" i="5"/>
  <c r="A1477" i="5"/>
  <c r="A1494" i="5"/>
  <c r="A1487" i="5"/>
  <c r="A1490" i="5"/>
  <c r="A1491" i="5"/>
  <c r="A1492" i="5"/>
  <c r="A1493" i="5"/>
  <c r="A1495" i="5"/>
  <c r="A1496" i="5"/>
  <c r="A1497" i="5"/>
  <c r="A1498" i="5"/>
  <c r="A1499" i="5"/>
  <c r="A1500" i="5"/>
  <c r="A1501" i="5"/>
  <c r="A1502" i="5"/>
  <c r="A1503" i="5"/>
  <c r="A1504" i="5"/>
  <c r="A1505" i="5"/>
  <c r="A1506" i="5"/>
  <c r="A1507" i="5"/>
  <c r="A1508" i="5"/>
  <c r="A1509" i="5"/>
  <c r="A1510" i="5"/>
  <c r="A1511" i="5"/>
  <c r="A1512" i="5"/>
  <c r="A1513" i="5"/>
  <c r="A1514" i="5"/>
  <c r="A1515" i="5"/>
  <c r="A1516" i="5"/>
  <c r="A1517" i="5"/>
  <c r="A1518" i="5"/>
  <c r="A1519" i="5"/>
  <c r="A1520" i="5"/>
  <c r="A1521" i="5"/>
  <c r="A1522" i="5"/>
  <c r="A1523" i="5"/>
  <c r="A1524" i="5"/>
  <c r="A1525" i="5"/>
  <c r="A1526" i="5"/>
  <c r="A1527" i="5"/>
  <c r="A1528" i="5"/>
  <c r="A1529" i="5"/>
  <c r="A1530" i="5"/>
  <c r="A1531" i="5"/>
  <c r="A1532" i="5"/>
  <c r="A1533" i="5"/>
  <c r="A1534" i="5"/>
  <c r="A1535" i="5"/>
  <c r="A1536" i="5"/>
  <c r="A1537" i="5"/>
  <c r="A1538" i="5"/>
  <c r="A1539" i="5"/>
  <c r="A1540" i="5"/>
  <c r="A1541" i="5"/>
  <c r="A1542" i="5"/>
  <c r="A1543" i="5"/>
  <c r="A1544" i="5"/>
  <c r="A1545" i="5"/>
  <c r="A1546" i="5"/>
  <c r="A1547" i="5"/>
  <c r="A1548" i="5"/>
  <c r="A1549" i="5"/>
  <c r="A1550" i="5"/>
  <c r="A1551" i="5"/>
  <c r="A1552" i="5"/>
  <c r="A1553" i="5"/>
  <c r="A1554" i="5"/>
  <c r="A1555" i="5"/>
  <c r="A1556" i="5"/>
  <c r="A1557" i="5"/>
  <c r="A1558" i="5"/>
  <c r="A1559" i="5"/>
  <c r="A1560" i="5"/>
  <c r="A1561" i="5"/>
  <c r="A1562" i="5"/>
  <c r="A1563" i="5"/>
  <c r="A1564" i="5"/>
  <c r="A1565" i="5"/>
  <c r="A1566" i="5"/>
  <c r="A1567" i="5"/>
  <c r="A1568" i="5"/>
  <c r="A1569" i="5"/>
  <c r="A1570" i="5"/>
  <c r="A1571" i="5"/>
  <c r="A1572" i="5"/>
  <c r="A1573" i="5"/>
  <c r="A1574" i="5"/>
  <c r="A1575" i="5"/>
  <c r="A1576" i="5"/>
  <c r="A1577" i="5"/>
  <c r="A1578" i="5"/>
  <c r="A1579" i="5"/>
  <c r="A1580" i="5"/>
  <c r="A1581" i="5"/>
  <c r="A1582" i="5"/>
  <c r="A1583" i="5"/>
  <c r="A1584" i="5"/>
  <c r="A1585" i="5"/>
  <c r="A1586" i="5"/>
  <c r="A1587" i="5"/>
  <c r="A1588" i="5"/>
  <c r="A1589" i="5"/>
  <c r="A1590" i="5"/>
  <c r="A1591" i="5"/>
  <c r="A1592" i="5"/>
  <c r="A1593" i="5"/>
  <c r="A1594" i="5"/>
  <c r="A1595" i="5"/>
  <c r="A1596" i="5"/>
  <c r="A1597" i="5"/>
  <c r="A1598" i="5"/>
  <c r="A1599" i="5"/>
  <c r="A1600" i="5"/>
  <c r="A1601" i="5"/>
  <c r="A1602" i="5"/>
  <c r="A1603" i="5"/>
  <c r="A1604" i="5"/>
  <c r="A1605" i="5"/>
  <c r="A1606" i="5"/>
  <c r="A1607" i="5"/>
  <c r="A1608" i="5"/>
  <c r="A1609" i="5"/>
  <c r="A1610" i="5"/>
  <c r="A1611" i="5"/>
  <c r="A1612" i="5"/>
  <c r="A1613" i="5"/>
  <c r="A1614" i="5"/>
  <c r="A1615" i="5"/>
  <c r="A1616" i="5"/>
  <c r="A1617" i="5"/>
  <c r="A1618" i="5"/>
  <c r="A1619" i="5"/>
  <c r="A1620" i="5"/>
  <c r="A1621" i="5"/>
  <c r="A1622" i="5"/>
  <c r="A1623" i="5"/>
  <c r="A1624" i="5"/>
  <c r="A1625" i="5"/>
  <c r="A1626" i="5"/>
  <c r="A1627" i="5"/>
  <c r="A1628" i="5"/>
  <c r="A1629" i="5"/>
  <c r="A1630" i="5"/>
  <c r="A1631" i="5"/>
  <c r="A1632" i="5"/>
  <c r="A1633" i="5"/>
  <c r="A1634" i="5"/>
  <c r="A1635" i="5"/>
  <c r="A1636" i="5"/>
  <c r="A1637" i="5"/>
  <c r="A1638" i="5"/>
  <c r="A1639" i="5"/>
  <c r="A1640" i="5"/>
  <c r="A1641" i="5"/>
  <c r="A1642" i="5"/>
  <c r="A1643" i="5"/>
  <c r="A1644" i="5"/>
  <c r="A1645" i="5"/>
  <c r="A1646" i="5"/>
  <c r="A1647" i="5"/>
  <c r="A1648" i="5"/>
  <c r="A1649" i="5"/>
  <c r="A1650" i="5"/>
  <c r="A1651" i="5"/>
  <c r="A1652" i="5"/>
  <c r="A1653" i="5"/>
  <c r="A1654" i="5"/>
  <c r="A1655" i="5"/>
  <c r="A1656" i="5"/>
  <c r="A1657" i="5"/>
  <c r="A1658" i="5"/>
  <c r="A1659" i="5"/>
  <c r="A1660" i="5"/>
  <c r="A1661" i="5"/>
  <c r="A1662" i="5"/>
  <c r="A1663" i="5"/>
  <c r="A1664" i="5"/>
  <c r="A1665" i="5"/>
  <c r="A1666" i="5"/>
  <c r="A1667" i="5"/>
  <c r="A1668" i="5"/>
  <c r="A1669" i="5"/>
  <c r="A1670" i="5"/>
  <c r="A1671" i="5"/>
  <c r="A1672" i="5"/>
  <c r="A1673" i="5"/>
  <c r="A1674" i="5"/>
  <c r="A1675" i="5"/>
  <c r="A1676" i="5"/>
  <c r="A1677" i="5"/>
  <c r="A1678" i="5"/>
  <c r="A1679" i="5"/>
  <c r="A1680" i="5"/>
  <c r="A1681" i="5"/>
  <c r="A1682" i="5"/>
  <c r="A1683" i="5"/>
  <c r="A1684" i="5"/>
  <c r="A1685" i="5"/>
  <c r="A1686" i="5"/>
  <c r="A1687" i="5"/>
  <c r="A1688" i="5"/>
  <c r="A1689" i="5"/>
  <c r="A1690" i="5"/>
  <c r="A1691" i="5"/>
  <c r="A1692" i="5"/>
  <c r="A1693" i="5"/>
  <c r="A1694" i="5"/>
  <c r="A1695" i="5"/>
  <c r="A1696" i="5"/>
  <c r="A1697" i="5"/>
  <c r="A1698" i="5"/>
  <c r="A1699" i="5"/>
  <c r="A1700" i="5"/>
  <c r="A1701" i="5"/>
  <c r="A1702" i="5"/>
  <c r="A1703" i="5"/>
  <c r="A1704" i="5"/>
  <c r="A1705" i="5"/>
  <c r="A1706" i="5"/>
  <c r="A1707" i="5"/>
  <c r="A1708" i="5"/>
  <c r="A1709" i="5"/>
  <c r="A1710" i="5"/>
  <c r="A1711" i="5"/>
  <c r="A1712" i="5"/>
  <c r="A1713" i="5"/>
  <c r="A1714" i="5"/>
  <c r="A1715" i="5"/>
  <c r="A1716" i="5"/>
  <c r="A1717" i="5"/>
  <c r="A1718" i="5"/>
  <c r="A1719" i="5"/>
  <c r="A1720" i="5"/>
  <c r="A1721" i="5"/>
  <c r="A1722" i="5"/>
  <c r="A1723" i="5"/>
  <c r="A1724" i="5"/>
  <c r="A1725" i="5"/>
  <c r="A1726" i="5"/>
  <c r="A1727" i="5"/>
  <c r="A1728" i="5"/>
  <c r="A1729" i="5"/>
  <c r="A1730" i="5"/>
  <c r="A1731" i="5"/>
  <c r="A1732" i="5"/>
  <c r="A1733" i="5"/>
  <c r="A1734" i="5"/>
  <c r="A1735" i="5"/>
  <c r="A1736" i="5"/>
  <c r="A1737" i="5"/>
  <c r="A1738" i="5"/>
  <c r="A1739" i="5"/>
  <c r="A1740" i="5"/>
  <c r="A1741" i="5"/>
  <c r="A1742" i="5"/>
  <c r="A1743" i="5"/>
  <c r="A1744" i="5"/>
  <c r="A1745" i="5"/>
  <c r="A1746" i="5"/>
  <c r="A1747" i="5"/>
  <c r="A1748" i="5"/>
  <c r="A1749" i="5"/>
  <c r="A1750" i="5"/>
  <c r="A1751" i="5"/>
  <c r="A1752" i="5"/>
  <c r="A1753" i="5"/>
  <c r="A1754" i="5"/>
  <c r="A1755" i="5"/>
  <c r="A1756" i="5"/>
  <c r="A1757" i="5"/>
  <c r="A1758" i="5"/>
  <c r="A1759" i="5"/>
  <c r="A1760" i="5"/>
  <c r="A1761" i="5"/>
  <c r="A1762" i="5"/>
  <c r="A1763" i="5"/>
  <c r="A1764" i="5"/>
  <c r="A1765" i="5"/>
  <c r="A1766" i="5"/>
  <c r="A1767" i="5"/>
  <c r="A1768" i="5"/>
  <c r="A1769" i="5"/>
  <c r="A1770" i="5"/>
  <c r="A1771" i="5"/>
  <c r="A1772" i="5"/>
  <c r="A1773" i="5"/>
  <c r="A1774" i="5"/>
  <c r="A1775" i="5"/>
  <c r="A1776" i="5"/>
  <c r="A1777" i="5"/>
  <c r="A1778" i="5"/>
  <c r="A1779" i="5"/>
  <c r="A1780" i="5"/>
  <c r="A1781" i="5"/>
  <c r="A1782" i="5"/>
  <c r="A1783" i="5"/>
  <c r="A1784" i="5"/>
  <c r="A1785" i="5"/>
  <c r="A1786" i="5"/>
  <c r="A1787" i="5"/>
  <c r="A1788" i="5"/>
  <c r="A1789" i="5"/>
  <c r="A1790" i="5"/>
  <c r="A1791" i="5"/>
  <c r="A1792" i="5"/>
  <c r="A1793" i="5"/>
  <c r="A1794" i="5"/>
  <c r="A1795" i="5"/>
  <c r="A1796" i="5"/>
  <c r="A1797" i="5"/>
  <c r="A1798" i="5"/>
  <c r="A1799" i="5"/>
  <c r="A1800" i="5"/>
  <c r="A1801" i="5"/>
  <c r="A1802" i="5"/>
  <c r="A1803" i="5"/>
  <c r="A1804" i="5"/>
  <c r="A1805" i="5"/>
  <c r="A1806" i="5"/>
  <c r="A1807" i="5"/>
  <c r="A1808" i="5"/>
  <c r="A1809" i="5"/>
  <c r="A1810" i="5"/>
  <c r="A1811" i="5"/>
  <c r="A1812" i="5"/>
  <c r="A1813" i="5"/>
  <c r="A1814" i="5"/>
  <c r="A1815" i="5"/>
  <c r="A1816" i="5"/>
  <c r="A1817" i="5"/>
  <c r="A1818" i="5"/>
  <c r="A1819" i="5"/>
  <c r="A1820" i="5"/>
  <c r="A1821" i="5"/>
  <c r="A1822" i="5"/>
  <c r="A1823" i="5"/>
  <c r="A1824" i="5"/>
  <c r="A1825" i="5"/>
  <c r="A1826" i="5"/>
  <c r="A1827" i="5"/>
  <c r="A1828" i="5"/>
  <c r="A1829" i="5"/>
  <c r="A1830" i="5"/>
  <c r="A1831" i="5"/>
  <c r="A1832" i="5"/>
  <c r="A1833" i="5"/>
  <c r="A1834" i="5"/>
  <c r="A1835" i="5"/>
  <c r="A1836" i="5"/>
  <c r="A1837" i="5"/>
  <c r="A1838" i="5"/>
  <c r="A1839" i="5"/>
  <c r="A1840" i="5"/>
  <c r="A1841" i="5"/>
  <c r="A1842" i="5"/>
  <c r="A1843" i="5"/>
  <c r="A1844" i="5"/>
  <c r="A1845" i="5"/>
  <c r="A1846" i="5"/>
  <c r="A1847" i="5"/>
  <c r="A1848" i="5"/>
  <c r="A1849" i="5"/>
  <c r="A1850" i="5"/>
  <c r="A1851" i="5"/>
  <c r="A1852" i="5"/>
  <c r="A1853" i="5"/>
  <c r="A1854" i="5"/>
  <c r="A1855" i="5"/>
  <c r="A1856" i="5"/>
  <c r="A1857" i="5"/>
  <c r="A1858" i="5"/>
  <c r="A1859" i="5"/>
  <c r="A1860" i="5"/>
  <c r="A1861" i="5"/>
  <c r="A1862" i="5"/>
  <c r="A1863" i="5"/>
  <c r="A1864" i="5"/>
  <c r="A1865" i="5"/>
  <c r="A1866" i="5"/>
  <c r="A1869" i="5"/>
  <c r="A1870" i="5"/>
  <c r="A1871" i="5"/>
  <c r="A1872" i="5"/>
  <c r="A1873" i="5"/>
  <c r="A1874" i="5"/>
  <c r="A1875" i="5"/>
  <c r="A1876" i="5"/>
  <c r="A1877" i="5"/>
  <c r="A1878" i="5"/>
  <c r="A1879" i="5"/>
  <c r="A1880" i="5"/>
  <c r="A1881" i="5"/>
  <c r="A1882" i="5"/>
  <c r="A1883" i="5"/>
  <c r="A1884" i="5"/>
  <c r="A1885" i="5"/>
  <c r="A1886" i="5"/>
  <c r="A1887" i="5"/>
  <c r="A1888" i="5"/>
  <c r="A1889" i="5"/>
  <c r="A1890" i="5"/>
  <c r="A1891" i="5"/>
  <c r="A1892" i="5"/>
  <c r="A1893" i="5"/>
  <c r="A1894" i="5"/>
  <c r="A1895" i="5"/>
  <c r="A1896" i="5"/>
  <c r="A1897" i="5"/>
  <c r="A1898" i="5"/>
  <c r="A1899" i="5"/>
  <c r="A1901" i="5"/>
  <c r="A1902" i="5"/>
  <c r="A1903" i="5"/>
  <c r="A1904" i="5"/>
  <c r="A1905" i="5"/>
  <c r="A1906" i="5"/>
  <c r="A1907" i="5"/>
  <c r="A1908" i="5"/>
  <c r="A1909" i="5"/>
  <c r="A1910" i="5"/>
  <c r="A1911" i="5"/>
  <c r="A1912" i="5"/>
  <c r="A1913" i="5"/>
  <c r="A1914" i="5"/>
  <c r="A1915" i="5"/>
  <c r="A1916" i="5"/>
  <c r="A1917" i="5"/>
  <c r="A1918" i="5"/>
  <c r="A1919" i="5"/>
  <c r="A1920" i="5"/>
  <c r="A1921" i="5"/>
  <c r="A1922" i="5"/>
  <c r="A1923" i="5"/>
  <c r="A1924" i="5"/>
  <c r="A1925" i="5"/>
  <c r="A1926" i="5"/>
  <c r="A1927" i="5"/>
  <c r="A1928" i="5"/>
  <c r="A1929" i="5"/>
  <c r="A1930" i="5"/>
  <c r="A1931" i="5"/>
  <c r="A1932" i="5"/>
  <c r="A1933" i="5"/>
  <c r="A1934" i="5"/>
  <c r="A1935" i="5"/>
  <c r="A1936" i="5"/>
  <c r="A1937" i="5"/>
  <c r="A1938" i="5"/>
  <c r="A1939" i="5"/>
  <c r="A1940" i="5"/>
  <c r="A1941" i="5"/>
  <c r="A1942" i="5"/>
  <c r="A1943" i="5"/>
  <c r="A1944" i="5"/>
  <c r="A1945" i="5"/>
  <c r="A1946" i="5"/>
  <c r="A1947" i="5"/>
  <c r="A1948" i="5"/>
  <c r="A1950" i="5"/>
  <c r="A1951" i="5"/>
  <c r="A1952" i="5"/>
  <c r="A1953" i="5"/>
  <c r="A1954" i="5"/>
  <c r="A1955" i="5"/>
  <c r="A1956" i="5"/>
  <c r="A1957" i="5"/>
  <c r="A1958" i="5"/>
  <c r="A1959" i="5"/>
  <c r="A1960" i="5"/>
  <c r="A1961" i="5"/>
  <c r="A1962" i="5"/>
  <c r="A1963" i="5"/>
  <c r="A1964" i="5"/>
  <c r="A1965" i="5"/>
  <c r="A1966" i="5"/>
  <c r="A1967" i="5"/>
  <c r="A1968" i="5"/>
  <c r="A1969" i="5"/>
  <c r="A1970" i="5"/>
  <c r="A1971" i="5"/>
  <c r="A1972" i="5"/>
  <c r="A1973" i="5"/>
  <c r="A1974" i="5"/>
  <c r="A1975" i="5"/>
  <c r="A1976" i="5"/>
  <c r="A1977" i="5"/>
  <c r="A1978" i="5"/>
  <c r="A1979" i="5"/>
  <c r="A1980" i="5"/>
  <c r="A1981" i="5"/>
  <c r="A1982" i="5"/>
  <c r="A1983" i="5"/>
  <c r="A1984" i="5"/>
  <c r="A1985" i="5"/>
  <c r="A1986" i="5"/>
  <c r="A1987" i="5"/>
  <c r="A1988" i="5"/>
  <c r="A1989" i="5"/>
  <c r="A1990" i="5"/>
  <c r="A1991" i="5"/>
  <c r="A1992" i="5"/>
  <c r="A1993" i="5"/>
  <c r="A1994" i="5"/>
  <c r="A1995" i="5"/>
  <c r="A1996" i="5"/>
  <c r="A1997" i="5"/>
  <c r="A1998" i="5"/>
  <c r="A1999" i="5"/>
  <c r="A2000" i="5"/>
  <c r="A2002" i="5"/>
  <c r="A2003" i="5"/>
  <c r="A2004" i="5"/>
  <c r="A2005" i="5"/>
  <c r="A2006" i="5"/>
  <c r="A2007" i="5"/>
  <c r="A2008" i="5"/>
  <c r="A2009" i="5"/>
  <c r="A2011" i="5"/>
  <c r="A2012" i="5"/>
  <c r="A2013" i="5"/>
  <c r="A2014" i="5"/>
  <c r="A2015" i="5"/>
  <c r="A2016" i="5"/>
  <c r="A2017" i="5"/>
  <c r="A2018" i="5"/>
  <c r="A2019" i="5"/>
  <c r="A2020" i="5"/>
  <c r="A2021" i="5"/>
  <c r="A2022" i="5"/>
  <c r="A2023" i="5"/>
  <c r="A2024" i="5"/>
  <c r="A2025" i="5"/>
  <c r="A2026" i="5"/>
  <c r="A2027" i="5"/>
  <c r="A2028" i="5"/>
  <c r="A2029" i="5"/>
  <c r="A2030" i="5"/>
  <c r="A2031" i="5"/>
  <c r="A1437" i="5"/>
  <c r="A1302" i="5"/>
  <c r="A1337" i="5" l="1"/>
  <c r="A1342" i="5" l="1"/>
  <c r="A1215" i="5" l="1"/>
  <c r="A1185" i="5"/>
  <c r="A1267" i="5" l="1"/>
  <c r="A448" i="5" l="1"/>
  <c r="A404" i="5" l="1"/>
  <c r="A137" i="5"/>
  <c r="A1118" i="5" l="1"/>
  <c r="A1165" i="5" l="1"/>
  <c r="A1030" i="5"/>
  <c r="A1082" i="5"/>
  <c r="A1103" i="5" l="1"/>
  <c r="A892" i="5"/>
  <c r="A979" i="5"/>
  <c r="A966" i="5"/>
  <c r="A927" i="5" l="1"/>
  <c r="A928" i="5" l="1"/>
  <c r="A958" i="5"/>
  <c r="A959" i="5"/>
  <c r="A905" i="5" l="1"/>
  <c r="A906" i="5" l="1"/>
  <c r="A907" i="5"/>
  <c r="A908" i="5"/>
  <c r="A909" i="5"/>
  <c r="A910" i="5"/>
  <c r="A911" i="5"/>
  <c r="A912" i="5"/>
  <c r="A913" i="5"/>
  <c r="A914" i="5"/>
  <c r="A915" i="5"/>
  <c r="A916" i="5"/>
  <c r="A917" i="5"/>
  <c r="A918" i="5"/>
  <c r="A919" i="5"/>
  <c r="A920" i="5"/>
  <c r="A921" i="5"/>
  <c r="A922" i="5"/>
  <c r="A923" i="5"/>
  <c r="A924" i="5"/>
  <c r="A925" i="5"/>
  <c r="A926" i="5"/>
  <c r="A929" i="5"/>
  <c r="A930" i="5"/>
  <c r="A931" i="5"/>
  <c r="A932" i="5"/>
  <c r="A933" i="5"/>
  <c r="A934" i="5"/>
  <c r="A935" i="5"/>
  <c r="A936" i="5"/>
  <c r="A937" i="5"/>
  <c r="A938" i="5"/>
  <c r="A939" i="5"/>
  <c r="A940" i="5"/>
  <c r="A941" i="5"/>
  <c r="A942" i="5"/>
  <c r="A943" i="5"/>
  <c r="A944" i="5"/>
  <c r="A945" i="5"/>
  <c r="A946" i="5"/>
  <c r="A947" i="5"/>
  <c r="A948" i="5"/>
  <c r="A949" i="5"/>
  <c r="A950" i="5"/>
  <c r="A951" i="5"/>
  <c r="A952" i="5"/>
  <c r="A953" i="5"/>
  <c r="A954" i="5"/>
  <c r="A955" i="5"/>
  <c r="A956" i="5"/>
  <c r="A957" i="5"/>
  <c r="A960" i="5"/>
  <c r="A961" i="5"/>
  <c r="A962" i="5"/>
  <c r="A963" i="5"/>
  <c r="A964" i="5"/>
  <c r="A965" i="5"/>
  <c r="A967" i="5"/>
  <c r="A968" i="5"/>
  <c r="A969" i="5"/>
  <c r="A970" i="5"/>
  <c r="A971" i="5"/>
  <c r="A972" i="5"/>
  <c r="A973" i="5"/>
  <c r="A974" i="5"/>
  <c r="A975" i="5"/>
  <c r="A976" i="5"/>
  <c r="A977" i="5"/>
  <c r="A978" i="5"/>
  <c r="A980" i="5"/>
  <c r="A981" i="5"/>
  <c r="A982" i="5"/>
  <c r="A983" i="5"/>
  <c r="A984" i="5"/>
  <c r="A985" i="5"/>
  <c r="A986" i="5"/>
  <c r="A987" i="5"/>
  <c r="A988" i="5"/>
  <c r="A989" i="5"/>
  <c r="A990" i="5"/>
  <c r="A991" i="5"/>
  <c r="A992" i="5"/>
  <c r="A993" i="5"/>
  <c r="A994" i="5"/>
  <c r="A995" i="5"/>
  <c r="A996" i="5"/>
  <c r="A997" i="5"/>
  <c r="A998" i="5"/>
  <c r="A999" i="5"/>
  <c r="A1000" i="5"/>
  <c r="A1001" i="5"/>
  <c r="A1002" i="5"/>
  <c r="A1003" i="5"/>
  <c r="A1004" i="5"/>
  <c r="A1005" i="5"/>
  <c r="A1006" i="5"/>
  <c r="A1007" i="5"/>
  <c r="A1008" i="5"/>
  <c r="A1009" i="5"/>
  <c r="A1010" i="5"/>
  <c r="A1011" i="5"/>
  <c r="A1012" i="5"/>
  <c r="A1013" i="5"/>
  <c r="A1014" i="5"/>
  <c r="A1015" i="5"/>
  <c r="A1016" i="5"/>
  <c r="A1017" i="5"/>
  <c r="A1018" i="5"/>
  <c r="A1019" i="5"/>
  <c r="A1020" i="5"/>
  <c r="A1021" i="5"/>
  <c r="A1022" i="5"/>
  <c r="A1023" i="5"/>
  <c r="A1024" i="5"/>
  <c r="A1025" i="5"/>
  <c r="A1026" i="5"/>
  <c r="A1027" i="5"/>
  <c r="A1028" i="5"/>
  <c r="A1029" i="5"/>
  <c r="A1031" i="5"/>
  <c r="A1032" i="5"/>
  <c r="A1033" i="5"/>
  <c r="A1034" i="5"/>
  <c r="A1035" i="5"/>
  <c r="A1036" i="5"/>
  <c r="A1037" i="5"/>
  <c r="A1038" i="5"/>
  <c r="A1039" i="5"/>
  <c r="A1040" i="5"/>
  <c r="A1041" i="5"/>
  <c r="A1042" i="5"/>
  <c r="A1043" i="5"/>
  <c r="A1044" i="5"/>
  <c r="A1045" i="5"/>
  <c r="A1046" i="5"/>
  <c r="A1047" i="5"/>
  <c r="A1048" i="5"/>
  <c r="A1049" i="5"/>
  <c r="A1050" i="5"/>
  <c r="A1051" i="5"/>
  <c r="A1052" i="5"/>
  <c r="A1053" i="5"/>
  <c r="A1054" i="5"/>
  <c r="A1055" i="5"/>
  <c r="A1056" i="5"/>
  <c r="A1057" i="5"/>
  <c r="A1058" i="5"/>
  <c r="A1059" i="5"/>
  <c r="A1060" i="5"/>
  <c r="A1061" i="5"/>
  <c r="A1062" i="5"/>
  <c r="A1063" i="5"/>
  <c r="A1064" i="5"/>
  <c r="A1065" i="5"/>
  <c r="A1066" i="5"/>
  <c r="A1067" i="5"/>
  <c r="A1068" i="5"/>
  <c r="A1069" i="5"/>
  <c r="A1070" i="5"/>
  <c r="A1071" i="5"/>
  <c r="A1072" i="5"/>
  <c r="A1073" i="5"/>
  <c r="A1074" i="5"/>
  <c r="A1075" i="5"/>
  <c r="A1076" i="5"/>
  <c r="A1077" i="5"/>
  <c r="A1078" i="5"/>
  <c r="A1079" i="5"/>
  <c r="A1080" i="5"/>
  <c r="A1081" i="5"/>
  <c r="A1083" i="5"/>
  <c r="A1084" i="5"/>
  <c r="A1085" i="5"/>
  <c r="A1086" i="5"/>
  <c r="A1087" i="5"/>
  <c r="A1088" i="5"/>
  <c r="A1089" i="5"/>
  <c r="A1090" i="5"/>
  <c r="A1091" i="5"/>
  <c r="A1092" i="5"/>
  <c r="A1093" i="5"/>
  <c r="A1094" i="5"/>
  <c r="A1095" i="5"/>
  <c r="A1096" i="5"/>
  <c r="A1097" i="5"/>
  <c r="A1098" i="5"/>
  <c r="A1099" i="5"/>
  <c r="A1100" i="5"/>
  <c r="A1101" i="5"/>
  <c r="A1102" i="5"/>
  <c r="A1104" i="5"/>
  <c r="A1105" i="5"/>
  <c r="A1106" i="5"/>
  <c r="A1107" i="5"/>
  <c r="A1108" i="5"/>
  <c r="A1109" i="5"/>
  <c r="A1110" i="5"/>
  <c r="A1111" i="5"/>
  <c r="A1112" i="5"/>
  <c r="A1113" i="5"/>
  <c r="A1114" i="5"/>
  <c r="A1115" i="5"/>
  <c r="A1116" i="5"/>
  <c r="A1117" i="5"/>
  <c r="A1119" i="5"/>
  <c r="A1120" i="5"/>
  <c r="A1121" i="5"/>
  <c r="A1122" i="5"/>
  <c r="A1123" i="5"/>
  <c r="A1124" i="5"/>
  <c r="A1125" i="5"/>
  <c r="A1126" i="5"/>
  <c r="A1127" i="5"/>
  <c r="A1128" i="5"/>
  <c r="A1129" i="5"/>
  <c r="A1130" i="5"/>
  <c r="A1131" i="5"/>
  <c r="A1132" i="5"/>
  <c r="A1133" i="5"/>
  <c r="A1134" i="5"/>
  <c r="A1135" i="5"/>
  <c r="A1136" i="5"/>
  <c r="A1137" i="5"/>
  <c r="A1138" i="5"/>
  <c r="A1139" i="5"/>
  <c r="A1140" i="5"/>
  <c r="A1141" i="5"/>
  <c r="A1142" i="5"/>
  <c r="A1143" i="5"/>
  <c r="A1144" i="5"/>
  <c r="A1145" i="5"/>
  <c r="A1146" i="5"/>
  <c r="A1147" i="5"/>
  <c r="A1148" i="5"/>
  <c r="A1149" i="5"/>
  <c r="A1150" i="5"/>
  <c r="A1151" i="5"/>
  <c r="A1152" i="5"/>
  <c r="A1153" i="5"/>
  <c r="A1154" i="5"/>
  <c r="A1155" i="5"/>
  <c r="A1156" i="5"/>
  <c r="A1157" i="5"/>
  <c r="A1158" i="5"/>
  <c r="A1159" i="5"/>
  <c r="A1160" i="5"/>
  <c r="A1161" i="5"/>
  <c r="A1162" i="5"/>
  <c r="A1163" i="5"/>
  <c r="A1164" i="5"/>
  <c r="A1166" i="5"/>
  <c r="A1167" i="5"/>
  <c r="A1168" i="5"/>
  <c r="A1169" i="5"/>
  <c r="A1170" i="5"/>
  <c r="A1171" i="5"/>
  <c r="A1172" i="5"/>
  <c r="A1173" i="5"/>
  <c r="A1174" i="5"/>
  <c r="A1175" i="5"/>
  <c r="A1176" i="5"/>
  <c r="A1177" i="5"/>
  <c r="A1178" i="5"/>
  <c r="A1179" i="5"/>
  <c r="A1180" i="5"/>
  <c r="A1181" i="5"/>
  <c r="A1182" i="5"/>
  <c r="A1183" i="5"/>
  <c r="A1184" i="5"/>
  <c r="A1186" i="5"/>
  <c r="A1187" i="5"/>
  <c r="A1188" i="5"/>
  <c r="A1189" i="5"/>
  <c r="A1190" i="5"/>
  <c r="A1191" i="5"/>
  <c r="A1192" i="5"/>
  <c r="A1193" i="5"/>
  <c r="A1194" i="5"/>
  <c r="A1195" i="5"/>
  <c r="A1196" i="5"/>
  <c r="A1197" i="5"/>
  <c r="A1198" i="5"/>
  <c r="A1199" i="5"/>
  <c r="A1200" i="5"/>
  <c r="A1201" i="5"/>
  <c r="A1202" i="5"/>
  <c r="A1203" i="5"/>
  <c r="A1204" i="5"/>
  <c r="A1205" i="5"/>
  <c r="A1206" i="5"/>
  <c r="A1207" i="5"/>
  <c r="A1208" i="5"/>
  <c r="A1209" i="5"/>
  <c r="A1210" i="5"/>
  <c r="A1211" i="5"/>
  <c r="A1212" i="5"/>
  <c r="A1213" i="5"/>
  <c r="A1214" i="5"/>
  <c r="A1216" i="5"/>
  <c r="A1217" i="5"/>
  <c r="A1218" i="5"/>
  <c r="A1219" i="5"/>
  <c r="A1220" i="5"/>
  <c r="A1221" i="5"/>
  <c r="A1222" i="5"/>
  <c r="A1223" i="5"/>
  <c r="A1224" i="5"/>
  <c r="A1225" i="5"/>
  <c r="A1226" i="5"/>
  <c r="A1227" i="5"/>
  <c r="A1228" i="5"/>
  <c r="A1229" i="5"/>
  <c r="A1230" i="5"/>
  <c r="A1231" i="5"/>
  <c r="A1232" i="5"/>
  <c r="A1233" i="5"/>
  <c r="A1234" i="5"/>
  <c r="A1235" i="5"/>
  <c r="A1236" i="5"/>
  <c r="A1237" i="5"/>
  <c r="A1238" i="5"/>
  <c r="A1239" i="5"/>
  <c r="A1240" i="5"/>
  <c r="A1241" i="5"/>
  <c r="A1242" i="5"/>
  <c r="A1243" i="5"/>
  <c r="A1244" i="5"/>
  <c r="A1245" i="5"/>
  <c r="A1246" i="5"/>
  <c r="A1247" i="5"/>
  <c r="A1248" i="5"/>
  <c r="A1249" i="5"/>
  <c r="A1250" i="5"/>
  <c r="A1251" i="5"/>
  <c r="A1252" i="5"/>
  <c r="A1253" i="5"/>
  <c r="A1254" i="5"/>
  <c r="A1255" i="5"/>
  <c r="A1256" i="5"/>
  <c r="A1257" i="5"/>
  <c r="A1258" i="5"/>
  <c r="A1259" i="5"/>
  <c r="A1260" i="5"/>
  <c r="A1261" i="5"/>
  <c r="A1262" i="5"/>
  <c r="A1263" i="5"/>
  <c r="A1264" i="5"/>
  <c r="A1265" i="5"/>
  <c r="A1266" i="5"/>
  <c r="A1268" i="5"/>
  <c r="A1269" i="5"/>
  <c r="A1270" i="5"/>
  <c r="A1271" i="5"/>
  <c r="A1272" i="5"/>
  <c r="A1273" i="5"/>
  <c r="A1274" i="5"/>
  <c r="A1275" i="5"/>
  <c r="A1276" i="5"/>
  <c r="A1277" i="5"/>
  <c r="A1278" i="5"/>
  <c r="A1279" i="5"/>
  <c r="A1280" i="5"/>
  <c r="A1281" i="5"/>
  <c r="A1282" i="5"/>
  <c r="A1283" i="5"/>
  <c r="A1284" i="5"/>
  <c r="A1285" i="5"/>
  <c r="A1286" i="5"/>
  <c r="A1287" i="5"/>
  <c r="A1288" i="5"/>
  <c r="A1289" i="5"/>
  <c r="A1290" i="5"/>
  <c r="A1291" i="5"/>
  <c r="A1292" i="5"/>
  <c r="A1293" i="5"/>
  <c r="A1294" i="5"/>
  <c r="A1295" i="5"/>
  <c r="A1296" i="5"/>
  <c r="A1297" i="5"/>
  <c r="A1298" i="5"/>
  <c r="A1299" i="5"/>
  <c r="A1300" i="5"/>
  <c r="A1301" i="5"/>
  <c r="A1303" i="5"/>
  <c r="A1304" i="5"/>
  <c r="A1305" i="5"/>
  <c r="A1306" i="5"/>
  <c r="A1307" i="5"/>
  <c r="A1308" i="5"/>
  <c r="A1309" i="5"/>
  <c r="A1310" i="5"/>
  <c r="A1311" i="5"/>
  <c r="A1312" i="5"/>
  <c r="A1313" i="5"/>
  <c r="A1314" i="5"/>
  <c r="A1315" i="5"/>
  <c r="A1316" i="5"/>
  <c r="A1317" i="5"/>
  <c r="A1318" i="5"/>
  <c r="A1319" i="5"/>
  <c r="A1320" i="5"/>
  <c r="A1321" i="5"/>
  <c r="A1322" i="5"/>
  <c r="A1323" i="5"/>
  <c r="A1324" i="5"/>
  <c r="A1325" i="5"/>
  <c r="A1326" i="5"/>
  <c r="A1327" i="5"/>
  <c r="A1328" i="5"/>
  <c r="A1329" i="5"/>
  <c r="A1330" i="5"/>
  <c r="A1331" i="5"/>
  <c r="A1332" i="5"/>
  <c r="A1333" i="5"/>
  <c r="A1334" i="5"/>
  <c r="A1335" i="5"/>
  <c r="A1336" i="5"/>
  <c r="A1338" i="5"/>
  <c r="A1339" i="5"/>
  <c r="A1340" i="5"/>
  <c r="A1341" i="5"/>
  <c r="A1343" i="5"/>
  <c r="A1344" i="5"/>
  <c r="A1345" i="5"/>
  <c r="A1346" i="5"/>
  <c r="A1347" i="5"/>
  <c r="A1348" i="5"/>
  <c r="A1349" i="5"/>
  <c r="A1350" i="5"/>
  <c r="A1351" i="5"/>
  <c r="A1352" i="5"/>
  <c r="A1353" i="5"/>
  <c r="A1354" i="5"/>
  <c r="A904" i="5"/>
  <c r="A864" i="5" l="1"/>
  <c r="A204" i="5" l="1"/>
  <c r="A814" i="5" l="1"/>
  <c r="A815" i="5"/>
  <c r="A816" i="5"/>
  <c r="A817" i="5"/>
  <c r="A818" i="5"/>
  <c r="A819" i="5"/>
  <c r="A820" i="5"/>
  <c r="A821" i="5"/>
  <c r="A822" i="5"/>
  <c r="A823" i="5"/>
  <c r="A824" i="5"/>
  <c r="A825" i="5"/>
  <c r="A826" i="5"/>
  <c r="A827" i="5"/>
  <c r="A828" i="5"/>
  <c r="A829" i="5"/>
  <c r="A830" i="5"/>
  <c r="A831" i="5"/>
  <c r="A832" i="5"/>
  <c r="A833" i="5"/>
  <c r="A834" i="5"/>
  <c r="A835" i="5"/>
  <c r="A836" i="5"/>
  <c r="A837" i="5"/>
  <c r="A838" i="5"/>
  <c r="A839" i="5"/>
  <c r="A840" i="5"/>
  <c r="A841" i="5"/>
  <c r="A842" i="5"/>
  <c r="A843" i="5"/>
  <c r="A844" i="5"/>
  <c r="A845" i="5"/>
  <c r="A846" i="5"/>
  <c r="A847" i="5"/>
  <c r="A848" i="5"/>
  <c r="A849" i="5"/>
  <c r="A850" i="5"/>
  <c r="A851" i="5"/>
  <c r="A852" i="5"/>
  <c r="A853" i="5"/>
  <c r="A854" i="5"/>
  <c r="A855" i="5"/>
  <c r="A856" i="5"/>
  <c r="A857" i="5"/>
  <c r="A858" i="5"/>
  <c r="A859" i="5"/>
  <c r="A860" i="5"/>
  <c r="A861" i="5"/>
  <c r="A862" i="5"/>
  <c r="A863" i="5"/>
  <c r="A865" i="5"/>
  <c r="A866" i="5"/>
  <c r="A867" i="5"/>
  <c r="A868" i="5"/>
  <c r="A869" i="5"/>
  <c r="A870" i="5"/>
  <c r="A871" i="5"/>
  <c r="A872" i="5"/>
  <c r="A873" i="5"/>
  <c r="A874" i="5"/>
  <c r="A875" i="5"/>
  <c r="A876" i="5"/>
  <c r="A877" i="5"/>
  <c r="A878" i="5"/>
  <c r="A879" i="5"/>
  <c r="A880" i="5"/>
  <c r="A881" i="5"/>
  <c r="A882" i="5"/>
  <c r="A883" i="5"/>
  <c r="A884" i="5"/>
  <c r="A885" i="5"/>
  <c r="A886" i="5"/>
  <c r="A887" i="5"/>
  <c r="A888" i="5"/>
  <c r="A889" i="5"/>
  <c r="A890" i="5"/>
  <c r="A891" i="5"/>
  <c r="A893" i="5"/>
  <c r="A894" i="5"/>
  <c r="A895" i="5"/>
  <c r="A896" i="5"/>
  <c r="A897" i="5"/>
  <c r="A898" i="5"/>
  <c r="A899" i="5"/>
  <c r="A900" i="5"/>
  <c r="A901" i="5"/>
  <c r="A902" i="5"/>
  <c r="A903" i="5"/>
  <c r="A813" i="5"/>
  <c r="A812" i="5"/>
  <c r="A1355" i="5" l="1"/>
  <c r="A1356" i="5"/>
  <c r="A1357" i="5"/>
  <c r="A1358" i="5"/>
  <c r="A1359" i="5"/>
  <c r="A1360" i="5"/>
  <c r="A1361" i="5"/>
  <c r="A1362" i="5"/>
  <c r="A1363" i="5"/>
  <c r="A1364" i="5"/>
  <c r="A1365" i="5"/>
  <c r="A1366" i="5"/>
  <c r="A1367" i="5"/>
  <c r="A1368" i="5"/>
  <c r="A1369" i="5"/>
  <c r="A1370" i="5"/>
  <c r="A1371" i="5"/>
  <c r="A1372" i="5"/>
  <c r="A1373" i="5"/>
  <c r="A1374" i="5"/>
  <c r="A1375" i="5"/>
  <c r="A1376" i="5"/>
  <c r="A1377" i="5"/>
  <c r="A1378" i="5"/>
  <c r="A1379" i="5"/>
  <c r="A1380" i="5"/>
  <c r="A1381" i="5"/>
  <c r="A1382" i="5"/>
  <c r="A1383" i="5"/>
  <c r="A1384" i="5"/>
  <c r="A1385" i="5"/>
  <c r="A1386" i="5"/>
  <c r="A1387" i="5"/>
  <c r="A1388" i="5"/>
  <c r="A1389" i="5"/>
  <c r="A1390" i="5"/>
  <c r="A1391" i="5"/>
  <c r="A1392" i="5"/>
  <c r="A1393" i="5"/>
  <c r="A1394" i="5"/>
  <c r="A1395" i="5"/>
  <c r="A1396" i="5"/>
  <c r="A1397" i="5"/>
  <c r="A1398" i="5"/>
  <c r="A1399" i="5"/>
  <c r="A1400" i="5"/>
  <c r="A1401" i="5"/>
  <c r="A1402" i="5"/>
  <c r="A1403" i="5"/>
  <c r="A1404" i="5"/>
  <c r="A1405" i="5"/>
  <c r="A1406" i="5"/>
  <c r="A1407" i="5"/>
  <c r="A1408" i="5"/>
  <c r="A1409" i="5"/>
  <c r="A1410" i="5"/>
  <c r="A1411" i="5"/>
  <c r="A1412" i="5"/>
  <c r="A1413" i="5"/>
  <c r="A1414" i="5"/>
  <c r="A1415" i="5"/>
  <c r="A1416" i="5"/>
  <c r="A1417" i="5"/>
  <c r="A1418" i="5"/>
  <c r="A1419" i="5"/>
  <c r="A1420" i="5"/>
  <c r="A1421" i="5"/>
  <c r="A1422" i="5"/>
  <c r="A1423" i="5"/>
  <c r="A1424" i="5"/>
  <c r="A1425" i="5"/>
  <c r="A1426" i="5"/>
  <c r="A1427" i="5"/>
  <c r="A1428" i="5"/>
  <c r="A1429" i="5"/>
  <c r="A1430" i="5"/>
  <c r="A1431" i="5"/>
  <c r="A1432" i="5"/>
  <c r="A1433" i="5"/>
  <c r="A1434" i="5"/>
  <c r="A1435" i="5"/>
  <c r="A1436" i="5"/>
  <c r="A1438" i="5"/>
  <c r="A1439" i="5"/>
  <c r="A1440" i="5"/>
  <c r="A1441" i="5"/>
  <c r="A1442" i="5"/>
  <c r="A1443" i="5"/>
  <c r="A1444" i="5"/>
  <c r="A1445" i="5"/>
  <c r="A1446" i="5"/>
  <c r="A1447" i="5"/>
  <c r="A1448" i="5"/>
  <c r="A1449" i="5"/>
  <c r="A1450" i="5"/>
  <c r="A1451" i="5"/>
  <c r="A1452" i="5"/>
  <c r="A1453" i="5"/>
  <c r="A1454" i="5"/>
  <c r="A1455" i="5"/>
  <c r="A1456" i="5"/>
  <c r="A1457" i="5"/>
  <c r="A1458" i="5"/>
  <c r="A1459" i="5"/>
  <c r="A1460" i="5"/>
  <c r="A1461" i="5"/>
  <c r="A1462" i="5"/>
  <c r="A1463" i="5"/>
  <c r="A1464" i="5"/>
  <c r="A1465" i="5"/>
  <c r="A1466" i="5"/>
  <c r="A1467" i="5"/>
  <c r="A1468" i="5"/>
  <c r="A1469" i="5"/>
  <c r="A1470" i="5"/>
  <c r="A1471" i="5"/>
  <c r="A1472" i="5"/>
  <c r="A1473" i="5"/>
  <c r="A1474" i="5"/>
  <c r="A1475" i="5"/>
  <c r="A1476" i="5"/>
  <c r="A1478" i="5"/>
  <c r="A1479" i="5"/>
  <c r="A1480" i="5"/>
  <c r="A1481" i="5"/>
  <c r="A1482" i="5"/>
  <c r="A1483" i="5"/>
  <c r="A1484" i="5"/>
  <c r="A1485" i="5"/>
  <c r="A1486" i="5"/>
  <c r="A1488" i="5"/>
  <c r="A1489" i="5"/>
  <c r="A811" i="5"/>
  <c r="A515" i="5" l="1"/>
  <c r="A662" i="5" l="1"/>
  <c r="A663" i="5"/>
  <c r="A664" i="5"/>
  <c r="A665" i="5"/>
  <c r="A474" i="5" l="1"/>
  <c r="A573" i="5" l="1"/>
  <c r="A511" i="5" l="1"/>
  <c r="A191" i="5" l="1"/>
  <c r="A275" i="5" l="1"/>
  <c r="A496" i="5" l="1"/>
  <c r="A367" i="5" l="1"/>
  <c r="A437" i="5"/>
  <c r="A239" i="5"/>
  <c r="A357" i="5"/>
  <c r="A351" i="5"/>
  <c r="A411" i="5" l="1"/>
  <c r="A368" i="5" l="1"/>
  <c r="A334" i="5" l="1"/>
  <c r="A335" i="5"/>
  <c r="A336" i="5"/>
  <c r="A337" i="5"/>
  <c r="A338" i="5"/>
  <c r="A339" i="5"/>
  <c r="A340" i="5"/>
  <c r="A341" i="5"/>
  <c r="A342" i="5"/>
  <c r="A343" i="5"/>
  <c r="A344" i="5"/>
  <c r="A345" i="5"/>
  <c r="A346" i="5"/>
  <c r="A347" i="5"/>
  <c r="A348" i="5"/>
  <c r="A349" i="5"/>
  <c r="A350" i="5"/>
  <c r="A352" i="5"/>
  <c r="A353" i="5"/>
  <c r="A354" i="5"/>
  <c r="A355" i="5"/>
  <c r="A356" i="5"/>
  <c r="A358" i="5"/>
  <c r="A359" i="5"/>
  <c r="A360" i="5"/>
  <c r="A361" i="5"/>
  <c r="A362" i="5"/>
  <c r="A363" i="5"/>
  <c r="A364" i="5"/>
  <c r="A365" i="5"/>
  <c r="A366" i="5"/>
  <c r="A369" i="5"/>
  <c r="A370" i="5"/>
  <c r="A371" i="5"/>
  <c r="A372" i="5"/>
  <c r="A373" i="5"/>
  <c r="A374" i="5"/>
  <c r="A375" i="5"/>
  <c r="A376" i="5"/>
  <c r="A377" i="5"/>
  <c r="A378" i="5"/>
  <c r="A379" i="5"/>
  <c r="A380" i="5"/>
  <c r="A381" i="5"/>
  <c r="A382" i="5"/>
  <c r="A383" i="5"/>
  <c r="A384" i="5"/>
  <c r="A385" i="5"/>
  <c r="A386" i="5"/>
  <c r="A387" i="5"/>
  <c r="A388" i="5"/>
  <c r="A389" i="5"/>
  <c r="A390" i="5"/>
  <c r="A391" i="5"/>
  <c r="A392" i="5"/>
  <c r="A393" i="5"/>
  <c r="A394" i="5"/>
  <c r="A395" i="5"/>
  <c r="A396" i="5"/>
  <c r="A397" i="5"/>
  <c r="A398" i="5"/>
  <c r="A399" i="5"/>
  <c r="A400" i="5"/>
  <c r="A401" i="5"/>
  <c r="A402" i="5"/>
  <c r="A403" i="5"/>
  <c r="A405" i="5"/>
  <c r="A406" i="5"/>
  <c r="A407" i="5"/>
  <c r="A408" i="5"/>
  <c r="A409" i="5"/>
  <c r="A410" i="5"/>
  <c r="A412" i="5"/>
  <c r="A413" i="5"/>
  <c r="A414" i="5"/>
  <c r="A415" i="5"/>
  <c r="A416" i="5"/>
  <c r="A417" i="5"/>
  <c r="A418" i="5"/>
  <c r="A419" i="5"/>
  <c r="A420" i="5"/>
  <c r="A421" i="5"/>
  <c r="A422" i="5"/>
  <c r="A423" i="5"/>
  <c r="A424" i="5"/>
  <c r="A425" i="5"/>
  <c r="A426" i="5"/>
  <c r="A427" i="5"/>
  <c r="A428" i="5"/>
  <c r="A429" i="5"/>
  <c r="A430" i="5"/>
  <c r="A431" i="5"/>
  <c r="A432" i="5"/>
  <c r="A433" i="5"/>
  <c r="A434" i="5"/>
  <c r="A435" i="5"/>
  <c r="A436" i="5"/>
  <c r="A438" i="5"/>
  <c r="A439" i="5"/>
  <c r="A440" i="5"/>
  <c r="A441" i="5"/>
  <c r="A442" i="5"/>
  <c r="A443" i="5"/>
  <c r="A444" i="5"/>
  <c r="A445" i="5"/>
  <c r="A446" i="5"/>
  <c r="A447" i="5"/>
  <c r="A449" i="5"/>
  <c r="A450" i="5"/>
  <c r="A451" i="5"/>
  <c r="A452" i="5"/>
  <c r="A453" i="5"/>
  <c r="A454" i="5"/>
  <c r="A455" i="5"/>
  <c r="A456" i="5"/>
  <c r="A457" i="5"/>
  <c r="A458" i="5"/>
  <c r="A459" i="5"/>
  <c r="A460" i="5"/>
  <c r="A461" i="5"/>
  <c r="A462" i="5"/>
  <c r="A463" i="5"/>
  <c r="A464" i="5"/>
  <c r="A465" i="5"/>
  <c r="A466" i="5"/>
  <c r="A467" i="5"/>
  <c r="A468" i="5"/>
  <c r="A469" i="5"/>
  <c r="A470" i="5"/>
  <c r="A471" i="5"/>
  <c r="A472" i="5"/>
  <c r="A473" i="5"/>
  <c r="A475" i="5"/>
  <c r="A476" i="5"/>
  <c r="A477" i="5"/>
  <c r="A478" i="5"/>
  <c r="A479" i="5"/>
  <c r="A480" i="5"/>
  <c r="A481" i="5"/>
  <c r="A482" i="5"/>
  <c r="A483" i="5"/>
  <c r="A484" i="5"/>
  <c r="A485" i="5"/>
  <c r="A486" i="5"/>
  <c r="A487" i="5"/>
  <c r="A488" i="5"/>
  <c r="A489" i="5"/>
  <c r="A490" i="5"/>
  <c r="A491" i="5"/>
  <c r="A492" i="5"/>
  <c r="A493" i="5"/>
  <c r="A494" i="5"/>
  <c r="A495" i="5"/>
  <c r="A497" i="5"/>
  <c r="A498" i="5"/>
  <c r="A499" i="5"/>
  <c r="A500" i="5"/>
  <c r="A501" i="5"/>
  <c r="A502" i="5"/>
  <c r="A503" i="5"/>
  <c r="A504" i="5"/>
  <c r="A505" i="5"/>
  <c r="A506" i="5"/>
  <c r="A507" i="5"/>
  <c r="A508" i="5"/>
  <c r="A509" i="5"/>
  <c r="A510" i="5"/>
  <c r="A512" i="5"/>
  <c r="A513" i="5"/>
  <c r="A514" i="5"/>
  <c r="A516" i="5"/>
  <c r="A517" i="5"/>
  <c r="A518" i="5"/>
  <c r="A519" i="5"/>
  <c r="A520" i="5"/>
  <c r="A521" i="5"/>
  <c r="A522" i="5"/>
  <c r="A523" i="5"/>
  <c r="A524" i="5"/>
  <c r="A525" i="5"/>
  <c r="A526" i="5"/>
  <c r="A527" i="5"/>
  <c r="A528" i="5"/>
  <c r="A529" i="5"/>
  <c r="A530" i="5"/>
  <c r="A531" i="5"/>
  <c r="A532" i="5"/>
  <c r="A533" i="5"/>
  <c r="A534" i="5"/>
  <c r="A535" i="5"/>
  <c r="A536" i="5"/>
  <c r="A537" i="5"/>
  <c r="A538" i="5"/>
  <c r="A539" i="5"/>
  <c r="A540" i="5"/>
  <c r="A541" i="5"/>
  <c r="A542" i="5"/>
  <c r="A543" i="5"/>
  <c r="A544" i="5"/>
  <c r="A545" i="5"/>
  <c r="A546" i="5"/>
  <c r="A547" i="5"/>
  <c r="A548" i="5"/>
  <c r="A549" i="5"/>
  <c r="A550" i="5"/>
  <c r="A551" i="5"/>
  <c r="A552" i="5"/>
  <c r="A553" i="5"/>
  <c r="A554" i="5"/>
  <c r="A555" i="5"/>
  <c r="A556" i="5"/>
  <c r="A557" i="5"/>
  <c r="A558" i="5"/>
  <c r="A559" i="5"/>
  <c r="A560" i="5"/>
  <c r="A561" i="5"/>
  <c r="A562" i="5"/>
  <c r="A563" i="5"/>
  <c r="A564" i="5"/>
  <c r="A565" i="5"/>
  <c r="A566" i="5"/>
  <c r="A567" i="5"/>
  <c r="A568" i="5"/>
  <c r="A569" i="5"/>
  <c r="A570" i="5"/>
  <c r="A571" i="5"/>
  <c r="A572" i="5"/>
  <c r="A574" i="5"/>
  <c r="A575" i="5"/>
  <c r="A576" i="5"/>
  <c r="A577" i="5"/>
  <c r="A578" i="5"/>
  <c r="A579" i="5"/>
  <c r="A580" i="5"/>
  <c r="A581" i="5"/>
  <c r="A582" i="5"/>
  <c r="A583" i="5"/>
  <c r="A584" i="5"/>
  <c r="A585" i="5"/>
  <c r="A586" i="5"/>
  <c r="A587" i="5"/>
  <c r="A588" i="5"/>
  <c r="A589" i="5"/>
  <c r="A590" i="5"/>
  <c r="A591" i="5"/>
  <c r="A592" i="5"/>
  <c r="A593" i="5"/>
  <c r="A594" i="5"/>
  <c r="A595" i="5"/>
  <c r="A596" i="5"/>
  <c r="A597" i="5"/>
  <c r="A598" i="5"/>
  <c r="A599" i="5"/>
  <c r="A600" i="5"/>
  <c r="A601" i="5"/>
  <c r="A602" i="5"/>
  <c r="A603" i="5"/>
  <c r="A604" i="5"/>
  <c r="A605" i="5"/>
  <c r="A606" i="5"/>
  <c r="A607" i="5"/>
  <c r="A608" i="5"/>
  <c r="A609" i="5"/>
  <c r="A610" i="5"/>
  <c r="A611" i="5"/>
  <c r="A612" i="5"/>
  <c r="A613" i="5"/>
  <c r="A614" i="5"/>
  <c r="A615" i="5"/>
  <c r="A616" i="5"/>
  <c r="A617" i="5"/>
  <c r="A618" i="5"/>
  <c r="A619" i="5"/>
  <c r="A620" i="5"/>
  <c r="A621" i="5"/>
  <c r="A622" i="5"/>
  <c r="A623" i="5"/>
  <c r="A624" i="5"/>
  <c r="A625" i="5"/>
  <c r="A626" i="5"/>
  <c r="A627" i="5"/>
  <c r="A628" i="5"/>
  <c r="A629" i="5"/>
  <c r="A630" i="5"/>
  <c r="A631" i="5"/>
  <c r="A632" i="5"/>
  <c r="A633" i="5"/>
  <c r="A634" i="5"/>
  <c r="A635" i="5"/>
  <c r="A636" i="5"/>
  <c r="A637" i="5"/>
  <c r="A638" i="5"/>
  <c r="A639" i="5"/>
  <c r="A640" i="5"/>
  <c r="A641" i="5"/>
  <c r="A642" i="5"/>
  <c r="A643" i="5"/>
  <c r="A644" i="5"/>
  <c r="A645" i="5"/>
  <c r="A646" i="5"/>
  <c r="A647" i="5"/>
  <c r="A648" i="5"/>
  <c r="A649" i="5"/>
  <c r="A650" i="5"/>
  <c r="A651" i="5"/>
  <c r="A652" i="5"/>
  <c r="A653" i="5"/>
  <c r="A654" i="5"/>
  <c r="A655" i="5"/>
  <c r="A656" i="5"/>
  <c r="A657" i="5"/>
  <c r="A658" i="5"/>
  <c r="A659" i="5"/>
  <c r="A660" i="5"/>
  <c r="A661" i="5"/>
  <c r="A666" i="5"/>
  <c r="A667" i="5"/>
  <c r="A668" i="5"/>
  <c r="A669" i="5"/>
  <c r="A670" i="5"/>
  <c r="A671" i="5"/>
  <c r="A672" i="5"/>
  <c r="A673" i="5"/>
  <c r="A674" i="5"/>
  <c r="A675" i="5"/>
  <c r="A676" i="5"/>
  <c r="A677" i="5"/>
  <c r="A678" i="5"/>
  <c r="A679" i="5"/>
  <c r="A680" i="5"/>
  <c r="A681" i="5"/>
  <c r="A682" i="5"/>
  <c r="A683" i="5"/>
  <c r="A684" i="5"/>
  <c r="A685" i="5"/>
  <c r="A686" i="5"/>
  <c r="A687" i="5"/>
  <c r="A688" i="5"/>
  <c r="A689" i="5"/>
  <c r="A690" i="5"/>
  <c r="A691" i="5"/>
  <c r="A692" i="5"/>
  <c r="A693" i="5"/>
  <c r="A694" i="5"/>
  <c r="A695" i="5"/>
  <c r="A696" i="5"/>
  <c r="A697" i="5"/>
  <c r="A698" i="5"/>
  <c r="A699" i="5"/>
  <c r="A700" i="5"/>
  <c r="A701" i="5"/>
  <c r="A702" i="5"/>
  <c r="A703" i="5"/>
  <c r="A704" i="5"/>
  <c r="A705" i="5"/>
  <c r="A706" i="5"/>
  <c r="A707" i="5"/>
  <c r="A708" i="5"/>
  <c r="A709" i="5"/>
  <c r="A710" i="5"/>
  <c r="A711" i="5"/>
  <c r="A712" i="5"/>
  <c r="A713" i="5"/>
  <c r="A714" i="5"/>
  <c r="A715" i="5"/>
  <c r="A716" i="5"/>
  <c r="A717" i="5"/>
  <c r="A718" i="5"/>
  <c r="A719" i="5"/>
  <c r="A720" i="5"/>
  <c r="A721" i="5"/>
  <c r="A722" i="5"/>
  <c r="A723" i="5"/>
  <c r="A724" i="5"/>
  <c r="A725" i="5"/>
  <c r="A726" i="5"/>
  <c r="A727" i="5"/>
  <c r="A728" i="5"/>
  <c r="A729" i="5"/>
  <c r="A730" i="5"/>
  <c r="A731" i="5"/>
  <c r="A732" i="5"/>
  <c r="A733" i="5"/>
  <c r="A734" i="5"/>
  <c r="A735" i="5"/>
  <c r="A736" i="5"/>
  <c r="A737" i="5"/>
  <c r="A738" i="5"/>
  <c r="A739" i="5"/>
  <c r="A740" i="5"/>
  <c r="A741" i="5"/>
  <c r="A742" i="5"/>
  <c r="A743" i="5"/>
  <c r="A744" i="5"/>
  <c r="A745" i="5"/>
  <c r="A746" i="5"/>
  <c r="A747" i="5"/>
  <c r="A748" i="5"/>
  <c r="A749" i="5"/>
  <c r="A750" i="5"/>
  <c r="A751" i="5"/>
  <c r="A752" i="5"/>
  <c r="A753" i="5"/>
  <c r="A754" i="5"/>
  <c r="A755" i="5"/>
  <c r="A756" i="5"/>
  <c r="A757" i="5"/>
  <c r="A758" i="5"/>
  <c r="A759" i="5"/>
  <c r="A760" i="5"/>
  <c r="A761" i="5"/>
  <c r="A762" i="5"/>
  <c r="A763" i="5"/>
  <c r="A764" i="5"/>
  <c r="A765" i="5"/>
  <c r="A766" i="5"/>
  <c r="A767" i="5"/>
  <c r="A768" i="5"/>
  <c r="A769" i="5"/>
  <c r="A770" i="5"/>
  <c r="A771" i="5"/>
  <c r="A772" i="5"/>
  <c r="A773" i="5"/>
  <c r="A774" i="5"/>
  <c r="A775" i="5"/>
  <c r="A776" i="5"/>
  <c r="A777" i="5"/>
  <c r="A778" i="5"/>
  <c r="A779" i="5"/>
  <c r="A780" i="5"/>
  <c r="A781" i="5"/>
  <c r="A782" i="5"/>
  <c r="A783" i="5"/>
  <c r="A784" i="5"/>
  <c r="A785" i="5"/>
  <c r="A786" i="5"/>
  <c r="A787" i="5"/>
  <c r="A788" i="5"/>
  <c r="A789" i="5"/>
  <c r="A790" i="5"/>
  <c r="A791" i="5"/>
  <c r="A792" i="5"/>
  <c r="A793" i="5"/>
  <c r="A794" i="5"/>
  <c r="A795" i="5"/>
  <c r="A796" i="5"/>
  <c r="A797" i="5"/>
  <c r="A798" i="5"/>
  <c r="A799" i="5"/>
  <c r="A800" i="5"/>
  <c r="A801" i="5"/>
  <c r="A802" i="5"/>
  <c r="A803" i="5"/>
  <c r="A804" i="5"/>
  <c r="A805" i="5"/>
  <c r="A806" i="5"/>
  <c r="A807" i="5"/>
  <c r="A808" i="5"/>
  <c r="A809" i="5"/>
  <c r="A810" i="5"/>
  <c r="A333" i="5"/>
  <c r="A332" i="5"/>
  <c r="A331" i="5" l="1"/>
  <c r="A330" i="5"/>
  <c r="A329" i="5"/>
  <c r="A328" i="5"/>
  <c r="A327" i="5" l="1"/>
  <c r="A326" i="5" l="1"/>
  <c r="A325" i="5"/>
  <c r="A324" i="5"/>
  <c r="A323" i="5"/>
  <c r="A322" i="5"/>
  <c r="A321" i="5"/>
  <c r="A320" i="5"/>
  <c r="B319" i="5" l="1"/>
  <c r="A315" i="5"/>
  <c r="A308" i="5"/>
  <c r="A306" i="5"/>
  <c r="A305" i="5"/>
  <c r="A272" i="5" l="1"/>
  <c r="A270" i="5"/>
  <c r="A269" i="5"/>
  <c r="A268" i="5"/>
  <c r="A267" i="5"/>
  <c r="A261" i="5"/>
  <c r="A260" i="5"/>
  <c r="A252" i="5"/>
  <c r="A249" i="5"/>
  <c r="A271" i="5"/>
  <c r="A273" i="5"/>
  <c r="A274" i="5"/>
  <c r="A276" i="5"/>
  <c r="A279" i="5"/>
  <c r="A280" i="5"/>
  <c r="A281" i="5"/>
  <c r="A282" i="5"/>
  <c r="A283" i="5"/>
  <c r="A284" i="5"/>
  <c r="A285" i="5"/>
  <c r="A286" i="5"/>
  <c r="A289" i="5"/>
  <c r="A290" i="5"/>
  <c r="A291" i="5"/>
  <c r="A292" i="5"/>
  <c r="A293" i="5"/>
  <c r="A296" i="5"/>
  <c r="A297" i="5"/>
  <c r="A298" i="5"/>
  <c r="A299" i="5"/>
  <c r="A300" i="5"/>
  <c r="A301" i="5"/>
  <c r="A304" i="5"/>
  <c r="A307" i="5"/>
  <c r="A311" i="5"/>
  <c r="A312" i="5"/>
  <c r="A313" i="5"/>
  <c r="A314" i="5"/>
  <c r="A316" i="5"/>
  <c r="A317" i="5"/>
  <c r="A319" i="5"/>
  <c r="A277" i="5"/>
  <c r="A278" i="5"/>
  <c r="A287" i="5"/>
  <c r="A288" i="5"/>
  <c r="A294" i="5"/>
  <c r="A295" i="5"/>
  <c r="A302" i="5"/>
  <c r="A303" i="5"/>
  <c r="A309" i="5"/>
  <c r="A310" i="5"/>
  <c r="A318" i="5"/>
  <c r="A262" i="5" l="1"/>
  <c r="A263" i="5"/>
  <c r="A253" i="5"/>
  <c r="A264" i="5"/>
  <c r="A254" i="5"/>
  <c r="A255" i="5"/>
  <c r="A256" i="5"/>
  <c r="A257" i="5"/>
  <c r="A250" i="5"/>
  <c r="A258" i="5"/>
  <c r="A266" i="5"/>
  <c r="A265" i="5"/>
  <c r="A251" i="5"/>
  <c r="A259" i="5"/>
  <c r="A248" i="5"/>
  <c r="A241" i="5" l="1"/>
  <c r="A165" i="5" l="1"/>
  <c r="A166" i="5"/>
  <c r="A167" i="5"/>
  <c r="A168" i="5"/>
  <c r="A169" i="5"/>
  <c r="A170" i="5"/>
  <c r="A171" i="5"/>
  <c r="A172" i="5"/>
  <c r="A196" i="5"/>
  <c r="A234" i="5" l="1"/>
  <c r="A235" i="5"/>
  <c r="A236" i="5"/>
  <c r="A237" i="5"/>
  <c r="A238" i="5"/>
  <c r="A240" i="5"/>
  <c r="A242" i="5"/>
  <c r="A243" i="5"/>
  <c r="A244" i="5"/>
  <c r="A245" i="5"/>
  <c r="A246" i="5"/>
  <c r="A247" i="5"/>
  <c r="A233" i="5"/>
  <c r="A181" i="5" l="1"/>
  <c r="A190" i="5"/>
  <c r="A106" i="5" l="1"/>
  <c r="A210" i="5" l="1"/>
  <c r="A211" i="5"/>
  <c r="A212" i="5"/>
  <c r="A213" i="5"/>
  <c r="A214" i="5"/>
  <c r="A215" i="5"/>
  <c r="A216" i="5"/>
  <c r="A217" i="5"/>
  <c r="A218" i="5"/>
  <c r="A219" i="5"/>
  <c r="A220" i="5"/>
  <c r="A221" i="5"/>
  <c r="A222" i="5"/>
  <c r="A223" i="5"/>
  <c r="A224" i="5"/>
  <c r="A225" i="5"/>
  <c r="A226" i="5"/>
  <c r="A227" i="5"/>
  <c r="A228" i="5"/>
  <c r="A229" i="5"/>
  <c r="A230" i="5"/>
  <c r="A231" i="5"/>
  <c r="A232" i="5"/>
  <c r="A209" i="5"/>
  <c r="A208" i="5" l="1"/>
  <c r="A207" i="5"/>
  <c r="A206" i="5"/>
  <c r="A205" i="5"/>
  <c r="A203" i="5"/>
  <c r="A202" i="5"/>
  <c r="A76" i="5" l="1"/>
  <c r="A201" i="5" l="1"/>
  <c r="A200" i="5"/>
  <c r="A199" i="5"/>
  <c r="A198" i="5"/>
  <c r="A197" i="5"/>
  <c r="A195" i="5"/>
  <c r="A194" i="5"/>
  <c r="A193" i="5"/>
  <c r="A192" i="5"/>
  <c r="A189" i="5"/>
  <c r="A188" i="5"/>
  <c r="A187" i="5"/>
  <c r="A186" i="5"/>
  <c r="A185" i="5"/>
  <c r="A184" i="5"/>
  <c r="A183" i="5"/>
  <c r="A182" i="5"/>
  <c r="A180" i="5"/>
  <c r="A179" i="5"/>
  <c r="A178" i="5"/>
  <c r="A177" i="5"/>
  <c r="A176" i="5"/>
  <c r="A175" i="5"/>
  <c r="A174" i="5"/>
  <c r="A173" i="5"/>
  <c r="A164" i="5"/>
  <c r="H58" i="6" l="1"/>
  <c r="I58" i="6"/>
  <c r="G58" i="6"/>
  <c r="F58" i="6"/>
  <c r="E58" i="6"/>
  <c r="D58" i="6"/>
  <c r="J58" i="6" l="1"/>
  <c r="A163" i="5"/>
  <c r="A162" i="5"/>
  <c r="A161" i="5"/>
  <c r="A160" i="5"/>
  <c r="A159" i="5"/>
  <c r="A158" i="5"/>
  <c r="A157" i="5"/>
  <c r="A156" i="5"/>
  <c r="A155" i="5"/>
  <c r="A143" i="5" l="1"/>
  <c r="A144" i="5"/>
  <c r="A145" i="5"/>
  <c r="A146" i="5"/>
  <c r="A154" i="5"/>
  <c r="A153" i="5"/>
  <c r="A152" i="5"/>
  <c r="A151" i="5"/>
  <c r="A150" i="5"/>
  <c r="A149" i="5"/>
  <c r="A148" i="5"/>
  <c r="A147" i="5"/>
  <c r="A142" i="5"/>
  <c r="A141" i="5"/>
  <c r="A140" i="5"/>
  <c r="A139" i="5"/>
  <c r="A138" i="5"/>
  <c r="A136" i="5"/>
  <c r="A135" i="5" l="1"/>
  <c r="A134" i="5"/>
  <c r="A133" i="5"/>
  <c r="A132" i="5"/>
  <c r="A131" i="5" l="1"/>
  <c r="A130" i="5"/>
  <c r="A129" i="5"/>
  <c r="A128" i="5"/>
  <c r="A127" i="5"/>
  <c r="A126" i="5"/>
  <c r="A125" i="5"/>
  <c r="A124" i="5"/>
  <c r="A123" i="5"/>
  <c r="A122" i="5"/>
  <c r="A121" i="5"/>
  <c r="A120" i="5"/>
  <c r="A119" i="5"/>
  <c r="A118" i="5" l="1"/>
  <c r="A117" i="5"/>
  <c r="A116" i="5"/>
  <c r="A115" i="5"/>
  <c r="A114" i="5"/>
  <c r="A111" i="5" l="1"/>
  <c r="A113" i="5" l="1"/>
  <c r="A112" i="5"/>
  <c r="A110" i="5"/>
  <c r="A109" i="5"/>
  <c r="A108" i="5"/>
  <c r="A107" i="5"/>
  <c r="A105" i="5"/>
  <c r="A104" i="5"/>
  <c r="A103" i="5"/>
  <c r="A102" i="5" l="1"/>
  <c r="A101" i="5"/>
  <c r="A100" i="5"/>
  <c r="A99" i="5"/>
  <c r="A98" i="5"/>
  <c r="A97" i="5"/>
  <c r="A96" i="5"/>
  <c r="A95" i="5"/>
  <c r="A94" i="5"/>
  <c r="A93" i="5"/>
  <c r="A92" i="5"/>
  <c r="A91" i="5" l="1"/>
  <c r="A90" i="5"/>
  <c r="A89" i="5"/>
  <c r="A88" i="5"/>
  <c r="A87" i="5"/>
  <c r="A86" i="5"/>
  <c r="A85" i="5"/>
  <c r="A84" i="5"/>
  <c r="A63" i="5" l="1"/>
  <c r="A64" i="5"/>
  <c r="A73" i="5" l="1"/>
  <c r="A74" i="5"/>
  <c r="A75" i="5"/>
  <c r="A77" i="5"/>
  <c r="A78" i="5"/>
  <c r="A79" i="5"/>
  <c r="A80" i="5"/>
  <c r="A81" i="5"/>
  <c r="A82" i="5"/>
  <c r="A83" i="5"/>
  <c r="A66" i="5"/>
  <c r="A67" i="5"/>
  <c r="A68" i="5"/>
  <c r="A69" i="5"/>
  <c r="A70" i="5"/>
  <c r="A71" i="5"/>
  <c r="A72" i="5"/>
  <c r="A65" i="5"/>
  <c r="A62" i="5" l="1"/>
  <c r="A61" i="5"/>
  <c r="A60" i="5"/>
  <c r="A59" i="5"/>
  <c r="A58" i="5"/>
  <c r="A57" i="5"/>
  <c r="A56" i="5"/>
  <c r="A55" i="5"/>
  <c r="A54" i="5" l="1"/>
  <c r="A53" i="5" l="1"/>
  <c r="A52" i="5"/>
  <c r="A51" i="5"/>
  <c r="A50" i="5"/>
  <c r="A49" i="5" l="1"/>
  <c r="A48" i="5" l="1"/>
  <c r="A47" i="5"/>
  <c r="A44" i="5"/>
  <c r="A45" i="5"/>
  <c r="A46" i="5"/>
  <c r="A32" i="5"/>
  <c r="A33" i="5"/>
  <c r="A34" i="5"/>
  <c r="A35" i="5"/>
  <c r="A36" i="5"/>
  <c r="A37" i="5"/>
  <c r="A38" i="5"/>
  <c r="A39" i="5"/>
  <c r="A40" i="5"/>
  <c r="A41" i="5"/>
  <c r="A42" i="5"/>
  <c r="A43" i="5"/>
  <c r="A31" i="5"/>
  <c r="A30" i="5"/>
  <c r="A29" i="5"/>
  <c r="A28" i="5" l="1"/>
  <c r="A27" i="5" l="1"/>
  <c r="A26" i="5" l="1"/>
  <c r="A25" i="5"/>
  <c r="A24" i="5"/>
  <c r="A23" i="5"/>
  <c r="A22" i="5"/>
  <c r="A4" i="5" l="1"/>
  <c r="A5" i="5"/>
  <c r="A3" i="5"/>
  <c r="A2" i="5" l="1"/>
  <c r="A7" i="5" l="1"/>
  <c r="A8" i="5"/>
  <c r="A9" i="5"/>
  <c r="A10" i="5"/>
  <c r="A11" i="5"/>
  <c r="A12" i="5"/>
  <c r="A13" i="5"/>
  <c r="A14" i="5"/>
  <c r="A16" i="5"/>
  <c r="A17" i="5"/>
  <c r="A18" i="5"/>
  <c r="A19" i="5"/>
  <c r="A20" i="5"/>
  <c r="A21" i="5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8" i="6"/>
  <c r="C3" i="3"/>
  <c r="H5" i="6" l="1"/>
  <c r="G28" i="6"/>
  <c r="G29" i="6"/>
  <c r="G30" i="6"/>
  <c r="G31" i="6"/>
  <c r="G32" i="6"/>
  <c r="G33" i="6"/>
  <c r="G34" i="6"/>
  <c r="G35" i="6"/>
  <c r="G36" i="6"/>
  <c r="G37" i="6"/>
  <c r="G38" i="6"/>
  <c r="G39" i="6"/>
  <c r="G40" i="6"/>
  <c r="G41" i="6"/>
  <c r="G42" i="6"/>
  <c r="G43" i="6"/>
  <c r="G44" i="6"/>
  <c r="G45" i="6"/>
  <c r="G46" i="6"/>
  <c r="G47" i="6"/>
  <c r="G48" i="6"/>
  <c r="G49" i="6"/>
  <c r="G50" i="6"/>
  <c r="G51" i="6"/>
  <c r="G52" i="6"/>
  <c r="G53" i="6"/>
  <c r="G54" i="6"/>
  <c r="G55" i="6"/>
  <c r="I56" i="6"/>
  <c r="I57" i="6"/>
  <c r="I16" i="6"/>
  <c r="I24" i="6"/>
  <c r="G24" i="6"/>
  <c r="G16" i="6"/>
  <c r="G8" i="6"/>
  <c r="E25" i="6"/>
  <c r="D24" i="6"/>
  <c r="E21" i="6"/>
  <c r="D20" i="6"/>
  <c r="E17" i="6"/>
  <c r="D16" i="6"/>
  <c r="E13" i="6"/>
  <c r="D12" i="6"/>
  <c r="E9" i="6"/>
  <c r="D8" i="6"/>
  <c r="G9" i="6"/>
  <c r="G56" i="6"/>
  <c r="I28" i="6"/>
  <c r="I29" i="6"/>
  <c r="I30" i="6"/>
  <c r="I31" i="6"/>
  <c r="I32" i="6"/>
  <c r="I33" i="6"/>
  <c r="I34" i="6"/>
  <c r="I35" i="6"/>
  <c r="I36" i="6"/>
  <c r="I37" i="6"/>
  <c r="I38" i="6"/>
  <c r="I39" i="6"/>
  <c r="I40" i="6"/>
  <c r="I41" i="6"/>
  <c r="I42" i="6"/>
  <c r="I43" i="6"/>
  <c r="I44" i="6"/>
  <c r="I45" i="6"/>
  <c r="I46" i="6"/>
  <c r="I47" i="6"/>
  <c r="I48" i="6"/>
  <c r="I49" i="6"/>
  <c r="I50" i="6"/>
  <c r="I51" i="6"/>
  <c r="I52" i="6"/>
  <c r="I53" i="6"/>
  <c r="I54" i="6"/>
  <c r="I55" i="6"/>
  <c r="D57" i="6"/>
  <c r="I9" i="6"/>
  <c r="I17" i="6"/>
  <c r="I25" i="6"/>
  <c r="G23" i="6"/>
  <c r="G15" i="6"/>
  <c r="F26" i="6"/>
  <c r="F22" i="6"/>
  <c r="F18" i="6"/>
  <c r="F14" i="6"/>
  <c r="F10" i="6"/>
  <c r="D28" i="6"/>
  <c r="D29" i="6"/>
  <c r="D30" i="6"/>
  <c r="D31" i="6"/>
  <c r="D32" i="6"/>
  <c r="D33" i="6"/>
  <c r="D34" i="6"/>
  <c r="D35" i="6"/>
  <c r="D36" i="6"/>
  <c r="D37" i="6"/>
  <c r="D38" i="6"/>
  <c r="D39" i="6"/>
  <c r="D40" i="6"/>
  <c r="D41" i="6"/>
  <c r="D42" i="6"/>
  <c r="D43" i="6"/>
  <c r="D44" i="6"/>
  <c r="D45" i="6"/>
  <c r="D46" i="6"/>
  <c r="D47" i="6"/>
  <c r="D48" i="6"/>
  <c r="D49" i="6"/>
  <c r="D50" i="6"/>
  <c r="D51" i="6"/>
  <c r="D52" i="6"/>
  <c r="D53" i="6"/>
  <c r="D54" i="6"/>
  <c r="D55" i="6"/>
  <c r="D56" i="6"/>
  <c r="I10" i="6"/>
  <c r="I18" i="6"/>
  <c r="I26" i="6"/>
  <c r="G22" i="6"/>
  <c r="G14" i="6"/>
  <c r="E26" i="6"/>
  <c r="D25" i="6"/>
  <c r="E22" i="6"/>
  <c r="D21" i="6"/>
  <c r="E18" i="6"/>
  <c r="D17" i="6"/>
  <c r="E14" i="6"/>
  <c r="D13" i="6"/>
  <c r="E10" i="6"/>
  <c r="D9" i="6"/>
  <c r="G57" i="6"/>
  <c r="E57" i="6"/>
  <c r="I11" i="6"/>
  <c r="I19" i="6"/>
  <c r="I27" i="6"/>
  <c r="G21" i="6"/>
  <c r="G13" i="6"/>
  <c r="F27" i="6"/>
  <c r="F23" i="6"/>
  <c r="F19" i="6"/>
  <c r="F15" i="6"/>
  <c r="F11" i="6"/>
  <c r="I23" i="6"/>
  <c r="F25" i="6"/>
  <c r="F17" i="6"/>
  <c r="F9" i="6"/>
  <c r="E28" i="6"/>
  <c r="E29" i="6"/>
  <c r="E30" i="6"/>
  <c r="E31" i="6"/>
  <c r="E32" i="6"/>
  <c r="E33" i="6"/>
  <c r="E34" i="6"/>
  <c r="E35" i="6"/>
  <c r="E36" i="6"/>
  <c r="E37" i="6"/>
  <c r="E38" i="6"/>
  <c r="E39" i="6"/>
  <c r="E40" i="6"/>
  <c r="E41" i="6"/>
  <c r="E42" i="6"/>
  <c r="E43" i="6"/>
  <c r="E44" i="6"/>
  <c r="E45" i="6"/>
  <c r="E46" i="6"/>
  <c r="E47" i="6"/>
  <c r="E48" i="6"/>
  <c r="E49" i="6"/>
  <c r="E50" i="6"/>
  <c r="E51" i="6"/>
  <c r="E52" i="6"/>
  <c r="E53" i="6"/>
  <c r="E54" i="6"/>
  <c r="E55" i="6"/>
  <c r="E56" i="6"/>
  <c r="F57" i="6"/>
  <c r="I12" i="6"/>
  <c r="I20" i="6"/>
  <c r="I8" i="6"/>
  <c r="G20" i="6"/>
  <c r="G12" i="6"/>
  <c r="E27" i="6"/>
  <c r="D26" i="6"/>
  <c r="E23" i="6"/>
  <c r="D22" i="6"/>
  <c r="E19" i="6"/>
  <c r="D18" i="6"/>
  <c r="E15" i="6"/>
  <c r="D14" i="6"/>
  <c r="E11" i="6"/>
  <c r="D10" i="6"/>
  <c r="I15" i="6"/>
  <c r="F13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F41" i="6"/>
  <c r="F42" i="6"/>
  <c r="F43" i="6"/>
  <c r="F44" i="6"/>
  <c r="F45" i="6"/>
  <c r="F46" i="6"/>
  <c r="F47" i="6"/>
  <c r="F48" i="6"/>
  <c r="F49" i="6"/>
  <c r="F50" i="6"/>
  <c r="F51" i="6"/>
  <c r="F52" i="6"/>
  <c r="F53" i="6"/>
  <c r="F54" i="6"/>
  <c r="F55" i="6"/>
  <c r="F56" i="6"/>
  <c r="I13" i="6"/>
  <c r="I21" i="6"/>
  <c r="G27" i="6"/>
  <c r="G19" i="6"/>
  <c r="G11" i="6"/>
  <c r="F24" i="6"/>
  <c r="F20" i="6"/>
  <c r="F16" i="6"/>
  <c r="F12" i="6"/>
  <c r="F8" i="6"/>
  <c r="G25" i="6"/>
  <c r="F21" i="6"/>
  <c r="I14" i="6"/>
  <c r="I22" i="6"/>
  <c r="G26" i="6"/>
  <c r="G18" i="6"/>
  <c r="G10" i="6"/>
  <c r="D27" i="6"/>
  <c r="E24" i="6"/>
  <c r="D23" i="6"/>
  <c r="E20" i="6"/>
  <c r="D19" i="6"/>
  <c r="E16" i="6"/>
  <c r="D15" i="6"/>
  <c r="E12" i="6"/>
  <c r="D11" i="6"/>
  <c r="E8" i="6"/>
  <c r="G17" i="6"/>
  <c r="D3" i="3"/>
  <c r="C4" i="3"/>
  <c r="J19" i="6" l="1"/>
  <c r="J8" i="6"/>
  <c r="J56" i="6"/>
  <c r="J49" i="6"/>
  <c r="J40" i="6"/>
  <c r="J41" i="6"/>
  <c r="F5" i="6"/>
  <c r="J25" i="6"/>
  <c r="J14" i="6"/>
  <c r="J46" i="6"/>
  <c r="J15" i="6"/>
  <c r="J26" i="6"/>
  <c r="J32" i="6"/>
  <c r="J52" i="6"/>
  <c r="J53" i="6"/>
  <c r="J45" i="6"/>
  <c r="J37" i="6"/>
  <c r="J29" i="6"/>
  <c r="J51" i="6"/>
  <c r="J44" i="6"/>
  <c r="J36" i="6"/>
  <c r="J28" i="6"/>
  <c r="J18" i="6"/>
  <c r="J38" i="6"/>
  <c r="J34" i="6"/>
  <c r="J24" i="6"/>
  <c r="J50" i="6"/>
  <c r="J22" i="6"/>
  <c r="J31" i="6"/>
  <c r="D5" i="6"/>
  <c r="J43" i="6"/>
  <c r="J23" i="6"/>
  <c r="J47" i="6"/>
  <c r="J13" i="6"/>
  <c r="J57" i="6"/>
  <c r="J20" i="6"/>
  <c r="J21" i="6"/>
  <c r="I5" i="6"/>
  <c r="J35" i="6"/>
  <c r="E5" i="6"/>
  <c r="J42" i="6"/>
  <c r="J33" i="6"/>
  <c r="J16" i="6"/>
  <c r="J27" i="6"/>
  <c r="J55" i="6"/>
  <c r="J48" i="6"/>
  <c r="J9" i="6"/>
  <c r="J17" i="6"/>
  <c r="J54" i="6"/>
  <c r="J10" i="6"/>
  <c r="J39" i="6"/>
  <c r="J11" i="6"/>
  <c r="J12" i="6"/>
  <c r="J30" i="6"/>
  <c r="G5" i="6"/>
  <c r="D4" i="3"/>
  <c r="E3" i="3"/>
  <c r="J5" i="6" l="1"/>
  <c r="E4" i="3"/>
  <c r="F3" i="3"/>
  <c r="G3" i="3" l="1"/>
  <c r="F4" i="3"/>
  <c r="G4" i="3" l="1"/>
  <c r="H3" i="3"/>
  <c r="I3" i="3" l="1"/>
  <c r="H4" i="3"/>
  <c r="J3" i="3" l="1"/>
  <c r="I4" i="3"/>
  <c r="K3" i="3" l="1"/>
  <c r="J4" i="3"/>
  <c r="L3" i="3" l="1"/>
  <c r="K4" i="3"/>
  <c r="M3" i="3" l="1"/>
  <c r="L4" i="3"/>
  <c r="N3" i="3" l="1"/>
  <c r="M4" i="3"/>
  <c r="O3" i="3" l="1"/>
  <c r="N4" i="3"/>
  <c r="P3" i="3" l="1"/>
  <c r="O4" i="3"/>
  <c r="Q3" i="3" l="1"/>
  <c r="P4" i="3"/>
  <c r="R3" i="3" l="1"/>
  <c r="Q4" i="3"/>
  <c r="S3" i="3" l="1"/>
  <c r="R4" i="3"/>
  <c r="T3" i="3" l="1"/>
  <c r="S4" i="3"/>
  <c r="U3" i="3" l="1"/>
  <c r="T4" i="3"/>
  <c r="V3" i="3" l="1"/>
  <c r="U4" i="3"/>
  <c r="W3" i="3" l="1"/>
  <c r="V4" i="3"/>
  <c r="X3" i="3" l="1"/>
  <c r="W4" i="3"/>
  <c r="Y3" i="3" l="1"/>
  <c r="X4" i="3"/>
  <c r="Z3" i="3" l="1"/>
  <c r="Y4" i="3"/>
  <c r="AA3" i="3" l="1"/>
  <c r="Z4" i="3"/>
  <c r="AB3" i="3" l="1"/>
  <c r="AA4" i="3"/>
  <c r="AC3" i="3" l="1"/>
  <c r="AB4" i="3"/>
  <c r="AD3" i="3" l="1"/>
  <c r="AC4" i="3"/>
  <c r="AE3" i="3" l="1"/>
  <c r="AD4" i="3"/>
  <c r="AF3" i="3" l="1"/>
  <c r="AE4" i="3"/>
  <c r="AG3" i="3" l="1"/>
  <c r="AF4" i="3"/>
  <c r="AG4" i="3" l="1"/>
  <c r="A6" i="5"/>
  <c r="G48" i="3" l="1"/>
  <c r="C54" i="3"/>
  <c r="C55" i="3"/>
  <c r="D55" i="3"/>
  <c r="D54" i="3"/>
  <c r="E54" i="3"/>
  <c r="E55" i="3"/>
  <c r="F55" i="3"/>
  <c r="F54" i="3"/>
  <c r="G54" i="3"/>
  <c r="G55" i="3"/>
  <c r="H55" i="3"/>
  <c r="H54" i="3"/>
  <c r="I54" i="3"/>
  <c r="I55" i="3"/>
  <c r="J55" i="3"/>
  <c r="J54" i="3"/>
  <c r="K54" i="3"/>
  <c r="K55" i="3"/>
  <c r="L55" i="3"/>
  <c r="L54" i="3"/>
  <c r="M55" i="3"/>
  <c r="M54" i="3"/>
  <c r="N55" i="3"/>
  <c r="N54" i="3"/>
  <c r="O54" i="3"/>
  <c r="O55" i="3"/>
  <c r="P55" i="3"/>
  <c r="P54" i="3"/>
  <c r="Q55" i="3"/>
  <c r="Q54" i="3"/>
  <c r="R55" i="3"/>
  <c r="R54" i="3"/>
  <c r="S55" i="3"/>
  <c r="S54" i="3"/>
  <c r="T54" i="3"/>
  <c r="T55" i="3"/>
  <c r="U55" i="3"/>
  <c r="U54" i="3"/>
  <c r="V55" i="3"/>
  <c r="V54" i="3"/>
  <c r="W55" i="3"/>
  <c r="W54" i="3"/>
  <c r="X54" i="3"/>
  <c r="X55" i="3"/>
  <c r="Y55" i="3"/>
  <c r="Y54" i="3"/>
  <c r="Z54" i="3"/>
  <c r="Z55" i="3"/>
  <c r="AA55" i="3"/>
  <c r="AA54" i="3"/>
  <c r="AB54" i="3"/>
  <c r="AB55" i="3"/>
  <c r="AC55" i="3"/>
  <c r="AC54" i="3"/>
  <c r="AD54" i="3"/>
  <c r="AD55" i="3"/>
  <c r="AE55" i="3"/>
  <c r="AE54" i="3"/>
  <c r="AF55" i="3"/>
  <c r="AF54" i="3"/>
  <c r="AG54" i="3"/>
  <c r="AG55" i="3"/>
  <c r="D9" i="3"/>
  <c r="D14" i="3"/>
  <c r="D13" i="3"/>
  <c r="D20" i="3"/>
  <c r="E39" i="3"/>
  <c r="E50" i="3"/>
  <c r="E25" i="3"/>
  <c r="E8" i="3"/>
  <c r="E46" i="3"/>
  <c r="E19" i="3"/>
  <c r="F40" i="3"/>
  <c r="F33" i="3"/>
  <c r="F30" i="3"/>
  <c r="F41" i="3"/>
  <c r="F28" i="3"/>
  <c r="G23" i="3"/>
  <c r="G41" i="3"/>
  <c r="D50" i="3"/>
  <c r="D35" i="3"/>
  <c r="D19" i="3"/>
  <c r="E30" i="3"/>
  <c r="E40" i="3"/>
  <c r="E33" i="3"/>
  <c r="E9" i="3"/>
  <c r="E47" i="3"/>
  <c r="E51" i="3"/>
  <c r="F47" i="3"/>
  <c r="F42" i="3"/>
  <c r="F9" i="3"/>
  <c r="F50" i="3"/>
  <c r="F26" i="3"/>
  <c r="F29" i="3"/>
  <c r="G19" i="3"/>
  <c r="G20" i="3"/>
  <c r="D39" i="3"/>
  <c r="D18" i="3"/>
  <c r="D16" i="3"/>
  <c r="D8" i="3"/>
  <c r="E23" i="3"/>
  <c r="E11" i="3"/>
  <c r="E49" i="3"/>
  <c r="E13" i="3"/>
  <c r="E42" i="3"/>
  <c r="F51" i="3"/>
  <c r="F37" i="3"/>
  <c r="F38" i="3"/>
  <c r="F16" i="3"/>
  <c r="F52" i="3"/>
  <c r="F35" i="3"/>
  <c r="G40" i="3"/>
  <c r="G6" i="3"/>
  <c r="D42" i="3"/>
  <c r="D45" i="3"/>
  <c r="D29" i="3"/>
  <c r="D15" i="3"/>
  <c r="D12" i="3"/>
  <c r="D17" i="3"/>
  <c r="D38" i="3"/>
  <c r="E14" i="3"/>
  <c r="E18" i="3"/>
  <c r="E53" i="3"/>
  <c r="E41" i="3"/>
  <c r="E15" i="3"/>
  <c r="E12" i="3"/>
  <c r="F6" i="3"/>
  <c r="F43" i="3"/>
  <c r="F49" i="3"/>
  <c r="F5" i="3"/>
  <c r="F15" i="3"/>
  <c r="F48" i="3"/>
  <c r="G35" i="3"/>
  <c r="G13" i="3"/>
  <c r="D24" i="3"/>
  <c r="D7" i="3"/>
  <c r="D37" i="3"/>
  <c r="D26" i="3"/>
  <c r="D25" i="3"/>
  <c r="D31" i="3"/>
  <c r="D36" i="3"/>
  <c r="E10" i="3"/>
  <c r="E22" i="3"/>
  <c r="E28" i="3"/>
  <c r="E24" i="3"/>
  <c r="E45" i="3"/>
  <c r="E32" i="3"/>
  <c r="E7" i="3"/>
  <c r="F7" i="3"/>
  <c r="F19" i="3"/>
  <c r="F39" i="3"/>
  <c r="F25" i="3"/>
  <c r="F10" i="3"/>
  <c r="F11" i="3"/>
  <c r="G50" i="3"/>
  <c r="C41" i="3"/>
  <c r="AG46" i="3"/>
  <c r="AG7" i="3"/>
  <c r="AG23" i="3"/>
  <c r="C40" i="3"/>
  <c r="AG20" i="3"/>
  <c r="C8" i="3"/>
  <c r="AG48" i="3"/>
  <c r="C5" i="3"/>
  <c r="C53" i="3"/>
  <c r="AG41" i="3"/>
  <c r="C37" i="3"/>
  <c r="C34" i="3"/>
  <c r="C50" i="3"/>
  <c r="AG40" i="3"/>
  <c r="C47" i="3"/>
  <c r="AG8" i="3"/>
  <c r="C35" i="3"/>
  <c r="C49" i="3"/>
  <c r="AG53" i="3"/>
  <c r="C36" i="3"/>
  <c r="AG37" i="3"/>
  <c r="C21" i="3"/>
  <c r="C42" i="3"/>
  <c r="AG50" i="3"/>
  <c r="C44" i="3"/>
  <c r="AG47" i="3"/>
  <c r="C38" i="3"/>
  <c r="AG35" i="3"/>
  <c r="AG49" i="3"/>
  <c r="C46" i="3"/>
  <c r="AG36" i="3"/>
  <c r="C7" i="3"/>
  <c r="AG21" i="3"/>
  <c r="C23" i="3"/>
  <c r="AG42" i="3"/>
  <c r="C20" i="3"/>
  <c r="AG44" i="3"/>
  <c r="C48" i="3"/>
  <c r="AG38" i="3"/>
  <c r="C14" i="3"/>
  <c r="C11" i="3"/>
  <c r="AG16" i="3"/>
  <c r="C27" i="3"/>
  <c r="AG17" i="3"/>
  <c r="C6" i="3"/>
  <c r="AG26" i="3"/>
  <c r="AF44" i="3"/>
  <c r="AF47" i="3"/>
  <c r="AF45" i="3"/>
  <c r="AF32" i="3"/>
  <c r="AF5" i="3"/>
  <c r="AF14" i="3"/>
  <c r="AF31" i="3"/>
  <c r="AE47" i="3"/>
  <c r="AE9" i="3"/>
  <c r="AE14" i="3"/>
  <c r="AE23" i="3"/>
  <c r="AE20" i="3"/>
  <c r="AE32" i="3"/>
  <c r="AD49" i="3"/>
  <c r="AD34" i="3"/>
  <c r="AD52" i="3"/>
  <c r="AD23" i="3"/>
  <c r="AD51" i="3"/>
  <c r="AD17" i="3"/>
  <c r="AC9" i="3"/>
  <c r="AC29" i="3"/>
  <c r="AC49" i="3"/>
  <c r="AC8" i="3"/>
  <c r="AC41" i="3"/>
  <c r="AC22" i="3"/>
  <c r="AB19" i="3"/>
  <c r="AB37" i="3"/>
  <c r="AB7" i="3"/>
  <c r="AB41" i="3"/>
  <c r="AB34" i="3"/>
  <c r="AB46" i="3"/>
  <c r="AB40" i="3"/>
  <c r="AA50" i="3"/>
  <c r="AA32" i="3"/>
  <c r="AA53" i="3"/>
  <c r="AA18" i="3"/>
  <c r="AA13" i="3"/>
  <c r="AA52" i="3"/>
  <c r="Z25" i="3"/>
  <c r="Z34" i="3"/>
  <c r="Z49" i="3"/>
  <c r="Z27" i="3"/>
  <c r="Z17" i="3"/>
  <c r="Z21" i="3"/>
  <c r="Y52" i="3"/>
  <c r="Y50" i="3"/>
  <c r="Y10" i="3"/>
  <c r="Y24" i="3"/>
  <c r="Y17" i="3"/>
  <c r="Y31" i="3"/>
  <c r="X47" i="3"/>
  <c r="X26" i="3"/>
  <c r="X34" i="3"/>
  <c r="X32" i="3"/>
  <c r="X8" i="3"/>
  <c r="X31" i="3"/>
  <c r="X41" i="3"/>
  <c r="W35" i="3"/>
  <c r="W15" i="3"/>
  <c r="W16" i="3"/>
  <c r="W9" i="3"/>
  <c r="W18" i="3"/>
  <c r="W39" i="3"/>
  <c r="V38" i="3"/>
  <c r="V31" i="3"/>
  <c r="V12" i="3"/>
  <c r="V11" i="3"/>
  <c r="V15" i="3"/>
  <c r="V13" i="3"/>
  <c r="U22" i="3"/>
  <c r="U49" i="3"/>
  <c r="U43" i="3"/>
  <c r="U5" i="3"/>
  <c r="U7" i="3"/>
  <c r="U46" i="3"/>
  <c r="AG34" i="3"/>
  <c r="AG51" i="3"/>
  <c r="C19" i="3"/>
  <c r="AG18" i="3"/>
  <c r="C10" i="3"/>
  <c r="AG13" i="3"/>
  <c r="C25" i="3"/>
  <c r="AF42" i="3"/>
  <c r="AF18" i="3"/>
  <c r="AF37" i="3"/>
  <c r="AF35" i="3"/>
  <c r="AF17" i="3"/>
  <c r="AF10" i="3"/>
  <c r="AE5" i="3"/>
  <c r="AE31" i="3"/>
  <c r="AE21" i="3"/>
  <c r="AE19" i="3"/>
  <c r="AE10" i="3"/>
  <c r="AE11" i="3"/>
  <c r="AE35" i="3"/>
  <c r="AD37" i="3"/>
  <c r="AD19" i="3"/>
  <c r="AD41" i="3"/>
  <c r="AD18" i="3"/>
  <c r="AD50" i="3"/>
  <c r="AD5" i="3"/>
  <c r="AC47" i="3"/>
  <c r="AC11" i="3"/>
  <c r="AC53" i="3"/>
  <c r="AC23" i="3"/>
  <c r="AC31" i="3"/>
  <c r="AC12" i="3"/>
  <c r="AB33" i="3"/>
  <c r="AB16" i="3"/>
  <c r="AB36" i="3"/>
  <c r="AB47" i="3"/>
  <c r="AB27" i="3"/>
  <c r="AB35" i="3"/>
  <c r="AA31" i="3"/>
  <c r="AA28" i="3"/>
  <c r="AA26" i="3"/>
  <c r="AA36" i="3"/>
  <c r="AA22" i="3"/>
  <c r="AA43" i="3"/>
  <c r="Z5" i="3"/>
  <c r="Z39" i="3"/>
  <c r="Z37" i="3"/>
  <c r="Z53" i="3"/>
  <c r="Z12" i="3"/>
  <c r="Z18" i="3"/>
  <c r="Y49" i="3"/>
  <c r="Y37" i="3"/>
  <c r="Y51" i="3"/>
  <c r="Y14" i="3"/>
  <c r="Y5" i="3"/>
  <c r="Y13" i="3"/>
  <c r="X53" i="3"/>
  <c r="X43" i="3"/>
  <c r="X46" i="3"/>
  <c r="X38" i="3"/>
  <c r="X51" i="3"/>
  <c r="X18" i="3"/>
  <c r="W11" i="3"/>
  <c r="W7" i="3"/>
  <c r="W38" i="3"/>
  <c r="W50" i="3"/>
  <c r="W28" i="3"/>
  <c r="W33" i="3"/>
  <c r="W25" i="3"/>
  <c r="V43" i="3"/>
  <c r="V6" i="3"/>
  <c r="V53" i="3"/>
  <c r="V30" i="3"/>
  <c r="V7" i="3"/>
  <c r="U9" i="3"/>
  <c r="U14" i="3"/>
  <c r="U30" i="3"/>
  <c r="U50" i="3"/>
  <c r="U20" i="3"/>
  <c r="C33" i="3"/>
  <c r="AG14" i="3"/>
  <c r="C29" i="3"/>
  <c r="AG11" i="3"/>
  <c r="C32" i="3"/>
  <c r="AG27" i="3"/>
  <c r="C24" i="3"/>
  <c r="AG6" i="3"/>
  <c r="AF53" i="3"/>
  <c r="AF52" i="3"/>
  <c r="AF29" i="3"/>
  <c r="AF27" i="3"/>
  <c r="AF49" i="3"/>
  <c r="AF22" i="3"/>
  <c r="AE30" i="3"/>
  <c r="AE27" i="3"/>
  <c r="AE43" i="3"/>
  <c r="AE22" i="3"/>
  <c r="AE36" i="3"/>
  <c r="AE34" i="3"/>
  <c r="AD39" i="3"/>
  <c r="AD7" i="3"/>
  <c r="AD9" i="3"/>
  <c r="AD24" i="3"/>
  <c r="AD28" i="3"/>
  <c r="AD25" i="3"/>
  <c r="AC26" i="3"/>
  <c r="AC38" i="3"/>
  <c r="AC14" i="3"/>
  <c r="AC44" i="3"/>
  <c r="AC27" i="3"/>
  <c r="AC6" i="3"/>
  <c r="AB53" i="3"/>
  <c r="AB15" i="3"/>
  <c r="AB23" i="3"/>
  <c r="AB9" i="3"/>
  <c r="AB49" i="3"/>
  <c r="AB26" i="3"/>
  <c r="AA46" i="3"/>
  <c r="AA37" i="3"/>
  <c r="AA41" i="3"/>
  <c r="AA33" i="3"/>
  <c r="AA12" i="3"/>
  <c r="AA47" i="3"/>
  <c r="AA30" i="3"/>
  <c r="Z20" i="3"/>
  <c r="Z35" i="3"/>
  <c r="Z30" i="3"/>
  <c r="Z28" i="3"/>
  <c r="Z52" i="3"/>
  <c r="Z42" i="3"/>
  <c r="Y47" i="3"/>
  <c r="Y29" i="3"/>
  <c r="Y27" i="3"/>
  <c r="Y40" i="3"/>
  <c r="Y16" i="3"/>
  <c r="Y8" i="3"/>
  <c r="X40" i="3"/>
  <c r="X28" i="3"/>
  <c r="X36" i="3"/>
  <c r="X10" i="3"/>
  <c r="X29" i="3"/>
  <c r="X9" i="3"/>
  <c r="W40" i="3"/>
  <c r="W32" i="3"/>
  <c r="W30" i="3"/>
  <c r="W13" i="3"/>
  <c r="W51" i="3"/>
  <c r="W26" i="3"/>
  <c r="V19" i="3"/>
  <c r="V8" i="3"/>
  <c r="V41" i="3"/>
  <c r="V52" i="3"/>
  <c r="V48" i="3"/>
  <c r="V37" i="3"/>
  <c r="U28" i="3"/>
  <c r="U40" i="3"/>
  <c r="U19" i="3"/>
  <c r="U33" i="3"/>
  <c r="U23" i="3"/>
  <c r="AG33" i="3"/>
  <c r="AG5" i="3"/>
  <c r="C22" i="3"/>
  <c r="AG19" i="3"/>
  <c r="C39" i="3"/>
  <c r="AG10" i="3"/>
  <c r="C52" i="3"/>
  <c r="AG25" i="3"/>
  <c r="AF19" i="3"/>
  <c r="AF36" i="3"/>
  <c r="AF38" i="3"/>
  <c r="AF33" i="3"/>
  <c r="AF23" i="3"/>
  <c r="AE49" i="3"/>
  <c r="AE16" i="3"/>
  <c r="AE41" i="3"/>
  <c r="AE28" i="3"/>
  <c r="AE7" i="3"/>
  <c r="AE17" i="3"/>
  <c r="AD12" i="3"/>
  <c r="AD22" i="3"/>
  <c r="AD20" i="3"/>
  <c r="AD8" i="3"/>
  <c r="AD16" i="3"/>
  <c r="AD29" i="3"/>
  <c r="AD26" i="3"/>
  <c r="AC42" i="3"/>
  <c r="AC16" i="3"/>
  <c r="AC10" i="3"/>
  <c r="AC21" i="3"/>
  <c r="AC30" i="3"/>
  <c r="AC13" i="3"/>
  <c r="AB39" i="3"/>
  <c r="AB18" i="3"/>
  <c r="AB14" i="3"/>
  <c r="AB11" i="3"/>
  <c r="AB21" i="3"/>
  <c r="AB6" i="3"/>
  <c r="AA45" i="3"/>
  <c r="AA27" i="3"/>
  <c r="AA6" i="3"/>
  <c r="AA9" i="3"/>
  <c r="AA29" i="3"/>
  <c r="AA8" i="3"/>
  <c r="Z41" i="3"/>
  <c r="Z48" i="3"/>
  <c r="Z38" i="3"/>
  <c r="Z40" i="3"/>
  <c r="Z45" i="3"/>
  <c r="Z44" i="3"/>
  <c r="Y21" i="3"/>
  <c r="Y53" i="3"/>
  <c r="Y45" i="3"/>
  <c r="Y15" i="3"/>
  <c r="Y11" i="3"/>
  <c r="X39" i="3"/>
  <c r="X17" i="3"/>
  <c r="X23" i="3"/>
  <c r="X52" i="3"/>
  <c r="X49" i="3"/>
  <c r="X14" i="3"/>
  <c r="W46" i="3"/>
  <c r="W34" i="3"/>
  <c r="W45" i="3"/>
  <c r="W37" i="3"/>
  <c r="W48" i="3"/>
  <c r="W6" i="3"/>
  <c r="V21" i="3"/>
  <c r="V24" i="3"/>
  <c r="V46" i="3"/>
  <c r="V32" i="3"/>
  <c r="V25" i="3"/>
  <c r="V47" i="3"/>
  <c r="V42" i="3"/>
  <c r="U48" i="3"/>
  <c r="U44" i="3"/>
  <c r="U36" i="3"/>
  <c r="U25" i="3"/>
  <c r="U21" i="3"/>
  <c r="C45" i="3"/>
  <c r="AG29" i="3"/>
  <c r="C12" i="3"/>
  <c r="AG32" i="3"/>
  <c r="C9" i="3"/>
  <c r="AG24" i="3"/>
  <c r="C31" i="3"/>
  <c r="AF6" i="3"/>
  <c r="AF41" i="3"/>
  <c r="AF26" i="3"/>
  <c r="AF39" i="3"/>
  <c r="AF25" i="3"/>
  <c r="AF15" i="3"/>
  <c r="AE50" i="3"/>
  <c r="AE46" i="3"/>
  <c r="AE40" i="3"/>
  <c r="AE38" i="3"/>
  <c r="AE25" i="3"/>
  <c r="AE12" i="3"/>
  <c r="AD27" i="3"/>
  <c r="AD47" i="3"/>
  <c r="AD30" i="3"/>
  <c r="AD45" i="3"/>
  <c r="AD14" i="3"/>
  <c r="AD13" i="3"/>
  <c r="AD42" i="3"/>
  <c r="AC32" i="3"/>
  <c r="AC36" i="3"/>
  <c r="AC17" i="3"/>
  <c r="AC5" i="3"/>
  <c r="AC50" i="3"/>
  <c r="AB50" i="3"/>
  <c r="AB44" i="3"/>
  <c r="AB29" i="3"/>
  <c r="AB17" i="3"/>
  <c r="AB13" i="3"/>
  <c r="AB8" i="3"/>
  <c r="AA51" i="3"/>
  <c r="AA11" i="3"/>
  <c r="AA5" i="3"/>
  <c r="AA24" i="3"/>
  <c r="AA44" i="3"/>
  <c r="AA23" i="3"/>
  <c r="Z24" i="3"/>
  <c r="Z23" i="3"/>
  <c r="Z36" i="3"/>
  <c r="Z31" i="3"/>
  <c r="Z13" i="3"/>
  <c r="Z26" i="3"/>
  <c r="Z43" i="3"/>
  <c r="Y9" i="3"/>
  <c r="Y38" i="3"/>
  <c r="Y25" i="3"/>
  <c r="Y44" i="3"/>
  <c r="Y12" i="3"/>
  <c r="Y26" i="3"/>
  <c r="X33" i="3"/>
  <c r="X15" i="3"/>
  <c r="X7" i="3"/>
  <c r="X30" i="3"/>
  <c r="X20" i="3"/>
  <c r="W20" i="3"/>
  <c r="W36" i="3"/>
  <c r="W52" i="3"/>
  <c r="W8" i="3"/>
  <c r="W27" i="3"/>
  <c r="W19" i="3"/>
  <c r="V20" i="3"/>
  <c r="V5" i="3"/>
  <c r="V45" i="3"/>
  <c r="V27" i="3"/>
  <c r="V36" i="3"/>
  <c r="V28" i="3"/>
  <c r="V39" i="3"/>
  <c r="U51" i="3"/>
  <c r="U45" i="3"/>
  <c r="U10" i="3"/>
  <c r="U35" i="3"/>
  <c r="U47" i="3"/>
  <c r="C43" i="3"/>
  <c r="C28" i="3"/>
  <c r="AG22" i="3"/>
  <c r="C30" i="3"/>
  <c r="AG39" i="3"/>
  <c r="C15" i="3"/>
  <c r="AG52" i="3"/>
  <c r="AF34" i="3"/>
  <c r="AF21" i="3"/>
  <c r="AF43" i="3"/>
  <c r="AF13" i="3"/>
  <c r="AF30" i="3"/>
  <c r="AF8" i="3"/>
  <c r="AE44" i="3"/>
  <c r="AE42" i="3"/>
  <c r="AE45" i="3"/>
  <c r="AE37" i="3"/>
  <c r="AE48" i="3"/>
  <c r="AE24" i="3"/>
  <c r="AD48" i="3"/>
  <c r="AD40" i="3"/>
  <c r="AD53" i="3"/>
  <c r="AD46" i="3"/>
  <c r="AD10" i="3"/>
  <c r="AD6" i="3"/>
  <c r="AC24" i="3"/>
  <c r="AC20" i="3"/>
  <c r="AC46" i="3"/>
  <c r="AC45" i="3"/>
  <c r="AC15" i="3"/>
  <c r="AC40" i="3"/>
  <c r="AC39" i="3"/>
  <c r="AB10" i="3"/>
  <c r="AB28" i="3"/>
  <c r="AB43" i="3"/>
  <c r="AB24" i="3"/>
  <c r="AB20" i="3"/>
  <c r="AA40" i="3"/>
  <c r="AA38" i="3"/>
  <c r="AA48" i="3"/>
  <c r="AA34" i="3"/>
  <c r="AA35" i="3"/>
  <c r="AA20" i="3"/>
  <c r="Z50" i="3"/>
  <c r="Z8" i="3"/>
  <c r="Z14" i="3"/>
  <c r="Z7" i="3"/>
  <c r="Z46" i="3"/>
  <c r="Z32" i="3"/>
  <c r="Y22" i="3"/>
  <c r="Y43" i="3"/>
  <c r="Y32" i="3"/>
  <c r="Y6" i="3"/>
  <c r="Y39" i="3"/>
  <c r="Y48" i="3"/>
  <c r="Y34" i="3"/>
  <c r="X21" i="3"/>
  <c r="X44" i="3"/>
  <c r="X19" i="3"/>
  <c r="X16" i="3"/>
  <c r="X25" i="3"/>
  <c r="X5" i="3"/>
  <c r="W44" i="3"/>
  <c r="W10" i="3"/>
  <c r="W23" i="3"/>
  <c r="W53" i="3"/>
  <c r="W31" i="3"/>
  <c r="W24" i="3"/>
  <c r="V17" i="3"/>
  <c r="V35" i="3"/>
  <c r="V50" i="3"/>
  <c r="V44" i="3"/>
  <c r="V10" i="3"/>
  <c r="V16" i="3"/>
  <c r="U24" i="3"/>
  <c r="U39" i="3"/>
  <c r="U41" i="3"/>
  <c r="U53" i="3"/>
  <c r="U38" i="3"/>
  <c r="AG45" i="3"/>
  <c r="C16" i="3"/>
  <c r="AG12" i="3"/>
  <c r="C17" i="3"/>
  <c r="AG9" i="3"/>
  <c r="C26" i="3"/>
  <c r="AG31" i="3"/>
  <c r="AF40" i="3"/>
  <c r="AF9" i="3"/>
  <c r="AF24" i="3"/>
  <c r="AF48" i="3"/>
  <c r="AF11" i="3"/>
  <c r="AF28" i="3"/>
  <c r="AE15" i="3"/>
  <c r="AE26" i="3"/>
  <c r="AE33" i="3"/>
  <c r="AE52" i="3"/>
  <c r="AE39" i="3"/>
  <c r="AE8" i="3"/>
  <c r="AD38" i="3"/>
  <c r="AD33" i="3"/>
  <c r="AD31" i="3"/>
  <c r="AD21" i="3"/>
  <c r="AD11" i="3"/>
  <c r="AC28" i="3"/>
  <c r="AC34" i="3"/>
  <c r="AC48" i="3"/>
  <c r="AC33" i="3"/>
  <c r="AC7" i="3"/>
  <c r="AC19" i="3"/>
  <c r="AC37" i="3"/>
  <c r="AB5" i="3"/>
  <c r="AB32" i="3"/>
  <c r="AB52" i="3"/>
  <c r="AB51" i="3"/>
  <c r="AB12" i="3"/>
  <c r="AB38" i="3"/>
  <c r="AA15" i="3"/>
  <c r="AA39" i="3"/>
  <c r="AA19" i="3"/>
  <c r="AA17" i="3"/>
  <c r="AA25" i="3"/>
  <c r="AA16" i="3"/>
  <c r="Z47" i="3"/>
  <c r="Z16" i="3"/>
  <c r="Z10" i="3"/>
  <c r="Z19" i="3"/>
  <c r="Z6" i="3"/>
  <c r="Z11" i="3"/>
  <c r="Y19" i="3"/>
  <c r="Y20" i="3"/>
  <c r="Y42" i="3"/>
  <c r="Y30" i="3"/>
  <c r="Y35" i="3"/>
  <c r="Y36" i="3"/>
  <c r="Y33" i="3"/>
  <c r="X48" i="3"/>
  <c r="X6" i="3"/>
  <c r="X12" i="3"/>
  <c r="X24" i="3"/>
  <c r="X11" i="3"/>
  <c r="X45" i="3"/>
  <c r="W41" i="3"/>
  <c r="W5" i="3"/>
  <c r="W14" i="3"/>
  <c r="W43" i="3"/>
  <c r="W29" i="3"/>
  <c r="W12" i="3"/>
  <c r="V49" i="3"/>
  <c r="V51" i="3"/>
  <c r="V26" i="3"/>
  <c r="V40" i="3"/>
  <c r="V22" i="3"/>
  <c r="V14" i="3"/>
  <c r="U6" i="3"/>
  <c r="U11" i="3"/>
  <c r="U12" i="3"/>
  <c r="U15" i="3"/>
  <c r="U32" i="3"/>
  <c r="U42" i="3"/>
  <c r="AG43" i="3"/>
  <c r="C51" i="3"/>
  <c r="AG28" i="3"/>
  <c r="C18" i="3"/>
  <c r="AG30" i="3"/>
  <c r="C13" i="3"/>
  <c r="AG15" i="3"/>
  <c r="AF51" i="3"/>
  <c r="AF46" i="3"/>
  <c r="AF16" i="3"/>
  <c r="AF20" i="3"/>
  <c r="AF12" i="3"/>
  <c r="AF7" i="3"/>
  <c r="AF50" i="3"/>
  <c r="AE53" i="3"/>
  <c r="AE18" i="3"/>
  <c r="AE13" i="3"/>
  <c r="AE51" i="3"/>
  <c r="AE29" i="3"/>
  <c r="AE6" i="3"/>
  <c r="AD32" i="3"/>
  <c r="AD35" i="3"/>
  <c r="AD44" i="3"/>
  <c r="AD36" i="3"/>
  <c r="AD43" i="3"/>
  <c r="AD15" i="3"/>
  <c r="AC51" i="3"/>
  <c r="AC52" i="3"/>
  <c r="AC43" i="3"/>
  <c r="AC35" i="3"/>
  <c r="AC25" i="3"/>
  <c r="AC18" i="3"/>
  <c r="AB22" i="3"/>
  <c r="AB30" i="3"/>
  <c r="AB25" i="3"/>
  <c r="AB42" i="3"/>
  <c r="AB48" i="3"/>
  <c r="AB31" i="3"/>
  <c r="AB45" i="3"/>
  <c r="AA42" i="3"/>
  <c r="AA21" i="3"/>
  <c r="AA7" i="3"/>
  <c r="AA14" i="3"/>
  <c r="AA49" i="3"/>
  <c r="AA10" i="3"/>
  <c r="Z51" i="3"/>
  <c r="Z33" i="3"/>
  <c r="Z29" i="3"/>
  <c r="Z15" i="3"/>
  <c r="Z9" i="3"/>
  <c r="Z22" i="3"/>
  <c r="Y46" i="3"/>
  <c r="Y28" i="3"/>
  <c r="Y23" i="3"/>
  <c r="Y7" i="3"/>
  <c r="Y18" i="3"/>
  <c r="Y41" i="3"/>
  <c r="X22" i="3"/>
  <c r="X13" i="3"/>
  <c r="X35" i="3"/>
  <c r="X50" i="3"/>
  <c r="X37" i="3"/>
  <c r="X42" i="3"/>
  <c r="X27" i="3"/>
  <c r="W49" i="3"/>
  <c r="W42" i="3"/>
  <c r="W22" i="3"/>
  <c r="W21" i="3"/>
  <c r="W47" i="3"/>
  <c r="W17" i="3"/>
  <c r="V33" i="3"/>
  <c r="V29" i="3"/>
  <c r="V34" i="3"/>
  <c r="V23" i="3"/>
  <c r="V18" i="3"/>
  <c r="V9" i="3"/>
  <c r="U16" i="3"/>
  <c r="U8" i="3"/>
  <c r="U26" i="3"/>
  <c r="U18" i="3"/>
  <c r="U34" i="3"/>
  <c r="T43" i="3"/>
  <c r="T46" i="3"/>
  <c r="T50" i="3"/>
  <c r="T28" i="3"/>
  <c r="T27" i="3"/>
  <c r="T24" i="3"/>
  <c r="T33" i="3"/>
  <c r="S14" i="3"/>
  <c r="S8" i="3"/>
  <c r="S33" i="3"/>
  <c r="S50" i="3"/>
  <c r="S19" i="3"/>
  <c r="R36" i="3"/>
  <c r="R5" i="3"/>
  <c r="R15" i="3"/>
  <c r="R10" i="3"/>
  <c r="R46" i="3"/>
  <c r="R12" i="3"/>
  <c r="Q25" i="3"/>
  <c r="Q28" i="3"/>
  <c r="Q32" i="3"/>
  <c r="Q46" i="3"/>
  <c r="Q17" i="3"/>
  <c r="Q30" i="3"/>
  <c r="P52" i="3"/>
  <c r="P28" i="3"/>
  <c r="P51" i="3"/>
  <c r="P22" i="3"/>
  <c r="P17" i="3"/>
  <c r="P47" i="3"/>
  <c r="P41" i="3"/>
  <c r="O49" i="3"/>
  <c r="O46" i="3"/>
  <c r="O7" i="3"/>
  <c r="O26" i="3"/>
  <c r="O9" i="3"/>
  <c r="O16" i="3"/>
  <c r="N20" i="3"/>
  <c r="N51" i="3"/>
  <c r="N41" i="3"/>
  <c r="N48" i="3"/>
  <c r="N23" i="3"/>
  <c r="N24" i="3"/>
  <c r="M8" i="3"/>
  <c r="M7" i="3"/>
  <c r="M24" i="3"/>
  <c r="M5" i="3"/>
  <c r="M30" i="3"/>
  <c r="M35" i="3"/>
  <c r="L13" i="3"/>
  <c r="L31" i="3"/>
  <c r="L16" i="3"/>
  <c r="L5" i="3"/>
  <c r="L53" i="3"/>
  <c r="L30" i="3"/>
  <c r="L27" i="3"/>
  <c r="K8" i="3"/>
  <c r="K7" i="3"/>
  <c r="K29" i="3"/>
  <c r="K50" i="3"/>
  <c r="K11" i="3"/>
  <c r="J35" i="3"/>
  <c r="J42" i="3"/>
  <c r="J26" i="3"/>
  <c r="J15" i="3"/>
  <c r="J32" i="3"/>
  <c r="I17" i="3"/>
  <c r="I43" i="3"/>
  <c r="I38" i="3"/>
  <c r="I52" i="3"/>
  <c r="I11" i="3"/>
  <c r="I40" i="3"/>
  <c r="H15" i="3"/>
  <c r="H40" i="3"/>
  <c r="H5" i="3"/>
  <c r="H29" i="3"/>
  <c r="H36" i="3"/>
  <c r="H38" i="3"/>
  <c r="H25" i="3"/>
  <c r="G15" i="3"/>
  <c r="G26" i="3"/>
  <c r="G33" i="3"/>
  <c r="G51" i="3"/>
  <c r="G52" i="3"/>
  <c r="G43" i="3"/>
  <c r="U31" i="3"/>
  <c r="T49" i="3"/>
  <c r="T40" i="3"/>
  <c r="T45" i="3"/>
  <c r="T15" i="3"/>
  <c r="T26" i="3"/>
  <c r="T9" i="3"/>
  <c r="T37" i="3"/>
  <c r="S11" i="3"/>
  <c r="S35" i="3"/>
  <c r="S18" i="3"/>
  <c r="S15" i="3"/>
  <c r="S6" i="3"/>
  <c r="S36" i="3"/>
  <c r="R26" i="3"/>
  <c r="R45" i="3"/>
  <c r="R39" i="3"/>
  <c r="R9" i="3"/>
  <c r="R20" i="3"/>
  <c r="R19" i="3"/>
  <c r="Q44" i="3"/>
  <c r="Q38" i="3"/>
  <c r="Q26" i="3"/>
  <c r="Q35" i="3"/>
  <c r="Q50" i="3"/>
  <c r="Q27" i="3"/>
  <c r="P30" i="3"/>
  <c r="P20" i="3"/>
  <c r="P32" i="3"/>
  <c r="P6" i="3"/>
  <c r="P45" i="3"/>
  <c r="P35" i="3"/>
  <c r="P33" i="3"/>
  <c r="O38" i="3"/>
  <c r="O33" i="3"/>
  <c r="O28" i="3"/>
  <c r="O45" i="3"/>
  <c r="O40" i="3"/>
  <c r="O50" i="3"/>
  <c r="N52" i="3"/>
  <c r="N53" i="3"/>
  <c r="N18" i="3"/>
  <c r="N25" i="3"/>
  <c r="N14" i="3"/>
  <c r="N8" i="3"/>
  <c r="M16" i="3"/>
  <c r="M11" i="3"/>
  <c r="M29" i="3"/>
  <c r="M17" i="3"/>
  <c r="M14" i="3"/>
  <c r="M48" i="3"/>
  <c r="L36" i="3"/>
  <c r="L26" i="3"/>
  <c r="L51" i="3"/>
  <c r="L18" i="3"/>
  <c r="L39" i="3"/>
  <c r="L34" i="3"/>
  <c r="L29" i="3"/>
  <c r="K16" i="3"/>
  <c r="K23" i="3"/>
  <c r="K40" i="3"/>
  <c r="K41" i="3"/>
  <c r="K51" i="3"/>
  <c r="K44" i="3"/>
  <c r="J53" i="3"/>
  <c r="J31" i="3"/>
  <c r="J14" i="3"/>
  <c r="J49" i="3"/>
  <c r="J22" i="3"/>
  <c r="J16" i="3"/>
  <c r="I13" i="3"/>
  <c r="I37" i="3"/>
  <c r="I32" i="3"/>
  <c r="I42" i="3"/>
  <c r="I21" i="3"/>
  <c r="I31" i="3"/>
  <c r="H44" i="3"/>
  <c r="H23" i="3"/>
  <c r="H28" i="3"/>
  <c r="H46" i="3"/>
  <c r="H31" i="3"/>
  <c r="H51" i="3"/>
  <c r="H30" i="3"/>
  <c r="G44" i="3"/>
  <c r="G14" i="3"/>
  <c r="G22" i="3"/>
  <c r="G7" i="3"/>
  <c r="G18" i="3"/>
  <c r="U27" i="3"/>
  <c r="T44" i="3"/>
  <c r="T25" i="3"/>
  <c r="T23" i="3"/>
  <c r="T21" i="3"/>
  <c r="T13" i="3"/>
  <c r="T22" i="3"/>
  <c r="S7" i="3"/>
  <c r="S34" i="3"/>
  <c r="S43" i="3"/>
  <c r="S49" i="3"/>
  <c r="S17" i="3"/>
  <c r="S37" i="3"/>
  <c r="S45" i="3"/>
  <c r="R22" i="3"/>
  <c r="R43" i="3"/>
  <c r="R33" i="3"/>
  <c r="R14" i="3"/>
  <c r="R49" i="3"/>
  <c r="R18" i="3"/>
  <c r="Q33" i="3"/>
  <c r="Q11" i="3"/>
  <c r="Q47" i="3"/>
  <c r="Q14" i="3"/>
  <c r="Q7" i="3"/>
  <c r="Q31" i="3"/>
  <c r="P19" i="3"/>
  <c r="P14" i="3"/>
  <c r="P44" i="3"/>
  <c r="P13" i="3"/>
  <c r="P29" i="3"/>
  <c r="P38" i="3"/>
  <c r="O19" i="3"/>
  <c r="O51" i="3"/>
  <c r="O17" i="3"/>
  <c r="O42" i="3"/>
  <c r="O11" i="3"/>
  <c r="O53" i="3"/>
  <c r="N34" i="3"/>
  <c r="N32" i="3"/>
  <c r="N6" i="3"/>
  <c r="N45" i="3"/>
  <c r="N22" i="3"/>
  <c r="N15" i="3"/>
  <c r="M18" i="3"/>
  <c r="M45" i="3"/>
  <c r="M28" i="3"/>
  <c r="M46" i="3"/>
  <c r="M21" i="3"/>
  <c r="M12" i="3"/>
  <c r="L8" i="3"/>
  <c r="L20" i="3"/>
  <c r="L9" i="3"/>
  <c r="L22" i="3"/>
  <c r="L45" i="3"/>
  <c r="L21" i="3"/>
  <c r="K17" i="3"/>
  <c r="K18" i="3"/>
  <c r="K30" i="3"/>
  <c r="K13" i="3"/>
  <c r="K35" i="3"/>
  <c r="K43" i="3"/>
  <c r="K38" i="3"/>
  <c r="J52" i="3"/>
  <c r="J27" i="3"/>
  <c r="J41" i="3"/>
  <c r="J51" i="3"/>
  <c r="J20" i="3"/>
  <c r="J24" i="3"/>
  <c r="I44" i="3"/>
  <c r="I51" i="3"/>
  <c r="I16" i="3"/>
  <c r="I36" i="3"/>
  <c r="I14" i="3"/>
  <c r="I15" i="3"/>
  <c r="H34" i="3"/>
  <c r="H39" i="3"/>
  <c r="H35" i="3"/>
  <c r="H9" i="3"/>
  <c r="H24" i="3"/>
  <c r="H43" i="3"/>
  <c r="G10" i="3"/>
  <c r="G32" i="3"/>
  <c r="G29" i="3"/>
  <c r="G34" i="3"/>
  <c r="G38" i="3"/>
  <c r="U17" i="3"/>
  <c r="T8" i="3"/>
  <c r="T19" i="3"/>
  <c r="T41" i="3"/>
  <c r="T10" i="3"/>
  <c r="T30" i="3"/>
  <c r="S23" i="3"/>
  <c r="S26" i="3"/>
  <c r="S16" i="3"/>
  <c r="S47" i="3"/>
  <c r="S44" i="3"/>
  <c r="S38" i="3"/>
  <c r="S27" i="3"/>
  <c r="R21" i="3"/>
  <c r="R8" i="3"/>
  <c r="R40" i="3"/>
  <c r="R41" i="3"/>
  <c r="R13" i="3"/>
  <c r="R25" i="3"/>
  <c r="Q5" i="3"/>
  <c r="Q39" i="3"/>
  <c r="Q45" i="3"/>
  <c r="Q18" i="3"/>
  <c r="Q21" i="3"/>
  <c r="Q12" i="3"/>
  <c r="P24" i="3"/>
  <c r="P48" i="3"/>
  <c r="P43" i="3"/>
  <c r="P42" i="3"/>
  <c r="P11" i="3"/>
  <c r="P12" i="3"/>
  <c r="O39" i="3"/>
  <c r="O29" i="3"/>
  <c r="O32" i="3"/>
  <c r="O24" i="3"/>
  <c r="O48" i="3"/>
  <c r="O41" i="3"/>
  <c r="O52" i="3"/>
  <c r="N26" i="3"/>
  <c r="N30" i="3"/>
  <c r="N44" i="3"/>
  <c r="N49" i="3"/>
  <c r="N38" i="3"/>
  <c r="M37" i="3"/>
  <c r="M53" i="3"/>
  <c r="M26" i="3"/>
  <c r="M25" i="3"/>
  <c r="M19" i="3"/>
  <c r="M20" i="3"/>
  <c r="L6" i="3"/>
  <c r="L10" i="3"/>
  <c r="L33" i="3"/>
  <c r="L23" i="3"/>
  <c r="L28" i="3"/>
  <c r="K15" i="3"/>
  <c r="K10" i="3"/>
  <c r="K6" i="3"/>
  <c r="K52" i="3"/>
  <c r="K47" i="3"/>
  <c r="K33" i="3"/>
  <c r="K37" i="3"/>
  <c r="J8" i="3"/>
  <c r="J19" i="3"/>
  <c r="J48" i="3"/>
  <c r="J37" i="3"/>
  <c r="J47" i="3"/>
  <c r="J45" i="3"/>
  <c r="I25" i="3"/>
  <c r="I47" i="3"/>
  <c r="I8" i="3"/>
  <c r="I27" i="3"/>
  <c r="I22" i="3"/>
  <c r="H6" i="3"/>
  <c r="H22" i="3"/>
  <c r="H10" i="3"/>
  <c r="H19" i="3"/>
  <c r="H11" i="3"/>
  <c r="H20" i="3"/>
  <c r="G36" i="3"/>
  <c r="G46" i="3"/>
  <c r="G16" i="3"/>
  <c r="G49" i="3"/>
  <c r="G53" i="3"/>
  <c r="G12" i="3"/>
  <c r="U13" i="3"/>
  <c r="T48" i="3"/>
  <c r="T11" i="3"/>
  <c r="T51" i="3"/>
  <c r="T38" i="3"/>
  <c r="T18" i="3"/>
  <c r="T7" i="3"/>
  <c r="S42" i="3"/>
  <c r="S52" i="3"/>
  <c r="S29" i="3"/>
  <c r="S21" i="3"/>
  <c r="S46" i="3"/>
  <c r="S20" i="3"/>
  <c r="R16" i="3"/>
  <c r="R52" i="3"/>
  <c r="R51" i="3"/>
  <c r="R37" i="3"/>
  <c r="R44" i="3"/>
  <c r="R28" i="3"/>
  <c r="Q9" i="3"/>
  <c r="Q16" i="3"/>
  <c r="Q10" i="3"/>
  <c r="Q23" i="3"/>
  <c r="Q19" i="3"/>
  <c r="P8" i="3"/>
  <c r="P40" i="3"/>
  <c r="P27" i="3"/>
  <c r="P16" i="3"/>
  <c r="P26" i="3"/>
  <c r="O14" i="3"/>
  <c r="O10" i="3"/>
  <c r="O20" i="3"/>
  <c r="O5" i="3"/>
  <c r="O44" i="3"/>
  <c r="O37" i="3"/>
  <c r="N10" i="3"/>
  <c r="N12" i="3"/>
  <c r="N7" i="3"/>
  <c r="N21" i="3"/>
  <c r="N42" i="3"/>
  <c r="N27" i="3"/>
  <c r="N43" i="3"/>
  <c r="M41" i="3"/>
  <c r="M32" i="3"/>
  <c r="M10" i="3"/>
  <c r="M22" i="3"/>
  <c r="M23" i="3"/>
  <c r="L7" i="3"/>
  <c r="L47" i="3"/>
  <c r="L41" i="3"/>
  <c r="L40" i="3"/>
  <c r="L17" i="3"/>
  <c r="L12" i="3"/>
  <c r="K24" i="3"/>
  <c r="K53" i="3"/>
  <c r="K5" i="3"/>
  <c r="K9" i="3"/>
  <c r="K34" i="3"/>
  <c r="K42" i="3"/>
  <c r="J46" i="3"/>
  <c r="J36" i="3"/>
  <c r="J13" i="3"/>
  <c r="J6" i="3"/>
  <c r="J39" i="3"/>
  <c r="J44" i="3"/>
  <c r="J30" i="3"/>
  <c r="I30" i="3"/>
  <c r="I24" i="3"/>
  <c r="I49" i="3"/>
  <c r="I7" i="3"/>
  <c r="I33" i="3"/>
  <c r="I9" i="3"/>
  <c r="H16" i="3"/>
  <c r="H13" i="3"/>
  <c r="H18" i="3"/>
  <c r="H49" i="3"/>
  <c r="H7" i="3"/>
  <c r="H8" i="3"/>
  <c r="G27" i="3"/>
  <c r="G25" i="3"/>
  <c r="G11" i="3"/>
  <c r="G28" i="3"/>
  <c r="G17" i="3"/>
  <c r="G30" i="3"/>
  <c r="U37" i="3"/>
  <c r="T29" i="3"/>
  <c r="T5" i="3"/>
  <c r="T36" i="3"/>
  <c r="T53" i="3"/>
  <c r="T14" i="3"/>
  <c r="T12" i="3"/>
  <c r="S39" i="3"/>
  <c r="S41" i="3"/>
  <c r="S24" i="3"/>
  <c r="S31" i="3"/>
  <c r="S40" i="3"/>
  <c r="S12" i="3"/>
  <c r="R35" i="3"/>
  <c r="R47" i="3"/>
  <c r="R34" i="3"/>
  <c r="R48" i="3"/>
  <c r="R31" i="3"/>
  <c r="R24" i="3"/>
  <c r="R29" i="3"/>
  <c r="Q6" i="3"/>
  <c r="Q13" i="3"/>
  <c r="Q40" i="3"/>
  <c r="Q20" i="3"/>
  <c r="Q29" i="3"/>
  <c r="Q48" i="3"/>
  <c r="P21" i="3"/>
  <c r="P49" i="3"/>
  <c r="P36" i="3"/>
  <c r="P37" i="3"/>
  <c r="P7" i="3"/>
  <c r="P5" i="3"/>
  <c r="O13" i="3"/>
  <c r="O21" i="3"/>
  <c r="O30" i="3"/>
  <c r="O22" i="3"/>
  <c r="O6" i="3"/>
  <c r="O8" i="3"/>
  <c r="N37" i="3"/>
  <c r="N28" i="3"/>
  <c r="N33" i="3"/>
  <c r="N40" i="3"/>
  <c r="N29" i="3"/>
  <c r="N39" i="3"/>
  <c r="N31" i="3"/>
  <c r="M51" i="3"/>
  <c r="M36" i="3"/>
  <c r="M40" i="3"/>
  <c r="M43" i="3"/>
  <c r="M44" i="3"/>
  <c r="M38" i="3"/>
  <c r="L46" i="3"/>
  <c r="L37" i="3"/>
  <c r="L25" i="3"/>
  <c r="L32" i="3"/>
  <c r="L11" i="3"/>
  <c r="L24" i="3"/>
  <c r="K31" i="3"/>
  <c r="K46" i="3"/>
  <c r="K39" i="3"/>
  <c r="K22" i="3"/>
  <c r="K19" i="3"/>
  <c r="K25" i="3"/>
  <c r="J10" i="3"/>
  <c r="J18" i="3"/>
  <c r="J29" i="3"/>
  <c r="J50" i="3"/>
  <c r="J33" i="3"/>
  <c r="J38" i="3"/>
  <c r="J34" i="3"/>
  <c r="I53" i="3"/>
  <c r="I48" i="3"/>
  <c r="I12" i="3"/>
  <c r="I28" i="3"/>
  <c r="I34" i="3"/>
  <c r="I50" i="3"/>
  <c r="H37" i="3"/>
  <c r="H50" i="3"/>
  <c r="H12" i="3"/>
  <c r="H52" i="3"/>
  <c r="H48" i="3"/>
  <c r="H14" i="3"/>
  <c r="G45" i="3"/>
  <c r="G37" i="3"/>
  <c r="U52" i="3"/>
  <c r="T31" i="3"/>
  <c r="T42" i="3"/>
  <c r="T34" i="3"/>
  <c r="T6" i="3"/>
  <c r="T17" i="3"/>
  <c r="T20" i="3"/>
  <c r="S9" i="3"/>
  <c r="S5" i="3"/>
  <c r="S53" i="3"/>
  <c r="S28" i="3"/>
  <c r="S25" i="3"/>
  <c r="S13" i="3"/>
  <c r="R17" i="3"/>
  <c r="R53" i="3"/>
  <c r="R42" i="3"/>
  <c r="R38" i="3"/>
  <c r="R32" i="3"/>
  <c r="R50" i="3"/>
  <c r="Q15" i="3"/>
  <c r="Q22" i="3"/>
  <c r="Q24" i="3"/>
  <c r="Q8" i="3"/>
  <c r="Q34" i="3"/>
  <c r="Q49" i="3"/>
  <c r="Q37" i="3"/>
  <c r="P50" i="3"/>
  <c r="P25" i="3"/>
  <c r="P53" i="3"/>
  <c r="P46" i="3"/>
  <c r="P18" i="3"/>
  <c r="P10" i="3"/>
  <c r="O12" i="3"/>
  <c r="O27" i="3"/>
  <c r="O35" i="3"/>
  <c r="O31" i="3"/>
  <c r="O23" i="3"/>
  <c r="O36" i="3"/>
  <c r="N13" i="3"/>
  <c r="N9" i="3"/>
  <c r="N19" i="3"/>
  <c r="N17" i="3"/>
  <c r="N46" i="3"/>
  <c r="N36" i="3"/>
  <c r="M42" i="3"/>
  <c r="M13" i="3"/>
  <c r="M6" i="3"/>
  <c r="M31" i="3"/>
  <c r="M15" i="3"/>
  <c r="M52" i="3"/>
  <c r="M50" i="3"/>
  <c r="L52" i="3"/>
  <c r="L48" i="3"/>
  <c r="L15" i="3"/>
  <c r="L42" i="3"/>
  <c r="L35" i="3"/>
  <c r="L19" i="3"/>
  <c r="K36" i="3"/>
  <c r="K27" i="3"/>
  <c r="K28" i="3"/>
  <c r="K45" i="3"/>
  <c r="K14" i="3"/>
  <c r="K12" i="3"/>
  <c r="J11" i="3"/>
  <c r="J17" i="3"/>
  <c r="J28" i="3"/>
  <c r="J9" i="3"/>
  <c r="J12" i="3"/>
  <c r="J40" i="3"/>
  <c r="I41" i="3"/>
  <c r="I23" i="3"/>
  <c r="I26" i="3"/>
  <c r="I5" i="3"/>
  <c r="I45" i="3"/>
  <c r="I39" i="3"/>
  <c r="I29" i="3"/>
  <c r="H41" i="3"/>
  <c r="H42" i="3"/>
  <c r="H32" i="3"/>
  <c r="H53" i="3"/>
  <c r="H47" i="3"/>
  <c r="G5" i="3"/>
  <c r="U29" i="3"/>
  <c r="T52" i="3"/>
  <c r="T32" i="3"/>
  <c r="T16" i="3"/>
  <c r="T35" i="3"/>
  <c r="T39" i="3"/>
  <c r="T47" i="3"/>
  <c r="S32" i="3"/>
  <c r="S30" i="3"/>
  <c r="S48" i="3"/>
  <c r="S10" i="3"/>
  <c r="S51" i="3"/>
  <c r="S22" i="3"/>
  <c r="R23" i="3"/>
  <c r="R30" i="3"/>
  <c r="R27" i="3"/>
  <c r="R6" i="3"/>
  <c r="R11" i="3"/>
  <c r="R7" i="3"/>
  <c r="Q42" i="3"/>
  <c r="Q36" i="3"/>
  <c r="Q52" i="3"/>
  <c r="Q41" i="3"/>
  <c r="Q53" i="3"/>
  <c r="Q51" i="3"/>
  <c r="Q43" i="3"/>
  <c r="P39" i="3"/>
  <c r="P9" i="3"/>
  <c r="P15" i="3"/>
  <c r="P23" i="3"/>
  <c r="P31" i="3"/>
  <c r="P34" i="3"/>
  <c r="O43" i="3"/>
  <c r="O34" i="3"/>
  <c r="O25" i="3"/>
  <c r="O47" i="3"/>
  <c r="O15" i="3"/>
  <c r="O18" i="3"/>
  <c r="N16" i="3"/>
  <c r="N11" i="3"/>
  <c r="N47" i="3"/>
  <c r="N5" i="3"/>
  <c r="N35" i="3"/>
  <c r="N50" i="3"/>
  <c r="M27" i="3"/>
  <c r="M39" i="3"/>
  <c r="M33" i="3"/>
  <c r="M49" i="3"/>
  <c r="M9" i="3"/>
  <c r="M47" i="3"/>
  <c r="M34" i="3"/>
  <c r="L50" i="3"/>
  <c r="L44" i="3"/>
  <c r="L43" i="3"/>
  <c r="L14" i="3"/>
  <c r="L38" i="3"/>
  <c r="L49" i="3"/>
  <c r="K32" i="3"/>
  <c r="K49" i="3"/>
  <c r="K48" i="3"/>
  <c r="K26" i="3"/>
  <c r="K21" i="3"/>
  <c r="K20" i="3"/>
  <c r="J5" i="3"/>
  <c r="J43" i="3"/>
  <c r="J25" i="3"/>
  <c r="J21" i="3"/>
  <c r="J23" i="3"/>
  <c r="J7" i="3"/>
  <c r="I19" i="3"/>
  <c r="I10" i="3"/>
  <c r="I46" i="3"/>
  <c r="I18" i="3"/>
  <c r="I20" i="3"/>
  <c r="I6" i="3"/>
  <c r="I35" i="3"/>
  <c r="H33" i="3"/>
  <c r="H21" i="3"/>
  <c r="H26" i="3"/>
  <c r="H17" i="3"/>
  <c r="H27" i="3"/>
  <c r="H45" i="3"/>
  <c r="G9" i="3"/>
  <c r="G8" i="3"/>
  <c r="G39" i="3"/>
  <c r="D10" i="3"/>
  <c r="D34" i="3"/>
  <c r="D33" i="3"/>
  <c r="D44" i="3"/>
  <c r="D46" i="3"/>
  <c r="D47" i="3"/>
  <c r="E6" i="3"/>
  <c r="E17" i="3"/>
  <c r="E48" i="3"/>
  <c r="E16" i="3"/>
  <c r="E38" i="3"/>
  <c r="E21" i="3"/>
  <c r="E26" i="3"/>
  <c r="F20" i="3"/>
  <c r="F22" i="3"/>
  <c r="F27" i="3"/>
  <c r="F46" i="3"/>
  <c r="F23" i="3"/>
  <c r="F8" i="3"/>
  <c r="G24" i="3"/>
  <c r="G31" i="3"/>
  <c r="D32" i="3"/>
  <c r="D22" i="3"/>
  <c r="D21" i="3"/>
  <c r="D51" i="3"/>
  <c r="D23" i="3"/>
  <c r="D11" i="3"/>
  <c r="D28" i="3"/>
  <c r="D30" i="3"/>
  <c r="D41" i="3"/>
  <c r="D48" i="3"/>
  <c r="D52" i="3"/>
  <c r="E35" i="3"/>
  <c r="E43" i="3"/>
  <c r="E29" i="3"/>
  <c r="E44" i="3"/>
  <c r="E52" i="3"/>
  <c r="E27" i="3"/>
  <c r="F13" i="3"/>
  <c r="F14" i="3"/>
  <c r="F17" i="3"/>
  <c r="F24" i="3"/>
  <c r="F34" i="3"/>
  <c r="F31" i="3"/>
  <c r="F36" i="3"/>
  <c r="G42" i="3"/>
  <c r="G21" i="3"/>
  <c r="D5" i="3"/>
  <c r="D6" i="3"/>
  <c r="D43" i="3"/>
  <c r="D27" i="3"/>
  <c r="D40" i="3"/>
  <c r="D53" i="3"/>
  <c r="D49" i="3"/>
  <c r="E31" i="3"/>
  <c r="E36" i="3"/>
  <c r="E5" i="3"/>
  <c r="E34" i="3"/>
  <c r="E20" i="3"/>
  <c r="E37" i="3"/>
  <c r="F44" i="3"/>
  <c r="F21" i="3"/>
  <c r="F53" i="3"/>
  <c r="F18" i="3"/>
  <c r="F12" i="3"/>
  <c r="F32" i="3"/>
  <c r="F45" i="3"/>
  <c r="G47" i="3"/>
  <c r="AP55" i="3" l="1"/>
  <c r="AM55" i="3"/>
  <c r="AO55" i="3"/>
  <c r="AQ55" i="3"/>
  <c r="AH55" i="3"/>
  <c r="AS55" i="3"/>
  <c r="AN55" i="3"/>
  <c r="AR55" i="3"/>
  <c r="AJ55" i="3"/>
  <c r="AK55" i="3"/>
  <c r="AL55" i="3"/>
  <c r="AI55" i="3"/>
  <c r="AQ54" i="3"/>
  <c r="AN54" i="3"/>
  <c r="AM54" i="3"/>
  <c r="AJ54" i="3"/>
  <c r="AH54" i="3"/>
  <c r="AO54" i="3"/>
  <c r="AI54" i="3"/>
  <c r="AS54" i="3"/>
  <c r="AL54" i="3"/>
  <c r="AK54" i="3"/>
  <c r="AR54" i="3"/>
  <c r="AP54" i="3"/>
  <c r="AK46" i="3"/>
  <c r="AM46" i="3"/>
  <c r="AQ46" i="3"/>
  <c r="AN46" i="3"/>
  <c r="AR46" i="3"/>
  <c r="AS46" i="3"/>
  <c r="AI46" i="3"/>
  <c r="AH46" i="3"/>
  <c r="AL46" i="3"/>
  <c r="AP46" i="3"/>
  <c r="AJ46" i="3"/>
  <c r="AO46" i="3"/>
  <c r="AH21" i="3"/>
  <c r="AN21" i="3"/>
  <c r="AQ21" i="3"/>
  <c r="AI21" i="3"/>
  <c r="AS21" i="3"/>
  <c r="AK21" i="3"/>
  <c r="AL21" i="3"/>
  <c r="AJ21" i="3"/>
  <c r="AM21" i="3"/>
  <c r="AO21" i="3"/>
  <c r="AR21" i="3"/>
  <c r="AP21" i="3"/>
  <c r="AR41" i="3"/>
  <c r="AI41" i="3"/>
  <c r="AM41" i="3"/>
  <c r="AO41" i="3"/>
  <c r="AP41" i="3"/>
  <c r="AK41" i="3"/>
  <c r="AQ41" i="3"/>
  <c r="AJ41" i="3"/>
  <c r="AH41" i="3"/>
  <c r="AL41" i="3"/>
  <c r="AS41" i="3"/>
  <c r="AN41" i="3"/>
  <c r="AH26" i="3"/>
  <c r="AP26" i="3"/>
  <c r="AL26" i="3"/>
  <c r="AI26" i="3"/>
  <c r="AR26" i="3"/>
  <c r="AM26" i="3"/>
  <c r="AQ26" i="3"/>
  <c r="AN26" i="3"/>
  <c r="AS26" i="3"/>
  <c r="AJ26" i="3"/>
  <c r="AK26" i="3"/>
  <c r="AO26" i="3"/>
  <c r="AR31" i="3"/>
  <c r="AJ31" i="3"/>
  <c r="AQ31" i="3"/>
  <c r="AL31" i="3"/>
  <c r="AP31" i="3"/>
  <c r="AK31" i="3"/>
  <c r="AI31" i="3"/>
  <c r="AH31" i="3"/>
  <c r="AS31" i="3"/>
  <c r="AN31" i="3"/>
  <c r="AM31" i="3"/>
  <c r="AO31" i="3"/>
  <c r="AR48" i="3"/>
  <c r="AO48" i="3"/>
  <c r="AJ48" i="3"/>
  <c r="AQ48" i="3"/>
  <c r="AP48" i="3"/>
  <c r="AI48" i="3"/>
  <c r="AN48" i="3"/>
  <c r="AL48" i="3"/>
  <c r="AH48" i="3"/>
  <c r="AM48" i="3"/>
  <c r="AS48" i="3"/>
  <c r="AK48" i="3"/>
  <c r="AK18" i="3"/>
  <c r="AI18" i="3"/>
  <c r="AR18" i="3"/>
  <c r="AJ18" i="3"/>
  <c r="AP18" i="3"/>
  <c r="AL18" i="3"/>
  <c r="AQ18" i="3"/>
  <c r="AH18" i="3"/>
  <c r="AM18" i="3"/>
  <c r="AS18" i="3"/>
  <c r="AN18" i="3"/>
  <c r="AO18" i="3"/>
  <c r="AR6" i="3"/>
  <c r="AP6" i="3"/>
  <c r="AJ6" i="3"/>
  <c r="AN6" i="3"/>
  <c r="AQ6" i="3"/>
  <c r="AK6" i="3"/>
  <c r="AH6" i="3"/>
  <c r="AL6" i="3"/>
  <c r="AI6" i="3"/>
  <c r="AM6" i="3"/>
  <c r="AS6" i="3"/>
  <c r="AO6" i="3"/>
  <c r="AN50" i="3"/>
  <c r="AI50" i="3"/>
  <c r="AH50" i="3"/>
  <c r="AS50" i="3"/>
  <c r="AK50" i="3"/>
  <c r="AM50" i="3"/>
  <c r="AO50" i="3"/>
  <c r="AP50" i="3"/>
  <c r="AL50" i="3"/>
  <c r="AJ50" i="3"/>
  <c r="AQ50" i="3"/>
  <c r="AR50" i="3"/>
  <c r="AK8" i="3"/>
  <c r="AL8" i="3"/>
  <c r="AS8" i="3"/>
  <c r="AH8" i="3"/>
  <c r="AR8" i="3"/>
  <c r="AN8" i="3"/>
  <c r="AO8" i="3"/>
  <c r="AI8" i="3"/>
  <c r="AQ8" i="3"/>
  <c r="AM8" i="3"/>
  <c r="AP8" i="3"/>
  <c r="AJ8" i="3"/>
  <c r="AR15" i="3"/>
  <c r="AS15" i="3"/>
  <c r="AI15" i="3"/>
  <c r="AM15" i="3"/>
  <c r="AK15" i="3"/>
  <c r="AL15" i="3"/>
  <c r="AQ15" i="3"/>
  <c r="AN15" i="3"/>
  <c r="AH15" i="3"/>
  <c r="AP15" i="3"/>
  <c r="AJ15" i="3"/>
  <c r="AO15" i="3"/>
  <c r="AR29" i="3"/>
  <c r="AM29" i="3"/>
  <c r="AJ29" i="3"/>
  <c r="AK29" i="3"/>
  <c r="AQ29" i="3"/>
  <c r="AL29" i="3"/>
  <c r="AS29" i="3"/>
  <c r="AN29" i="3"/>
  <c r="AH29" i="3"/>
  <c r="AP29" i="3"/>
  <c r="AI29" i="3"/>
  <c r="AO29" i="3"/>
  <c r="AQ10" i="3"/>
  <c r="AR10" i="3"/>
  <c r="AP10" i="3"/>
  <c r="AI10" i="3"/>
  <c r="AH10" i="3"/>
  <c r="AM10" i="3"/>
  <c r="AL10" i="3"/>
  <c r="AS10" i="3"/>
  <c r="AJ10" i="3"/>
  <c r="AN10" i="3"/>
  <c r="AK10" i="3"/>
  <c r="AO10" i="3"/>
  <c r="AL17" i="3"/>
  <c r="AP17" i="3"/>
  <c r="AJ17" i="3"/>
  <c r="AN17" i="3"/>
  <c r="AR17" i="3"/>
  <c r="AH17" i="3"/>
  <c r="AI17" i="3"/>
  <c r="AS17" i="3"/>
  <c r="AK17" i="3"/>
  <c r="AM17" i="3"/>
  <c r="AQ17" i="3"/>
  <c r="AO17" i="3"/>
  <c r="AH30" i="3"/>
  <c r="AS30" i="3"/>
  <c r="AI30" i="3"/>
  <c r="AR30" i="3"/>
  <c r="AL30" i="3"/>
  <c r="AJ30" i="3"/>
  <c r="AM30" i="3"/>
  <c r="AK30" i="3"/>
  <c r="AQ30" i="3"/>
  <c r="AN30" i="3"/>
  <c r="AP30" i="3"/>
  <c r="AO30" i="3"/>
  <c r="AS9" i="3"/>
  <c r="AP9" i="3"/>
  <c r="AH9" i="3"/>
  <c r="AL9" i="3"/>
  <c r="AI9" i="3"/>
  <c r="AJ9" i="3"/>
  <c r="AN9" i="3"/>
  <c r="AK9" i="3"/>
  <c r="AQ9" i="3"/>
  <c r="AR9" i="3"/>
  <c r="AM9" i="3"/>
  <c r="AO9" i="3"/>
  <c r="AJ52" i="3"/>
  <c r="AL52" i="3"/>
  <c r="AN52" i="3"/>
  <c r="AQ52" i="3"/>
  <c r="AS52" i="3"/>
  <c r="AH52" i="3"/>
  <c r="AR52" i="3"/>
  <c r="AI52" i="3"/>
  <c r="AP52" i="3"/>
  <c r="AK52" i="3"/>
  <c r="AM52" i="3"/>
  <c r="AO52" i="3"/>
  <c r="AJ33" i="3"/>
  <c r="AS33" i="3"/>
  <c r="AL33" i="3"/>
  <c r="AO33" i="3"/>
  <c r="AR33" i="3"/>
  <c r="AN33" i="3"/>
  <c r="AM33" i="3"/>
  <c r="AH33" i="3"/>
  <c r="AQ33" i="3"/>
  <c r="AI33" i="3"/>
  <c r="AP33" i="3"/>
  <c r="AK33" i="3"/>
  <c r="AH19" i="3"/>
  <c r="AI19" i="3"/>
  <c r="AP19" i="3"/>
  <c r="AL19" i="3"/>
  <c r="AQ19" i="3"/>
  <c r="AM19" i="3"/>
  <c r="AK19" i="3"/>
  <c r="AN19" i="3"/>
  <c r="AR19" i="3"/>
  <c r="AJ19" i="3"/>
  <c r="AS19" i="3"/>
  <c r="AO19" i="3"/>
  <c r="AR20" i="3"/>
  <c r="AO20" i="3"/>
  <c r="AP20" i="3"/>
  <c r="AQ20" i="3"/>
  <c r="AK20" i="3"/>
  <c r="AH20" i="3"/>
  <c r="AL20" i="3"/>
  <c r="AS20" i="3"/>
  <c r="AJ20" i="3"/>
  <c r="AM20" i="3"/>
  <c r="AI20" i="3"/>
  <c r="AN20" i="3"/>
  <c r="AR36" i="3"/>
  <c r="AM36" i="3"/>
  <c r="AP36" i="3"/>
  <c r="AL36" i="3"/>
  <c r="AS36" i="3"/>
  <c r="AH36" i="3"/>
  <c r="AI36" i="3"/>
  <c r="AQ36" i="3"/>
  <c r="AN36" i="3"/>
  <c r="AO36" i="3"/>
  <c r="AJ36" i="3"/>
  <c r="AK36" i="3"/>
  <c r="AH34" i="3"/>
  <c r="AS34" i="3"/>
  <c r="AP34" i="3"/>
  <c r="AR34" i="3"/>
  <c r="AK34" i="3"/>
  <c r="AQ34" i="3"/>
  <c r="AO34" i="3"/>
  <c r="AN34" i="3"/>
  <c r="AJ34" i="3"/>
  <c r="AM34" i="3"/>
  <c r="AL34" i="3"/>
  <c r="AI34" i="3"/>
  <c r="AJ38" i="3"/>
  <c r="AN38" i="3"/>
  <c r="AH38" i="3"/>
  <c r="AS38" i="3"/>
  <c r="AK38" i="3"/>
  <c r="AR38" i="3"/>
  <c r="AL38" i="3"/>
  <c r="AQ38" i="3"/>
  <c r="AM38" i="3"/>
  <c r="AI38" i="3"/>
  <c r="AO38" i="3"/>
  <c r="AP38" i="3"/>
  <c r="AH40" i="3"/>
  <c r="AQ40" i="3"/>
  <c r="AL40" i="3"/>
  <c r="AN40" i="3"/>
  <c r="AO40" i="3"/>
  <c r="AM40" i="3"/>
  <c r="AI40" i="3"/>
  <c r="AJ40" i="3"/>
  <c r="AK40" i="3"/>
  <c r="AP40" i="3"/>
  <c r="AR40" i="3"/>
  <c r="AS40" i="3"/>
  <c r="AJ51" i="3"/>
  <c r="AM51" i="3"/>
  <c r="AH51" i="3"/>
  <c r="AS51" i="3"/>
  <c r="AL51" i="3"/>
  <c r="AI51" i="3"/>
  <c r="AQ51" i="3"/>
  <c r="AK51" i="3"/>
  <c r="AP51" i="3"/>
  <c r="AN51" i="3"/>
  <c r="AR51" i="3"/>
  <c r="AO51" i="3"/>
  <c r="AP27" i="3"/>
  <c r="AL27" i="3"/>
  <c r="AH27" i="3"/>
  <c r="AM27" i="3"/>
  <c r="AJ27" i="3"/>
  <c r="AI27" i="3"/>
  <c r="AQ27" i="3"/>
  <c r="AS27" i="3"/>
  <c r="AN27" i="3"/>
  <c r="AR27" i="3"/>
  <c r="AK27" i="3"/>
  <c r="AO27" i="3"/>
  <c r="AQ16" i="3"/>
  <c r="AL16" i="3"/>
  <c r="AH16" i="3"/>
  <c r="AN16" i="3"/>
  <c r="AK16" i="3"/>
  <c r="AJ16" i="3"/>
  <c r="AR16" i="3"/>
  <c r="AM16" i="3"/>
  <c r="AP16" i="3"/>
  <c r="AI16" i="3"/>
  <c r="AS16" i="3"/>
  <c r="AO16" i="3"/>
  <c r="AI28" i="3"/>
  <c r="AN28" i="3"/>
  <c r="AK28" i="3"/>
  <c r="AP28" i="3"/>
  <c r="AQ28" i="3"/>
  <c r="AH28" i="3"/>
  <c r="AL28" i="3"/>
  <c r="AR28" i="3"/>
  <c r="AS28" i="3"/>
  <c r="AJ28" i="3"/>
  <c r="AM28" i="3"/>
  <c r="AO28" i="3"/>
  <c r="AR12" i="3"/>
  <c r="AK12" i="3"/>
  <c r="AH12" i="3"/>
  <c r="AQ12" i="3"/>
  <c r="AS12" i="3"/>
  <c r="AI12" i="3"/>
  <c r="AL12" i="3"/>
  <c r="AP12" i="3"/>
  <c r="AJ12" i="3"/>
  <c r="AN12" i="3"/>
  <c r="AM12" i="3"/>
  <c r="AO12" i="3"/>
  <c r="AH39" i="3"/>
  <c r="AP39" i="3"/>
  <c r="AR39" i="3"/>
  <c r="AN39" i="3"/>
  <c r="AM39" i="3"/>
  <c r="AS39" i="3"/>
  <c r="AL39" i="3"/>
  <c r="AK39" i="3"/>
  <c r="AJ39" i="3"/>
  <c r="AI39" i="3"/>
  <c r="AQ39" i="3"/>
  <c r="AO39" i="3"/>
  <c r="AH24" i="3"/>
  <c r="AI24" i="3"/>
  <c r="AK24" i="3"/>
  <c r="AR24" i="3"/>
  <c r="AJ24" i="3"/>
  <c r="AP24" i="3"/>
  <c r="AL24" i="3"/>
  <c r="AS24" i="3"/>
  <c r="AM24" i="3"/>
  <c r="AQ24" i="3"/>
  <c r="AN24" i="3"/>
  <c r="AO24" i="3"/>
  <c r="AH23" i="3"/>
  <c r="AS23" i="3"/>
  <c r="AO23" i="3"/>
  <c r="AL23" i="3"/>
  <c r="AN23" i="3"/>
  <c r="AI23" i="3"/>
  <c r="AM23" i="3"/>
  <c r="AK23" i="3"/>
  <c r="AP23" i="3"/>
  <c r="AQ23" i="3"/>
  <c r="AJ23" i="3"/>
  <c r="AR23" i="3"/>
  <c r="AK49" i="3"/>
  <c r="AR49" i="3"/>
  <c r="AH49" i="3"/>
  <c r="AJ49" i="3"/>
  <c r="AQ49" i="3"/>
  <c r="AL49" i="3"/>
  <c r="AS49" i="3"/>
  <c r="AN49" i="3"/>
  <c r="AO49" i="3"/>
  <c r="AM49" i="3"/>
  <c r="AI49" i="3"/>
  <c r="AP49" i="3"/>
  <c r="AR37" i="3"/>
  <c r="AJ37" i="3"/>
  <c r="AS37" i="3"/>
  <c r="AH37" i="3"/>
  <c r="AL37" i="3"/>
  <c r="AP37" i="3"/>
  <c r="AM37" i="3"/>
  <c r="AO37" i="3"/>
  <c r="AK37" i="3"/>
  <c r="AN37" i="3"/>
  <c r="AQ37" i="3"/>
  <c r="AI37" i="3"/>
  <c r="AK43" i="3"/>
  <c r="AM43" i="3"/>
  <c r="AI43" i="3"/>
  <c r="AL43" i="3"/>
  <c r="AR43" i="3"/>
  <c r="AH43" i="3"/>
  <c r="AN43" i="3"/>
  <c r="AQ43" i="3"/>
  <c r="AS43" i="3"/>
  <c r="AJ43" i="3"/>
  <c r="AP43" i="3"/>
  <c r="AO43" i="3"/>
  <c r="AK11" i="3"/>
  <c r="AQ11" i="3"/>
  <c r="AR11" i="3"/>
  <c r="AS11" i="3"/>
  <c r="AP11" i="3"/>
  <c r="AL11" i="3"/>
  <c r="AM11" i="3"/>
  <c r="AH11" i="3"/>
  <c r="AI11" i="3"/>
  <c r="AN11" i="3"/>
  <c r="AJ11" i="3"/>
  <c r="AO11" i="3"/>
  <c r="AI44" i="3"/>
  <c r="AK44" i="3"/>
  <c r="AM44" i="3"/>
  <c r="AR44" i="3"/>
  <c r="AN44" i="3"/>
  <c r="AJ44" i="3"/>
  <c r="AH44" i="3"/>
  <c r="AQ44" i="3"/>
  <c r="AS44" i="3"/>
  <c r="AP44" i="3"/>
  <c r="AO44" i="3"/>
  <c r="AL44" i="3"/>
  <c r="AH35" i="3"/>
  <c r="AN35" i="3"/>
  <c r="AQ35" i="3"/>
  <c r="AR35" i="3"/>
  <c r="AL35" i="3"/>
  <c r="AK35" i="3"/>
  <c r="AI35" i="3"/>
  <c r="AS35" i="3"/>
  <c r="AM35" i="3"/>
  <c r="AP35" i="3"/>
  <c r="AJ35" i="3"/>
  <c r="AO35" i="3"/>
  <c r="AH45" i="3"/>
  <c r="AR45" i="3"/>
  <c r="AJ45" i="3"/>
  <c r="AL45" i="3"/>
  <c r="AS45" i="3"/>
  <c r="AK45" i="3"/>
  <c r="AI45" i="3"/>
  <c r="AQ45" i="3"/>
  <c r="AM45" i="3"/>
  <c r="AP45" i="3"/>
  <c r="AN45" i="3"/>
  <c r="AO45" i="3"/>
  <c r="AH22" i="3"/>
  <c r="AI22" i="3"/>
  <c r="AP22" i="3"/>
  <c r="AK22" i="3"/>
  <c r="AJ22" i="3"/>
  <c r="AN22" i="3"/>
  <c r="AS22" i="3"/>
  <c r="AL22" i="3"/>
  <c r="AR22" i="3"/>
  <c r="AM22" i="3"/>
  <c r="AQ22" i="3"/>
  <c r="AO22" i="3"/>
  <c r="AI32" i="3"/>
  <c r="AL32" i="3"/>
  <c r="AM32" i="3"/>
  <c r="AH32" i="3"/>
  <c r="AP32" i="3"/>
  <c r="AR32" i="3"/>
  <c r="AN32" i="3"/>
  <c r="AQ32" i="3"/>
  <c r="AJ32" i="3"/>
  <c r="AS32" i="3"/>
  <c r="AK32" i="3"/>
  <c r="AO32" i="3"/>
  <c r="AH25" i="3"/>
  <c r="AS25" i="3"/>
  <c r="AP25" i="3"/>
  <c r="AN25" i="3"/>
  <c r="AL25" i="3"/>
  <c r="AI25" i="3"/>
  <c r="AM25" i="3"/>
  <c r="AQ25" i="3"/>
  <c r="AJ25" i="3"/>
  <c r="AK25" i="3"/>
  <c r="AR25" i="3"/>
  <c r="AO25" i="3"/>
  <c r="AQ14" i="3"/>
  <c r="AK14" i="3"/>
  <c r="AR14" i="3"/>
  <c r="AH14" i="3"/>
  <c r="AI14" i="3"/>
  <c r="AP14" i="3"/>
  <c r="AM14" i="3"/>
  <c r="AS14" i="3"/>
  <c r="AN14" i="3"/>
  <c r="AL14" i="3"/>
  <c r="AJ14" i="3"/>
  <c r="AO14" i="3"/>
  <c r="AH7" i="3"/>
  <c r="AM7" i="3"/>
  <c r="AQ7" i="3"/>
  <c r="AN7" i="3"/>
  <c r="AP7" i="3"/>
  <c r="AS7" i="3"/>
  <c r="AI7" i="3"/>
  <c r="AK7" i="3"/>
  <c r="AL7" i="3"/>
  <c r="AR7" i="3"/>
  <c r="AJ7" i="3"/>
  <c r="AO7" i="3"/>
  <c r="AP53" i="3"/>
  <c r="AQ53" i="3"/>
  <c r="AN53" i="3"/>
  <c r="AH53" i="3"/>
  <c r="AL53" i="3"/>
  <c r="AJ53" i="3"/>
  <c r="AO53" i="3"/>
  <c r="AS53" i="3"/>
  <c r="AM53" i="3"/>
  <c r="AR53" i="3"/>
  <c r="AI53" i="3"/>
  <c r="AK53" i="3"/>
  <c r="AM13" i="3"/>
  <c r="AQ13" i="3"/>
  <c r="AS13" i="3"/>
  <c r="AK13" i="3"/>
  <c r="AJ13" i="3"/>
  <c r="AN13" i="3"/>
  <c r="AI13" i="3"/>
  <c r="AH13" i="3"/>
  <c r="AL13" i="3"/>
  <c r="AP13" i="3"/>
  <c r="AR13" i="3"/>
  <c r="AO13" i="3"/>
  <c r="AS42" i="3"/>
  <c r="AI42" i="3"/>
  <c r="AJ42" i="3"/>
  <c r="AK42" i="3"/>
  <c r="AL42" i="3"/>
  <c r="AH42" i="3"/>
  <c r="AR42" i="3"/>
  <c r="AP42" i="3"/>
  <c r="AN42" i="3"/>
  <c r="AQ42" i="3"/>
  <c r="AO42" i="3"/>
  <c r="AM42" i="3"/>
  <c r="AQ47" i="3"/>
  <c r="AM47" i="3"/>
  <c r="AR47" i="3"/>
  <c r="AK47" i="3"/>
  <c r="AJ47" i="3"/>
  <c r="AN47" i="3"/>
  <c r="AP47" i="3"/>
  <c r="AO47" i="3"/>
  <c r="AL47" i="3"/>
  <c r="AH47" i="3"/>
  <c r="AI47" i="3"/>
  <c r="AS47" i="3"/>
  <c r="AH5" i="3"/>
  <c r="AR5" i="3"/>
  <c r="AO5" i="3"/>
  <c r="AL5" i="3"/>
  <c r="AI5" i="3"/>
  <c r="AQ5" i="3"/>
  <c r="AS5" i="3"/>
  <c r="AK5" i="3"/>
  <c r="AM5" i="3"/>
  <c r="AN5" i="3"/>
  <c r="AJ5" i="3"/>
  <c r="AP5" i="3"/>
  <c r="AT55" i="3" l="1"/>
  <c r="AT54" i="3"/>
  <c r="AT8" i="3"/>
  <c r="AT18" i="3"/>
  <c r="AT31" i="3"/>
  <c r="AT46" i="3"/>
  <c r="AI2" i="3"/>
  <c r="AT13" i="3"/>
  <c r="AT36" i="3"/>
  <c r="AT43" i="3"/>
  <c r="AT10" i="3"/>
  <c r="AT37" i="3"/>
  <c r="AO2" i="3"/>
  <c r="AT44" i="3"/>
  <c r="AT27" i="3"/>
  <c r="AT9" i="3"/>
  <c r="AL2" i="3"/>
  <c r="AN2" i="3"/>
  <c r="AT52" i="3"/>
  <c r="AT5" i="3"/>
  <c r="AH2" i="3"/>
  <c r="AT7" i="3"/>
  <c r="AT25" i="3"/>
  <c r="AT22" i="3"/>
  <c r="AT35" i="3"/>
  <c r="AT23" i="3"/>
  <c r="AT39" i="3"/>
  <c r="AT40" i="3"/>
  <c r="AT34" i="3"/>
  <c r="AT29" i="3"/>
  <c r="AT48" i="3"/>
  <c r="AT26" i="3"/>
  <c r="AT21" i="3"/>
  <c r="AJ2" i="3"/>
  <c r="AK2" i="3"/>
  <c r="AT53" i="3"/>
  <c r="AT14" i="3"/>
  <c r="AT32" i="3"/>
  <c r="AT11" i="3"/>
  <c r="AT33" i="3"/>
  <c r="AM2" i="3"/>
  <c r="AT49" i="3"/>
  <c r="AT12" i="3"/>
  <c r="AT16" i="3"/>
  <c r="AT51" i="3"/>
  <c r="AT38" i="3"/>
  <c r="AT50" i="3"/>
  <c r="AT6" i="3"/>
  <c r="AT47" i="3"/>
  <c r="AT42" i="3"/>
  <c r="AT28" i="3"/>
  <c r="AT20" i="3"/>
  <c r="AT17" i="3"/>
  <c r="AT45" i="3"/>
  <c r="AT24" i="3"/>
  <c r="AT19" i="3"/>
  <c r="AT30" i="3"/>
  <c r="AT15" i="3"/>
  <c r="AT41" i="3"/>
  <c r="AT2" i="3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A15CCBF-FF16-4CC8-825D-0DBBA66FFB7A}" keepAlive="1" name="Query - 10" description="Connection to the '10' query in the workbook." type="5" refreshedVersion="0" background="1">
    <dbPr connection="Provider=Microsoft.Mashup.OleDb.1;Data Source=$Workbook$;Location=10;Extended Properties=&quot;&quot;" command="SELECT * FROM [10]"/>
  </connection>
  <connection id="2" xr16:uid="{EBDAAEC2-9BCB-4FE7-A369-07694B8386C2}" keepAlive="1" name="Query - 12" description="Connection to the '12' query in the workbook." type="5" refreshedVersion="0" background="1">
    <dbPr connection="Provider=Microsoft.Mashup.OleDb.1;Data Source=$Workbook$;Location=12;Extended Properties=&quot;&quot;" command="SELECT * FROM [12]"/>
  </connection>
  <connection id="3" xr16:uid="{949834CA-6895-4C4C-8FC2-54A324A1BD0D}" keepAlive="1" name="Query - BioID" description="Connection to the 'BioID' query in the workbook." type="5" refreshedVersion="0" background="1">
    <dbPr connection="Provider=Microsoft.Mashup.OleDb.1;Data Source=$Workbook$;Location=BioID;Extended Properties=&quot;&quot;" command="SELECT * FROM [BioID]"/>
  </connection>
  <connection id="4" xr16:uid="{9F42C365-578D-4A3B-923C-274CB2ED3A9C}" keepAlive="1" name="Query - clientAtt" description="Connection to the 'clientAtt' query in the workbook." type="5" refreshedVersion="0" background="1">
    <dbPr connection="Provider=Microsoft.Mashup.OleDb.1;Data Source=$Workbook$;Location=clientAtt;Extended Properties=&quot;&quot;" command="SELECT * FROM [clientAtt]"/>
  </connection>
  <connection id="5" xr16:uid="{E424FD95-BFFF-4B94-A0EA-F4FC18340588}" keepAlive="1" name="Query - combinedSheet" description="Connection to the 'combinedSheet' query in the workbook." type="5" refreshedVersion="8" background="1" saveData="1">
    <dbPr connection="Provider=Microsoft.Mashup.OleDb.1;Data Source=$Workbook$;Location=combinedSheet;Extended Properties=&quot;&quot;" command="SELECT * FROM [combinedSheet]"/>
  </connection>
  <connection id="6" xr16:uid="{AD2D4785-FD0C-443A-A8A5-6602959637C9}" keepAlive="1" name="Query - EEMaster" description="Connection to the 'EEMaster' query in the workbook." type="5" refreshedVersion="8" background="1" saveData="1">
    <dbPr connection="Provider=Microsoft.Mashup.OleDb.1;Data Source=$Workbook$;Location=EEMaster;Extended Properties=&quot;&quot;" command="SELECT * FROM [EEMaster]"/>
  </connection>
  <connection id="7" xr16:uid="{AE59B6B9-1A6C-4FFA-9481-7AB466E62C43}" keepAlive="1" name="Query - EmployeeMaster" description="Connection to the 'EmployeeMaster' query in the workbook." type="5" refreshedVersion="0" background="1">
    <dbPr connection="Provider=Microsoft.Mashup.OleDb.1;Data Source=$Workbook$;Location=EmployeeMaster;Extended Properties=&quot;&quot;" command="SELECT * FROM [EmployeeMaster]"/>
  </connection>
  <connection id="8" xr16:uid="{4305EF13-0229-47C3-BDFA-F8BC92A2C9CB}" keepAlive="1" name="Query - LeaveData" description="Connection to the 'LeaveData' query in the workbook." type="5" refreshedVersion="0" background="1">
    <dbPr connection="Provider=Microsoft.Mashup.OleDb.1;Data Source=$Workbook$;Location=LeaveData;Extended Properties=&quot;&quot;" command="SELECT * FROM [LeaveData]"/>
  </connection>
  <connection id="9" xr16:uid="{22E90811-3C1F-450E-87AF-BD88513180F5}" keepAlive="1" name="Query - MarkLeaveFormat" description="Connection to the 'MarkLeaveFormat' query in the workbook." type="5" refreshedVersion="8" background="1" saveData="1">
    <dbPr connection="Provider=Microsoft.Mashup.OleDb.1;Data Source=$Workbook$;Location=MarkLeaveFormat;Extended Properties=&quot;&quot;" command="SELECT * FROM [MarkLeaveFormat]"/>
  </connection>
</connections>
</file>

<file path=xl/sharedStrings.xml><?xml version="1.0" encoding="utf-8"?>
<sst xmlns="http://schemas.openxmlformats.org/spreadsheetml/2006/main" count="21212" uniqueCount="1663">
  <si>
    <t>Start Date:</t>
  </si>
  <si>
    <t xml:space="preserve"> ID</t>
  </si>
  <si>
    <t xml:space="preserve"> Name</t>
  </si>
  <si>
    <t>Grand Total</t>
  </si>
  <si>
    <t>Privilege Leave</t>
  </si>
  <si>
    <t>Sick Leave</t>
  </si>
  <si>
    <t>Casual Leave</t>
  </si>
  <si>
    <t>Half Casual Leave</t>
  </si>
  <si>
    <t>Halfday Leave</t>
  </si>
  <si>
    <t>Work From Home</t>
  </si>
  <si>
    <t>Total</t>
  </si>
  <si>
    <t>PL</t>
  </si>
  <si>
    <t>SL</t>
  </si>
  <si>
    <t>CL</t>
  </si>
  <si>
    <t>HCL</t>
  </si>
  <si>
    <t>HSL</t>
  </si>
  <si>
    <t>WFH</t>
  </si>
  <si>
    <t>Jaykumar Janakbhai Dave</t>
  </si>
  <si>
    <t>Parth Baldevbhai Patel</t>
  </si>
  <si>
    <t>Dhruv Vijaybhai Bhayani</t>
  </si>
  <si>
    <t>B H Patel</t>
  </si>
  <si>
    <t>Rushabh Choksi</t>
  </si>
  <si>
    <t>Sweetu Shah</t>
  </si>
  <si>
    <t>Puvar Pradipsinh Laxansinh</t>
  </si>
  <si>
    <t>Vadher Nehal Dipakbhai</t>
  </si>
  <si>
    <t>Bhati Shubham Pareshbhai</t>
  </si>
  <si>
    <t>Parmar Dharti Narendrabhai</t>
  </si>
  <si>
    <t>Snehal Jethava</t>
  </si>
  <si>
    <t>Upadhyay Bhumi Jayendrabhai</t>
  </si>
  <si>
    <t>Shivam Pandey</t>
  </si>
  <si>
    <t>Srujal Rajeshbhai Pethani</t>
  </si>
  <si>
    <t>Jadav Nareshbhai Khodabhai</t>
  </si>
  <si>
    <t>Vaibhav Vijaybhai Rudatala</t>
  </si>
  <si>
    <t>Vipul Maru</t>
  </si>
  <si>
    <t xml:space="preserve">Gayatri Baria </t>
  </si>
  <si>
    <t xml:space="preserve">Yash Makwana </t>
  </si>
  <si>
    <t>Radhika Shah</t>
  </si>
  <si>
    <t>Rushda Mansuri</t>
  </si>
  <si>
    <t>Varun Himmatbhai Patel</t>
  </si>
  <si>
    <t>Rana Nisha Ashokbhai</t>
  </si>
  <si>
    <t>Sanket Rajnikant Mistry</t>
  </si>
  <si>
    <t>Shaikh Mohammad Sufiyan</t>
  </si>
  <si>
    <t xml:space="preserve">Aarti Navyugbhai Solanki </t>
  </si>
  <si>
    <t>Vivek Jaiswal</t>
  </si>
  <si>
    <t>Abhishek Jaiswal</t>
  </si>
  <si>
    <t>Mukund Pasari</t>
  </si>
  <si>
    <t>Rajib Kumar Hela</t>
  </si>
  <si>
    <t xml:space="preserve">Jaldeep J. Modi </t>
  </si>
  <si>
    <t xml:space="preserve">Joshi Dhananjay Nareshkumar </t>
  </si>
  <si>
    <t>Bhadru Dhanesh Bhimaji</t>
  </si>
  <si>
    <t xml:space="preserve">Ashutosh Madhusudan Bakshi </t>
  </si>
  <si>
    <t>Gupta Anilkumar  Rajkumar</t>
  </si>
  <si>
    <t>Satyam Kumar Suman</t>
  </si>
  <si>
    <t>Davada Vaibhaviben Harshadbhai</t>
  </si>
  <si>
    <t>Abishek Deepak Shah</t>
  </si>
  <si>
    <t>Patel Sapanaben Jigneshkumar</t>
  </si>
  <si>
    <t>Nisha Padia</t>
  </si>
  <si>
    <t>Vipul Sharadbhai Patel</t>
  </si>
  <si>
    <t xml:space="preserve">Vikrant Singh </t>
  </si>
  <si>
    <t>Dhiraj Kumar</t>
  </si>
  <si>
    <t>Prajakta Dhure</t>
  </si>
  <si>
    <t>Satya Gupta</t>
  </si>
  <si>
    <t>Amin Yatin</t>
  </si>
  <si>
    <t>B Vinod Kumar</t>
  </si>
  <si>
    <t>Sanjivani Bajbalkar</t>
  </si>
  <si>
    <t>Shikha Thakur</t>
  </si>
  <si>
    <t>Altaf Kurani</t>
  </si>
  <si>
    <t>Husen Shakir</t>
  </si>
  <si>
    <t>Select Month:</t>
  </si>
  <si>
    <t>Leave without Pay</t>
  </si>
  <si>
    <t>Maternity Leave</t>
  </si>
  <si>
    <t>Wedding Leave</t>
  </si>
  <si>
    <t>Half SickLeave</t>
  </si>
  <si>
    <t>Punch Missing</t>
  </si>
  <si>
    <t>Punch Out Missing</t>
  </si>
  <si>
    <t>Punch In Missing</t>
  </si>
  <si>
    <t>LWP</t>
  </si>
  <si>
    <t>ML</t>
  </si>
  <si>
    <t>WL</t>
  </si>
  <si>
    <t>PM</t>
  </si>
  <si>
    <t>POM</t>
  </si>
  <si>
    <t>PIM</t>
  </si>
  <si>
    <t>PARTH BALDEVBHAI PATEL</t>
  </si>
  <si>
    <t>Dhruv Bhayani</t>
  </si>
  <si>
    <t>VADHER NEHA DIPAKBHAI</t>
  </si>
  <si>
    <t>Srujal Pethani</t>
  </si>
  <si>
    <t>Vipul maru</t>
  </si>
  <si>
    <t>Gayatri Baria</t>
  </si>
  <si>
    <t xml:space="preserve">Yash makwana </t>
  </si>
  <si>
    <t>Mohammed Sufiyan Shaikh</t>
  </si>
  <si>
    <t xml:space="preserve">Aarti Navyugbhai solanki </t>
  </si>
  <si>
    <t>ABHISHAKH JAISWAL</t>
  </si>
  <si>
    <t>Anilkumar Gupta</t>
  </si>
  <si>
    <t>Patel sapanaben jigneshkumar</t>
  </si>
  <si>
    <t>Vikrant Singh</t>
  </si>
  <si>
    <t>Kurani Altaf Rafikali</t>
  </si>
  <si>
    <t>Shakir Husen Mahammadbhai</t>
  </si>
  <si>
    <t>ID</t>
  </si>
  <si>
    <t>Date</t>
  </si>
  <si>
    <t>Leave Type</t>
  </si>
  <si>
    <t>Team LeaderName</t>
  </si>
  <si>
    <t>Reason Type</t>
  </si>
  <si>
    <t>Reason</t>
  </si>
  <si>
    <t>Vadher Neha Dipakbhai</t>
  </si>
  <si>
    <t>Jasmin Desai</t>
  </si>
  <si>
    <t>Family Function</t>
  </si>
  <si>
    <t>Ashil Shah</t>
  </si>
  <si>
    <t xml:space="preserve"> Marriage Function</t>
  </si>
  <si>
    <t>Going on tour of Jaisalmer</t>
  </si>
  <si>
    <t>EMP23032O</t>
  </si>
  <si>
    <t xml:space="preserve">Sanjana Dhariwal </t>
  </si>
  <si>
    <t>Vaibhav Rudatala</t>
  </si>
  <si>
    <t>Doctor's Appointment</t>
  </si>
  <si>
    <t>Going out of station</t>
  </si>
  <si>
    <t>Sanket Mistry</t>
  </si>
  <si>
    <t>I have to go for out of station</t>
  </si>
  <si>
    <t>Personal Work</t>
  </si>
  <si>
    <t>I have to go out of Station. </t>
  </si>
  <si>
    <t>Jay Dave</t>
  </si>
  <si>
    <t>Sick leave</t>
  </si>
  <si>
    <t>EMP23026O</t>
  </si>
  <si>
    <t>Bhavsar Ishaben Prashant Bhai</t>
  </si>
  <si>
    <t>Ashutosh Madhusudan Bakshi</t>
  </si>
  <si>
    <t xml:space="preserve"> </t>
  </si>
  <si>
    <t>Cousin Sister's marriage</t>
  </si>
  <si>
    <t>Abishek Shah</t>
  </si>
  <si>
    <t>Emergency Leave</t>
  </si>
  <si>
    <t>Mother is not well</t>
  </si>
  <si>
    <t>Jaldeep Modi</t>
  </si>
  <si>
    <t>College Work</t>
  </si>
  <si>
    <t>EL</t>
  </si>
  <si>
    <t>Uni Exam</t>
  </si>
  <si>
    <t>Health Issue</t>
  </si>
  <si>
    <t>Attend Condolence Meet</t>
  </si>
  <si>
    <t>Marriage function</t>
  </si>
  <si>
    <t>To attend Family Function</t>
  </si>
  <si>
    <t>Need to go temple</t>
  </si>
  <si>
    <t>EMP23027O</t>
  </si>
  <si>
    <t xml:space="preserve">Zala Varshaba Takhubha </t>
  </si>
  <si>
    <t>Relative's death</t>
  </si>
  <si>
    <t>Not well</t>
  </si>
  <si>
    <t>Grandfather had died</t>
  </si>
  <si>
    <t>Throat pain &amp; Fever</t>
  </si>
  <si>
    <t>Jaldeep J. Modi</t>
  </si>
  <si>
    <t>Religious Function</t>
  </si>
  <si>
    <t>Brother's Accident </t>
  </si>
  <si>
    <t>Occasion in village</t>
  </si>
  <si>
    <t>Religious Festival</t>
  </si>
  <si>
    <t>Joshi Dhananjay Nareshkumar</t>
  </si>
  <si>
    <t> Brother's marriage</t>
  </si>
  <si>
    <t> Festival</t>
  </si>
  <si>
    <t>sudden emergency.</t>
  </si>
  <si>
    <t>Family Function/Compensatory off</t>
  </si>
  <si>
    <t> pooja at home for navratri</t>
  </si>
  <si>
    <t>CO</t>
  </si>
  <si>
    <t>CO Credited</t>
  </si>
  <si>
    <t>Compensatory off</t>
  </si>
  <si>
    <t>Pooja at home</t>
  </si>
  <si>
    <t>WFH(not well)</t>
  </si>
  <si>
    <t>Father's operation</t>
  </si>
  <si>
    <t>Death Rituals</t>
  </si>
  <si>
    <t>Visit the temple</t>
  </si>
  <si>
    <t>Sister's wedding/Compensatory off</t>
  </si>
  <si>
    <t>Sister's wedding</t>
  </si>
  <si>
    <t>Vedit's Birthday</t>
  </si>
  <si>
    <t>Legal Matter</t>
  </si>
  <si>
    <t>Train Delayed</t>
  </si>
  <si>
    <t>check-up with physiotherapist</t>
  </si>
  <si>
    <t>Personal Reason</t>
  </si>
  <si>
    <t>Personal</t>
  </si>
  <si>
    <t>Cousin's Marriage</t>
  </si>
  <si>
    <t>Going for Trip</t>
  </si>
  <si>
    <t>Going to temple</t>
  </si>
  <si>
    <t>friend's birthday</t>
  </si>
  <si>
    <t>Nephew's birthday</t>
  </si>
  <si>
    <t>Dental Treatment app for father</t>
  </si>
  <si>
    <t>OldLeft1</t>
  </si>
  <si>
    <t>Saurabh Bhandari</t>
  </si>
  <si>
    <t>Family medical issue</t>
  </si>
  <si>
    <t>Need to go hospital</t>
  </si>
  <si>
    <t>Delisha's Birthday</t>
  </si>
  <si>
    <t>Family Trip</t>
  </si>
  <si>
    <t>Visit to temple</t>
  </si>
  <si>
    <t>Aarti Navyugbhai Solanki</t>
  </si>
  <si>
    <t>LOP</t>
  </si>
  <si>
    <t>Personal Trip</t>
  </si>
  <si>
    <t>CO credited/Auditors Interview</t>
  </si>
  <si>
    <t>Travelling to hometown</t>
  </si>
  <si>
    <t>CO credited</t>
  </si>
  <si>
    <t>Out of station</t>
  </si>
  <si>
    <t>Going to village for Pooja</t>
  </si>
  <si>
    <t>EMP24055O</t>
  </si>
  <si>
    <t>Maitree Joshi</t>
  </si>
  <si>
    <t>Family Wedding</t>
  </si>
  <si>
    <t xml:space="preserve">Need to attend death rituals </t>
  </si>
  <si>
    <t>LFT</t>
  </si>
  <si>
    <t>Left</t>
  </si>
  <si>
    <t>EMP24053O</t>
  </si>
  <si>
    <t>Ilsha Musani</t>
  </si>
  <si>
    <t>JN</t>
  </si>
  <si>
    <t>Joined</t>
  </si>
  <si>
    <t>EMP24054O</t>
  </si>
  <si>
    <t>Gayatri Mudaliyar</t>
  </si>
  <si>
    <t>She came around 11 and leave around 12:15</t>
  </si>
  <si>
    <t>Exam</t>
  </si>
  <si>
    <t>Jay Hiteshbhai Gohel</t>
  </si>
  <si>
    <t>Manish Kalal</t>
  </si>
  <si>
    <t> My wedding ceremony</t>
  </si>
  <si>
    <t>Want to go at ujjain temple</t>
  </si>
  <si>
    <t>Headache</t>
  </si>
  <si>
    <t>Trip to explore the Scenic beauty of Ladakh</t>
  </si>
  <si>
    <t>Exam Leave</t>
  </si>
  <si>
    <t>Personal work</t>
  </si>
  <si>
    <t>attend the third-day rituals</t>
  </si>
  <si>
    <t>Last day</t>
  </si>
  <si>
    <t>Was at hospial</t>
  </si>
  <si>
    <t>RL</t>
  </si>
  <si>
    <t>Need to go at village</t>
  </si>
  <si>
    <t>CO Credited/Astral Sunday</t>
  </si>
  <si>
    <t>Moharram days</t>
  </si>
  <si>
    <t>Half Day</t>
  </si>
  <si>
    <t>Anshikha Burman</t>
  </si>
  <si>
    <t>Joined Again after Exam Leave</t>
  </si>
  <si>
    <t>Raj Singh Rajput</t>
  </si>
  <si>
    <t>Grandfather Passed away</t>
  </si>
  <si>
    <t>have to go hospital with Mother</t>
  </si>
  <si>
    <t>Home registration</t>
  </si>
  <si>
    <t>Go to the temple</t>
  </si>
  <si>
    <t>Wife's health not well</t>
  </si>
  <si>
    <t>Going to friend's function</t>
  </si>
  <si>
    <t>Casual</t>
  </si>
  <si>
    <t>Engagement on Sunday</t>
  </si>
  <si>
    <t>Rimaben Hasmukhbhai Bhatt</t>
  </si>
  <si>
    <t>Joining</t>
  </si>
  <si>
    <t>Have to go hospital with Mother</t>
  </si>
  <si>
    <t>Vipul Patel</t>
  </si>
  <si>
    <t>Grandmother has passed away</t>
  </si>
  <si>
    <t>Going on a trip</t>
  </si>
  <si>
    <t>Pre-planned Personal Trip</t>
  </si>
  <si>
    <t>Have a Music show</t>
  </si>
  <si>
    <t>Having severe headache</t>
  </si>
  <si>
    <t xml:space="preserve">  </t>
  </si>
  <si>
    <t xml:space="preserve">Have to go to the hospital </t>
  </si>
  <si>
    <t>Zalak Barot</t>
  </si>
  <si>
    <t>Medical emergency at Home</t>
  </si>
  <si>
    <t>Jivantika vrat pooja</t>
  </si>
  <si>
    <t>Birva Shah</t>
  </si>
  <si>
    <t>Going to home</t>
  </si>
  <si>
    <t>go on a short vacation</t>
  </si>
  <si>
    <t> Planning to be out of the city </t>
  </si>
  <si>
    <t xml:space="preserve">Travelling </t>
  </si>
  <si>
    <t>Had an Accident</t>
  </si>
  <si>
    <t>Travelling to Udaipur</t>
  </si>
  <si>
    <t>Medical Issue</t>
  </si>
  <si>
    <t>Compensatory off/Personal Work</t>
  </si>
  <si>
    <t>Facing some issues related to our flat</t>
  </si>
  <si>
    <t>Festival Preparation(Teej)</t>
  </si>
  <si>
    <t>Abhishakh Jaiswal</t>
  </si>
  <si>
    <t>Compensatory off/Not Well</t>
  </si>
  <si>
    <t>Rain</t>
  </si>
  <si>
    <t>Brother met with an accident</t>
  </si>
  <si>
    <t>Out of town due to Janmasthami Festive</t>
  </si>
  <si>
    <t>Festival Preparation(satam)</t>
  </si>
  <si>
    <t>Heavy rain</t>
  </si>
  <si>
    <t>Daughter's Birthday</t>
  </si>
  <si>
    <t>HCL/ Personal reason/Full day</t>
  </si>
  <si>
    <t>I have to go out with Family</t>
  </si>
  <si>
    <t>Festival/Function</t>
  </si>
  <si>
    <t>Medical Leave</t>
  </si>
  <si>
    <t>Fever and Cold</t>
  </si>
  <si>
    <t>Harish Suthar</t>
  </si>
  <si>
    <t>Chaudhary Jyoti</t>
  </si>
  <si>
    <t>Harsh J Kuhikar</t>
  </si>
  <si>
    <t xml:space="preserve">Umesh Kumar </t>
  </si>
  <si>
    <t>Mayur Aqib</t>
  </si>
  <si>
    <t>Festival</t>
  </si>
  <si>
    <t>Due to family reasons I'm outside of Ahmedabad.</t>
  </si>
  <si>
    <t>Birthday</t>
  </si>
  <si>
    <t>Close Friends's Birthday Celebration</t>
  </si>
  <si>
    <t>Pratik Arvindbhai Boghara</t>
  </si>
  <si>
    <t>Rajnikantbhai M Parmar</t>
  </si>
  <si>
    <t>HCL/Doctor's appoinment</t>
  </si>
  <si>
    <t>Interview</t>
  </si>
  <si>
    <t>Ganesh Pooja</t>
  </si>
  <si>
    <t>HCL/Ganesh Pooja at home</t>
  </si>
  <si>
    <t>Need to attend family function</t>
  </si>
  <si>
    <t>Out of town</t>
  </si>
  <si>
    <t>HCL/ Vehicle issue</t>
  </si>
  <si>
    <t>Khandhar Rutvik Rajeshbhai</t>
  </si>
  <si>
    <t>having sudden Fever</t>
  </si>
  <si>
    <t xml:space="preserve">Going to village </t>
  </si>
  <si>
    <t>Ganapati Visarjan</t>
  </si>
  <si>
    <t>Anish Kumar Verma</t>
  </si>
  <si>
    <t>CO Credited/Khokhra</t>
  </si>
  <si>
    <t>HCL/ Medical Check up</t>
  </si>
  <si>
    <t>Going Outside of Gujarat on a trip</t>
  </si>
  <si>
    <t>Going for a trip with family</t>
  </si>
  <si>
    <t>Medical emergency leave</t>
  </si>
  <si>
    <t>Ear pain</t>
  </si>
  <si>
    <t xml:space="preserve">Exam </t>
  </si>
  <si>
    <t>HCL/Personal reason</t>
  </si>
  <si>
    <t>Family reason</t>
  </si>
  <si>
    <t>Sick leave/Fever</t>
  </si>
  <si>
    <t>Personal Important Work</t>
  </si>
  <si>
    <t>Leg Pain</t>
  </si>
  <si>
    <t>HCL/Medical emergency in family</t>
  </si>
  <si>
    <t>Grandmother not well</t>
  </si>
  <si>
    <t>Mother not well</t>
  </si>
  <si>
    <t>Aunt passed away</t>
  </si>
  <si>
    <t>Nandana Dimpalben Amrutbhai</t>
  </si>
  <si>
    <t>Driving license test</t>
  </si>
  <si>
    <t>Going for a Trip</t>
  </si>
  <si>
    <t>Family oriented Spiritual programme</t>
  </si>
  <si>
    <t>Have to go out for a family function</t>
  </si>
  <si>
    <t>Due to Illness</t>
  </si>
  <si>
    <t>Marriage function in family</t>
  </si>
  <si>
    <t>Marriage Function</t>
  </si>
  <si>
    <t>On Role to Lupin Limited</t>
  </si>
  <si>
    <t>AP</t>
  </si>
  <si>
    <t>HSL/Feeling not well</t>
  </si>
  <si>
    <t>Half CO credited</t>
  </si>
  <si>
    <t>HCL/Comp off</t>
  </si>
  <si>
    <t>Religious Ceremony</t>
  </si>
  <si>
    <t>Going to village</t>
  </si>
  <si>
    <t>Navaratri Celebration</t>
  </si>
  <si>
    <t>Out of town due to festive</t>
  </si>
  <si>
    <t>Travelling back to Bangalore</t>
  </si>
  <si>
    <t>Pooja at new home</t>
  </si>
  <si>
    <t>Need To Go At Village To Attend Condolence Meet</t>
  </si>
  <si>
    <t>Out of town/ Personal Work</t>
  </si>
  <si>
    <t>HCL/Brother's Wedding shopping</t>
  </si>
  <si>
    <t>Half sick leave</t>
  </si>
  <si>
    <t>HCL/Marriage certificate process</t>
  </si>
  <si>
    <t>Due to health issues</t>
  </si>
  <si>
    <t>Cough &amp; fever</t>
  </si>
  <si>
    <t> have veneration at our home</t>
  </si>
  <si>
    <t>Kashmir trip with Family</t>
  </si>
  <si>
    <t>Heavy viral : Cough, Cold, Fever, Body Pain, Vomiting</t>
  </si>
  <si>
    <t>Accident</t>
  </si>
  <si>
    <t>having swelling in hand because of accident</t>
  </si>
  <si>
    <t>WFH/Have to go to hometown for diwali</t>
  </si>
  <si>
    <t>Moinkhan Pathan</t>
  </si>
  <si>
    <t>Half Day during Second Half (Emergency)</t>
  </si>
  <si>
    <t>WFH/Half day</t>
  </si>
  <si>
    <t>Half day/Medical emergency at home</t>
  </si>
  <si>
    <t>Half day/not well</t>
  </si>
  <si>
    <t>Half day/singing show</t>
  </si>
  <si>
    <t>CO Credired/Sunday</t>
  </si>
  <si>
    <t>Emergency medical reason/HSL</t>
  </si>
  <si>
    <t>Travelling</t>
  </si>
  <si>
    <t>Health is not good</t>
  </si>
  <si>
    <t>Going my hometown(Bihar) after 1 year for Chhath Pooja</t>
  </si>
  <si>
    <t>Personal Commitments</t>
  </si>
  <si>
    <t>Personal reason</t>
  </si>
  <si>
    <t>CO Credired</t>
  </si>
  <si>
    <t>Have to attend marriage function</t>
  </si>
  <si>
    <t>Cousin's marriage at Mumbai</t>
  </si>
  <si>
    <t>Brother's Marriage</t>
  </si>
  <si>
    <t>Throat Infection</t>
  </si>
  <si>
    <t>Fever &amp; Feeling not well</t>
  </si>
  <si>
    <t>HCL/ Family Function</t>
  </si>
  <si>
    <t>Having Cold &amp; fever</t>
  </si>
  <si>
    <t>Daughter is not well</t>
  </si>
  <si>
    <t>Have some social Work</t>
  </si>
  <si>
    <t>Friend's Wedding</t>
  </si>
  <si>
    <t>Feeling not well</t>
  </si>
  <si>
    <t>High fever</t>
  </si>
  <si>
    <t>Travel to home for personal reasons</t>
  </si>
  <si>
    <t xml:space="preserve"> Travel to home for personal reasons</t>
  </si>
  <si>
    <t xml:space="preserve">  Travel to home for personal reasons</t>
  </si>
  <si>
    <t>Due to Medical Emergency</t>
  </si>
  <si>
    <t>Have an Evening fight</t>
  </si>
  <si>
    <t>Attend friend's marriage</t>
  </si>
  <si>
    <t>WFH/Mother's health Issue</t>
  </si>
  <si>
    <t>Loan process appoinment</t>
  </si>
  <si>
    <t>Parth Rajubhai Chavda</t>
  </si>
  <si>
    <t>Hitendra Kumar Jain</t>
  </si>
  <si>
    <t>Urmila Makwana</t>
  </si>
  <si>
    <t>Khushboo Ahuja</t>
  </si>
  <si>
    <t xml:space="preserve"> have to go to a relative's wedding</t>
  </si>
  <si>
    <t xml:space="preserve">Marriage Function </t>
  </si>
  <si>
    <t xml:space="preserve"> Out of town due to marriage function</t>
  </si>
  <si>
    <t>Flight Delayed</t>
  </si>
  <si>
    <t>Wedding Function</t>
  </si>
  <si>
    <t>WFH/Have to go out of town for Cousin's wedding</t>
  </si>
  <si>
    <t>Leave/Have to go out of town for Cousin's wedding</t>
  </si>
  <si>
    <t>Attend Family function</t>
  </si>
  <si>
    <t>Feeling unwell</t>
  </si>
  <si>
    <t>Grandmother's health check up</t>
  </si>
  <si>
    <t>Going out of station to attend a function</t>
  </si>
  <si>
    <t>SPOM Law Exam</t>
  </si>
  <si>
    <t>HCL/Daughter's annual function</t>
  </si>
  <si>
    <t>Christmas Leave</t>
  </si>
  <si>
    <t>Have music show to do</t>
  </si>
  <si>
    <t>SL/Not well</t>
  </si>
  <si>
    <t>HCL/Family Function</t>
  </si>
  <si>
    <t>Personal Reasom</t>
  </si>
  <si>
    <t>Passport renewal appointment</t>
  </si>
  <si>
    <t>Ghuma Office</t>
  </si>
  <si>
    <t>HCL/Engagement Function</t>
  </si>
  <si>
    <t>HCL/Due to Religious reasons</t>
  </si>
  <si>
    <t>Going out of town for a wedding</t>
  </si>
  <si>
    <t>Yogita Khadke</t>
  </si>
  <si>
    <t>Kundan Kumar Chaudhary</t>
  </si>
  <si>
    <t>Daughter's annual function</t>
  </si>
  <si>
    <t>HSL (Headache- Went to the hospital)</t>
  </si>
  <si>
    <t>CP</t>
  </si>
  <si>
    <t>Sunday Working - RIL audit</t>
  </si>
  <si>
    <t>Sunday Working - Astral, Swatch, Indus Earthing</t>
  </si>
  <si>
    <t>Sunday Working - Billing,Astral, Swatch, Indus Earthing</t>
  </si>
  <si>
    <t>HSL/Doctor's Appointment</t>
  </si>
  <si>
    <t>Feeling unwell (Fever)</t>
  </si>
  <si>
    <t>Nanaji Passed away</t>
  </si>
  <si>
    <t>Sister's Marriage in hometown</t>
  </si>
  <si>
    <t>Going on a Trip</t>
  </si>
  <si>
    <t>Going to home town</t>
  </si>
  <si>
    <t>Not Well</t>
  </si>
  <si>
    <t>I have to go to a relative's wedding</t>
  </si>
  <si>
    <t>Going out of station to fulfil social obligation</t>
  </si>
  <si>
    <t>I need to attend a marriage function.</t>
  </si>
  <si>
    <t>Going to Temple</t>
  </si>
  <si>
    <t xml:space="preserve"> want to go for a concert</t>
  </si>
  <si>
    <t>Sunday Working</t>
  </si>
  <si>
    <t>Holiday Working</t>
  </si>
  <si>
    <t>Cold and fever</t>
  </si>
  <si>
    <t>Mother is coming back from Australia</t>
  </si>
  <si>
    <t>HCL/ Have a music show to do</t>
  </si>
  <si>
    <t>Due to a medical emergency</t>
  </si>
  <si>
    <t>I’m having cough &amp; fever today so I’m not feeling well.</t>
  </si>
  <si>
    <t>Due to fever and cold</t>
  </si>
  <si>
    <t>Sunday working</t>
  </si>
  <si>
    <t>for Attending Family Function</t>
  </si>
  <si>
    <t xml:space="preserve"> I'm going to a Rajasthan</t>
  </si>
  <si>
    <t>Chauhan Isha Sanjaybhai</t>
  </si>
  <si>
    <t>HSL/Pain in Eyes</t>
  </si>
  <si>
    <t>Outing plan</t>
  </si>
  <si>
    <t>WFH - Accident</t>
  </si>
  <si>
    <t xml:space="preserve"> To attend the Marriage Ceremony of my Cousin Brother</t>
  </si>
  <si>
    <t>I have to attend a family wedding at my hometown &amp; have to be there</t>
  </si>
  <si>
    <t>Due to a religious function at my native place</t>
  </si>
  <si>
    <t xml:space="preserve"> To attend the Marriage Ceremony of my Friend's Cousin Brother</t>
  </si>
  <si>
    <t>Rishav Raj</t>
  </si>
  <si>
    <t>My Wedding</t>
  </si>
  <si>
    <t>Going to Prayagraj to attend Maha Kumbh</t>
  </si>
  <si>
    <t>HCL/ Attend function</t>
  </si>
  <si>
    <t>Holiday</t>
  </si>
  <si>
    <t xml:space="preserve"> Due to Personal reasons</t>
  </si>
  <si>
    <t>Fever &amp; Headache</t>
  </si>
  <si>
    <t>High Fever</t>
  </si>
  <si>
    <t>Attend wedding function</t>
  </si>
  <si>
    <t>HCL/Have a show to do</t>
  </si>
  <si>
    <t>Stomach ache</t>
  </si>
  <si>
    <t>Health issue</t>
  </si>
  <si>
    <t>I have some bank work at my hometown</t>
  </si>
  <si>
    <t xml:space="preserve"> I am on leave from tomorrow I need some work to do</t>
  </si>
  <si>
    <t xml:space="preserve">Fever </t>
  </si>
  <si>
    <t>CP -  Sunday Working</t>
  </si>
  <si>
    <t xml:space="preserve"> I have to make preparations for Ramadan</t>
  </si>
  <si>
    <t>I have to go to my Mother's House</t>
  </si>
  <si>
    <t>I have planned a trip during this period</t>
  </si>
  <si>
    <t>Going to hometown</t>
  </si>
  <si>
    <t>Mother's health is not good</t>
  </si>
  <si>
    <t>Leave Code</t>
  </si>
  <si>
    <t>Month List</t>
  </si>
  <si>
    <t>Team Leader List</t>
  </si>
  <si>
    <t>Leave Type 2</t>
  </si>
  <si>
    <t>Emergency leave</t>
  </si>
  <si>
    <t>No Reason Leave</t>
  </si>
  <si>
    <t>work form home</t>
  </si>
  <si>
    <t>Half Sick Leave</t>
  </si>
  <si>
    <t>Rejected Leave</t>
  </si>
  <si>
    <t>Varun Patel</t>
  </si>
  <si>
    <t>Approval Pending</t>
  </si>
  <si>
    <t>Compensation Off</t>
  </si>
  <si>
    <t>Loss Of Pay</t>
  </si>
  <si>
    <t>New Joinees</t>
  </si>
  <si>
    <t>Emp Left</t>
  </si>
  <si>
    <t>Comp Paid</t>
  </si>
  <si>
    <t>Name</t>
  </si>
  <si>
    <t>Department</t>
  </si>
  <si>
    <t>First time zone</t>
  </si>
  <si>
    <t>Second time zone</t>
  </si>
  <si>
    <t>Late time(Min)</t>
  </si>
  <si>
    <t>Leave early(Min)</t>
  </si>
  <si>
    <t>Absence(Min)</t>
  </si>
  <si>
    <t>Total(Min)</t>
  </si>
  <si>
    <t>Note</t>
  </si>
  <si>
    <t>On-duty</t>
  </si>
  <si>
    <t>Off-duty</t>
  </si>
  <si>
    <t>RSCLLP</t>
  </si>
  <si>
    <t>2024-01-01</t>
  </si>
  <si>
    <t>2024-01-02</t>
  </si>
  <si>
    <t>NA</t>
  </si>
  <si>
    <t>2024-01-03</t>
  </si>
  <si>
    <t>2024-01-04</t>
  </si>
  <si>
    <t>2024-01-05</t>
  </si>
  <si>
    <t>2024-01-06</t>
  </si>
  <si>
    <t>2024-01-08</t>
  </si>
  <si>
    <t>2024-01-09</t>
  </si>
  <si>
    <t>2024-01-10</t>
  </si>
  <si>
    <t>2024-01-11</t>
  </si>
  <si>
    <t>2024-01-12</t>
  </si>
  <si>
    <t>18:23</t>
  </si>
  <si>
    <t>2024-01-13</t>
  </si>
  <si>
    <t>10:08</t>
  </si>
  <si>
    <t>OK</t>
  </si>
  <si>
    <t>2024-01-15</t>
  </si>
  <si>
    <t>2024-01-16</t>
  </si>
  <si>
    <t>2024-01-17</t>
  </si>
  <si>
    <t>2024-01-20</t>
  </si>
  <si>
    <t>2024-01-22</t>
  </si>
  <si>
    <t>10:13</t>
  </si>
  <si>
    <t>2024-01-26</t>
  </si>
  <si>
    <t>2024-01-27</t>
  </si>
  <si>
    <t>10:14</t>
  </si>
  <si>
    <t>2024-01-29</t>
  </si>
  <si>
    <t>18:56</t>
  </si>
  <si>
    <t>2024-01-30</t>
  </si>
  <si>
    <t>2024-01-31</t>
  </si>
  <si>
    <t>10:17</t>
  </si>
  <si>
    <t>11:41</t>
  </si>
  <si>
    <t>19:32</t>
  </si>
  <si>
    <t>Late</t>
  </si>
  <si>
    <t>10:29</t>
  </si>
  <si>
    <t>20:42</t>
  </si>
  <si>
    <t>10:40</t>
  </si>
  <si>
    <t>19:54</t>
  </si>
  <si>
    <t>10:53</t>
  </si>
  <si>
    <t>19:27</t>
  </si>
  <si>
    <t>11:03</t>
  </si>
  <si>
    <t>19:09</t>
  </si>
  <si>
    <t>11:05</t>
  </si>
  <si>
    <t>20:28</t>
  </si>
  <si>
    <t>19:38</t>
  </si>
  <si>
    <t>2024-01-18</t>
  </si>
  <si>
    <t>2024-01-19</t>
  </si>
  <si>
    <t>11:09</t>
  </si>
  <si>
    <t>11:21</t>
  </si>
  <si>
    <t>2024-01-23</t>
  </si>
  <si>
    <t>20:09</t>
  </si>
  <si>
    <t>2024-01-24</t>
  </si>
  <si>
    <t>11:16</t>
  </si>
  <si>
    <t>20:18</t>
  </si>
  <si>
    <t>2024-01-25</t>
  </si>
  <si>
    <t>11:26</t>
  </si>
  <si>
    <t>17:56</t>
  </si>
  <si>
    <t>12:15</t>
  </si>
  <si>
    <t>10:41</t>
  </si>
  <si>
    <t>19:51</t>
  </si>
  <si>
    <t>11:06</t>
  </si>
  <si>
    <t>11:34</t>
  </si>
  <si>
    <t>10:51</t>
  </si>
  <si>
    <t>19:18</t>
  </si>
  <si>
    <t>13:46</t>
  </si>
  <si>
    <t>19:31</t>
  </si>
  <si>
    <t>10:31</t>
  </si>
  <si>
    <t>10:32</t>
  </si>
  <si>
    <t>10:46</t>
  </si>
  <si>
    <t>10:57</t>
  </si>
  <si>
    <t>18:41</t>
  </si>
  <si>
    <t>18:59</t>
  </si>
  <si>
    <t>14:07</t>
  </si>
  <si>
    <t>19:35</t>
  </si>
  <si>
    <t>11:32</t>
  </si>
  <si>
    <t>19:21</t>
  </si>
  <si>
    <t>19:19</t>
  </si>
  <si>
    <t>11:38</t>
  </si>
  <si>
    <t>10:39</t>
  </si>
  <si>
    <t>19:10</t>
  </si>
  <si>
    <t>11:07</t>
  </si>
  <si>
    <t>12:13</t>
  </si>
  <si>
    <t>11:04</t>
  </si>
  <si>
    <t>11:33</t>
  </si>
  <si>
    <t>11:22</t>
  </si>
  <si>
    <t>12:38</t>
  </si>
  <si>
    <t>14:14</t>
  </si>
  <si>
    <t>19:14</t>
  </si>
  <si>
    <t>09:53</t>
  </si>
  <si>
    <t>14:24</t>
  </si>
  <si>
    <t>18:57</t>
  </si>
  <si>
    <t>10:44</t>
  </si>
  <si>
    <t>18:58</t>
  </si>
  <si>
    <t>13:57</t>
  </si>
  <si>
    <t>11:47</t>
  </si>
  <si>
    <t>19:00</t>
  </si>
  <si>
    <t>15:48</t>
  </si>
  <si>
    <t>10:25</t>
  </si>
  <si>
    <t>14:03</t>
  </si>
  <si>
    <t>19:01</t>
  </si>
  <si>
    <t>10:06</t>
  </si>
  <si>
    <t>16:59</t>
  </si>
  <si>
    <t>14:20</t>
  </si>
  <si>
    <t>10:16</t>
  </si>
  <si>
    <t>10:12</t>
  </si>
  <si>
    <t>10:05</t>
  </si>
  <si>
    <t>14:19</t>
  </si>
  <si>
    <t>13:38</t>
  </si>
  <si>
    <t>16:58</t>
  </si>
  <si>
    <t>10:01</t>
  </si>
  <si>
    <t>14:18</t>
  </si>
  <si>
    <t>16:49</t>
  </si>
  <si>
    <t>19:23</t>
  </si>
  <si>
    <t>09:56</t>
  </si>
  <si>
    <t>10:45</t>
  </si>
  <si>
    <t>19:28</t>
  </si>
  <si>
    <t>19:37</t>
  </si>
  <si>
    <t>10:48</t>
  </si>
  <si>
    <t>19:36</t>
  </si>
  <si>
    <t>19:49</t>
  </si>
  <si>
    <t>13:37</t>
  </si>
  <si>
    <t>10:56</t>
  </si>
  <si>
    <t>19:39</t>
  </si>
  <si>
    <t>11:19</t>
  </si>
  <si>
    <t>20:30</t>
  </si>
  <si>
    <t>20:10</t>
  </si>
  <si>
    <t>20:19</t>
  </si>
  <si>
    <t>10:59</t>
  </si>
  <si>
    <t>11:20</t>
  </si>
  <si>
    <t>11:15</t>
  </si>
  <si>
    <t>17:04</t>
  </si>
  <si>
    <t>20:31</t>
  </si>
  <si>
    <t>17:55</t>
  </si>
  <si>
    <t>11:36</t>
  </si>
  <si>
    <t>14:15</t>
  </si>
  <si>
    <t>09:58</t>
  </si>
  <si>
    <t>11:42</t>
  </si>
  <si>
    <t>10:38</t>
  </si>
  <si>
    <t>19:43</t>
  </si>
  <si>
    <t>10:33</t>
  </si>
  <si>
    <t>19:02</t>
  </si>
  <si>
    <t>10:18</t>
  </si>
  <si>
    <t>13:30</t>
  </si>
  <si>
    <t>16:57</t>
  </si>
  <si>
    <t>14:11</t>
  </si>
  <si>
    <t>10:04</t>
  </si>
  <si>
    <t>10:26</t>
  </si>
  <si>
    <t>10:00</t>
  </si>
  <si>
    <t>14:09</t>
  </si>
  <si>
    <t>10:58</t>
  </si>
  <si>
    <t>12:28</t>
  </si>
  <si>
    <t>11:40</t>
  </si>
  <si>
    <t>11:14</t>
  </si>
  <si>
    <t>11:51</t>
  </si>
  <si>
    <t>11:25</t>
  </si>
  <si>
    <t>13:17</t>
  </si>
  <si>
    <t>11:12</t>
  </si>
  <si>
    <t>11:48</t>
  </si>
  <si>
    <t>Company</t>
  </si>
  <si>
    <t>19:05</t>
  </si>
  <si>
    <t>10:15</t>
  </si>
  <si>
    <t>19:29</t>
  </si>
  <si>
    <t>12:14</t>
  </si>
  <si>
    <t>11:08</t>
  </si>
  <si>
    <t>19:04</t>
  </si>
  <si>
    <t>10:11</t>
  </si>
  <si>
    <t>19:06</t>
  </si>
  <si>
    <t>09:54</t>
  </si>
  <si>
    <t>17:12</t>
  </si>
  <si>
    <t>11:00</t>
  </si>
  <si>
    <t>19:11</t>
  </si>
  <si>
    <t>19:25</t>
  </si>
  <si>
    <t>19:13</t>
  </si>
  <si>
    <t>10:21</t>
  </si>
  <si>
    <t>19:12</t>
  </si>
  <si>
    <t>10:47</t>
  </si>
  <si>
    <t>10:55</t>
  </si>
  <si>
    <t>10:54</t>
  </si>
  <si>
    <t>10:35</t>
  </si>
  <si>
    <t>10:50</t>
  </si>
  <si>
    <t>10:36</t>
  </si>
  <si>
    <t>19:08</t>
  </si>
  <si>
    <t>11:39</t>
  </si>
  <si>
    <t>19:03</t>
  </si>
  <si>
    <t>10:22</t>
  </si>
  <si>
    <t>10:02</t>
  </si>
  <si>
    <t>10:24</t>
  </si>
  <si>
    <t>19:30</t>
  </si>
  <si>
    <t>09:51</t>
  </si>
  <si>
    <t>09:55</t>
  </si>
  <si>
    <t>10:19</t>
  </si>
  <si>
    <t>10:20</t>
  </si>
  <si>
    <t>19:15</t>
  </si>
  <si>
    <t>14:27</t>
  </si>
  <si>
    <t>09:50</t>
  </si>
  <si>
    <t>11:56</t>
  </si>
  <si>
    <t>18:30</t>
  </si>
  <si>
    <t>18:53</t>
  </si>
  <si>
    <t>09:57</t>
  </si>
  <si>
    <t>11:54</t>
  </si>
  <si>
    <t>10:28</t>
  </si>
  <si>
    <t>18:54</t>
  </si>
  <si>
    <t>10:52</t>
  </si>
  <si>
    <t>13:15</t>
  </si>
  <si>
    <t>19:16</t>
  </si>
  <si>
    <t>10:27</t>
  </si>
  <si>
    <t>10:03</t>
  </si>
  <si>
    <t>19:07</t>
  </si>
  <si>
    <t>11:24</t>
  </si>
  <si>
    <t>14:25</t>
  </si>
  <si>
    <t>13:39</t>
  </si>
  <si>
    <t>17:42</t>
  </si>
  <si>
    <t>11:53</t>
  </si>
  <si>
    <t>15:30</t>
  </si>
  <si>
    <t>19:17</t>
  </si>
  <si>
    <t>19:22</t>
  </si>
  <si>
    <t>10:23</t>
  </si>
  <si>
    <t>19:20</t>
  </si>
  <si>
    <t>10:49</t>
  </si>
  <si>
    <t>19:24</t>
  </si>
  <si>
    <t>10:42</t>
  </si>
  <si>
    <t>Employee Name</t>
  </si>
  <si>
    <t>New Emp ID</t>
  </si>
  <si>
    <t>Yash Makwana</t>
  </si>
  <si>
    <t>Choksi Naman Tejalkumar</t>
  </si>
  <si>
    <t>EMP ID</t>
  </si>
  <si>
    <t>PASTE 10th Floor Exception Report Here</t>
  </si>
  <si>
    <t>PASTE 12th Floor Exception Report Here</t>
  </si>
  <si>
    <t>PASTE Client Place Attendance Here</t>
  </si>
  <si>
    <t>First time zone
On-duty</t>
  </si>
  <si>
    <t>Second time zone
On-duty</t>
  </si>
  <si>
    <t>Off-duty2</t>
  </si>
  <si>
    <t>Note
Reason</t>
  </si>
  <si>
    <t>Office</t>
  </si>
  <si>
    <t>Status</t>
  </si>
  <si>
    <t>18</t>
  </si>
  <si>
    <t>Rushda</t>
  </si>
  <si>
    <t>1</t>
  </si>
  <si>
    <t>PARTH</t>
  </si>
  <si>
    <t>Dhananjay</t>
  </si>
  <si>
    <t>RK9-10th-Floor</t>
  </si>
  <si>
    <t>Active</t>
  </si>
  <si>
    <t>Shubham</t>
  </si>
  <si>
    <t>Yash</t>
  </si>
  <si>
    <t>Dharti</t>
  </si>
  <si>
    <t>Srujal</t>
  </si>
  <si>
    <t>Vipul</t>
  </si>
  <si>
    <t>Jaldeep</t>
  </si>
  <si>
    <t>Shivam</t>
  </si>
  <si>
    <t>Vaibha8</t>
  </si>
  <si>
    <t>Inactive</t>
  </si>
  <si>
    <t>Vaibhav</t>
  </si>
  <si>
    <t>Sanjana</t>
  </si>
  <si>
    <t>2</t>
  </si>
  <si>
    <t>DHRUV</t>
  </si>
  <si>
    <t>Abishe</t>
  </si>
  <si>
    <t>vivek</t>
  </si>
  <si>
    <t>Satyam</t>
  </si>
  <si>
    <t>Mukund</t>
  </si>
  <si>
    <t>ashilshah</t>
  </si>
  <si>
    <t>Varun</t>
  </si>
  <si>
    <t>Varunpatel</t>
  </si>
  <si>
    <t>RK9-12th-Floor</t>
  </si>
  <si>
    <t>NEHAL</t>
  </si>
  <si>
    <t>17</t>
  </si>
  <si>
    <t>Dhiraj</t>
  </si>
  <si>
    <t>Bhumi</t>
  </si>
  <si>
    <t>ISHA</t>
  </si>
  <si>
    <t>Arti</t>
  </si>
  <si>
    <t>Gayatri</t>
  </si>
  <si>
    <t>NishaP</t>
  </si>
  <si>
    <t>Sapana</t>
  </si>
  <si>
    <t>Varsha</t>
  </si>
  <si>
    <t>Vaibhavi</t>
  </si>
  <si>
    <t>VipulM</t>
  </si>
  <si>
    <t>NishaR</t>
  </si>
  <si>
    <t>Radhika</t>
  </si>
  <si>
    <t>3</t>
  </si>
  <si>
    <t>Sanket</t>
  </si>
  <si>
    <t>09:52</t>
  </si>
  <si>
    <t>Sufiyan</t>
  </si>
  <si>
    <t>Anil</t>
  </si>
  <si>
    <t>Dhanesh</t>
  </si>
  <si>
    <t>16</t>
  </si>
  <si>
    <t>4</t>
  </si>
  <si>
    <t>19:56</t>
  </si>
  <si>
    <t>8</t>
  </si>
  <si>
    <t>15</t>
  </si>
  <si>
    <t>27</t>
  </si>
  <si>
    <t>14</t>
  </si>
  <si>
    <t>32</t>
  </si>
  <si>
    <t>33</t>
  </si>
  <si>
    <t>13</t>
  </si>
  <si>
    <t>34</t>
  </si>
  <si>
    <t>35</t>
  </si>
  <si>
    <t>12</t>
  </si>
  <si>
    <t>36</t>
  </si>
  <si>
    <t>11</t>
  </si>
  <si>
    <t>10</t>
  </si>
  <si>
    <t>37</t>
  </si>
  <si>
    <t>9</t>
  </si>
  <si>
    <t>38</t>
  </si>
  <si>
    <t>39</t>
  </si>
  <si>
    <t>40</t>
  </si>
  <si>
    <t>7</t>
  </si>
  <si>
    <t>41</t>
  </si>
  <si>
    <t>6</t>
  </si>
  <si>
    <t>42</t>
  </si>
  <si>
    <t>5</t>
  </si>
  <si>
    <t>43</t>
  </si>
  <si>
    <t>44</t>
  </si>
  <si>
    <t>Start Date</t>
  </si>
  <si>
    <t>End Date</t>
  </si>
  <si>
    <t>Rejected</t>
  </si>
  <si>
    <t>Incommunicado</t>
  </si>
  <si>
    <t>Have to Visit hospital with my Mother</t>
  </si>
  <si>
    <t>Servere Itching</t>
  </si>
  <si>
    <t>Diwali holiday Working/31st oct to 5th Nov</t>
  </si>
  <si>
    <t>Sunday Working/RICH Audit/ Oct</t>
  </si>
  <si>
    <t>Sunday Working/Nov</t>
  </si>
  <si>
    <t>some emergency in my family</t>
  </si>
  <si>
    <t>Dentist appointment and family function</t>
  </si>
  <si>
    <t>Have a Music show to do</t>
  </si>
  <si>
    <t>Due to personal emergency</t>
  </si>
  <si>
    <t>Going to Dwarka with family</t>
  </si>
  <si>
    <t>Friend's wedding</t>
  </si>
  <si>
    <t>Mother's Healh Issue</t>
  </si>
  <si>
    <t>Working on airport audit since morning</t>
  </si>
  <si>
    <t>WFH - Not Well</t>
  </si>
  <si>
    <t>Marwadi Festival</t>
  </si>
  <si>
    <t>Going out for a trip</t>
  </si>
  <si>
    <t>Neck Pain</t>
  </si>
  <si>
    <t>Eid - Festival</t>
  </si>
  <si>
    <t xml:space="preserve"> Father's eye surgery</t>
  </si>
  <si>
    <t>Going out on a Trip</t>
  </si>
  <si>
    <t>Have family members visiting</t>
  </si>
  <si>
    <t>I am going for physiotherapy</t>
  </si>
  <si>
    <t>Personal commitments</t>
  </si>
  <si>
    <t>HCL/I need to prepare for Navratri festivities</t>
  </si>
  <si>
    <t>For an Interview</t>
  </si>
  <si>
    <t>Arpita Vyas</t>
  </si>
  <si>
    <t>Brother is hospitalised</t>
  </si>
  <si>
    <t>Going to Cousin's marriage function</t>
  </si>
  <si>
    <t>some urgent document work.</t>
  </si>
  <si>
    <t>Jasmin Rameshchandra Desai</t>
  </si>
  <si>
    <t>Sunday - Office</t>
  </si>
  <si>
    <t>Half CP</t>
  </si>
  <si>
    <t>HCP</t>
  </si>
  <si>
    <t>Half Sunday Working</t>
  </si>
  <si>
    <t>Raghuprasad CC</t>
  </si>
  <si>
    <t>Nagaraj Hegde</t>
  </si>
  <si>
    <t>HCO</t>
  </si>
  <si>
    <t>Half CO</t>
  </si>
  <si>
    <t>Kanakhara Yash Sanjaykumar</t>
  </si>
  <si>
    <t>1845292</t>
  </si>
  <si>
    <t>1845293</t>
  </si>
  <si>
    <t>1845294</t>
  </si>
  <si>
    <t>1845295</t>
  </si>
  <si>
    <t>1845296</t>
  </si>
  <si>
    <t>1845297</t>
  </si>
  <si>
    <t>1845299</t>
  </si>
  <si>
    <t>1845300</t>
  </si>
  <si>
    <t>1845301</t>
  </si>
  <si>
    <t>1845302</t>
  </si>
  <si>
    <t>1845303</t>
  </si>
  <si>
    <t>1845304</t>
  </si>
  <si>
    <t>1845306</t>
  </si>
  <si>
    <t>1845307</t>
  </si>
  <si>
    <t>1845308</t>
  </si>
  <si>
    <t>1845311</t>
  </si>
  <si>
    <t>1845313</t>
  </si>
  <si>
    <t>1845317</t>
  </si>
  <si>
    <t>1845318</t>
  </si>
  <si>
    <t>1845320</t>
  </si>
  <si>
    <t>1845321</t>
  </si>
  <si>
    <t>1845322</t>
  </si>
  <si>
    <t>1645292</t>
  </si>
  <si>
    <t>1645293</t>
  </si>
  <si>
    <t>1645294</t>
  </si>
  <si>
    <t>1645295</t>
  </si>
  <si>
    <t>1645296</t>
  </si>
  <si>
    <t>1645297</t>
  </si>
  <si>
    <t>1645299</t>
  </si>
  <si>
    <t>1645300</t>
  </si>
  <si>
    <t>1645301</t>
  </si>
  <si>
    <t>1645302</t>
  </si>
  <si>
    <t>1645303</t>
  </si>
  <si>
    <t>1645304</t>
  </si>
  <si>
    <t>1645306</t>
  </si>
  <si>
    <t>1645307</t>
  </si>
  <si>
    <t>1645308</t>
  </si>
  <si>
    <t>1645309</t>
  </si>
  <si>
    <t>1645310</t>
  </si>
  <si>
    <t>1645311</t>
  </si>
  <si>
    <t>1645313</t>
  </si>
  <si>
    <t>1645314</t>
  </si>
  <si>
    <t>1645315</t>
  </si>
  <si>
    <t>1645316</t>
  </si>
  <si>
    <t>1645317</t>
  </si>
  <si>
    <t>1645318</t>
  </si>
  <si>
    <t>1645320</t>
  </si>
  <si>
    <t>1645321</t>
  </si>
  <si>
    <t>1645322</t>
  </si>
  <si>
    <t>1545292</t>
  </si>
  <si>
    <t>1545293</t>
  </si>
  <si>
    <t>1545294</t>
  </si>
  <si>
    <t>1545295</t>
  </si>
  <si>
    <t>1545296</t>
  </si>
  <si>
    <t>1545297</t>
  </si>
  <si>
    <t>1545299</t>
  </si>
  <si>
    <t>1545300</t>
  </si>
  <si>
    <t>1545301</t>
  </si>
  <si>
    <t>1545302</t>
  </si>
  <si>
    <t>1545303</t>
  </si>
  <si>
    <t>1545304</t>
  </si>
  <si>
    <t>1545306</t>
  </si>
  <si>
    <t>1545307</t>
  </si>
  <si>
    <t>1545308</t>
  </si>
  <si>
    <t>1545309</t>
  </si>
  <si>
    <t>1545310</t>
  </si>
  <si>
    <t>1545311</t>
  </si>
  <si>
    <t>1545313</t>
  </si>
  <si>
    <t>1545314</t>
  </si>
  <si>
    <t>1545315</t>
  </si>
  <si>
    <t>1545316</t>
  </si>
  <si>
    <t>1545317</t>
  </si>
  <si>
    <t>1545318</t>
  </si>
  <si>
    <t>1545320</t>
  </si>
  <si>
    <t>1545321</t>
  </si>
  <si>
    <t>1545322</t>
  </si>
  <si>
    <t>1445292</t>
  </si>
  <si>
    <t>1445293</t>
  </si>
  <si>
    <t>1445294</t>
  </si>
  <si>
    <t>1445295</t>
  </si>
  <si>
    <t>1445296</t>
  </si>
  <si>
    <t>1445297</t>
  </si>
  <si>
    <t>1445299</t>
  </si>
  <si>
    <t>1445300</t>
  </si>
  <si>
    <t>1445302</t>
  </si>
  <si>
    <t>1445303</t>
  </si>
  <si>
    <t>1445304</t>
  </si>
  <si>
    <t>1445306</t>
  </si>
  <si>
    <t>1445307</t>
  </si>
  <si>
    <t>1445308</t>
  </si>
  <si>
    <t>1445309</t>
  </si>
  <si>
    <t>1445310</t>
  </si>
  <si>
    <t>1445311</t>
  </si>
  <si>
    <t>1445313</t>
  </si>
  <si>
    <t>1445314</t>
  </si>
  <si>
    <t>1445315</t>
  </si>
  <si>
    <t>1445316</t>
  </si>
  <si>
    <t>1445317</t>
  </si>
  <si>
    <t>1445318</t>
  </si>
  <si>
    <t>1445320</t>
  </si>
  <si>
    <t>1445321</t>
  </si>
  <si>
    <t>1445322</t>
  </si>
  <si>
    <t>1345292</t>
  </si>
  <si>
    <t>1345293</t>
  </si>
  <si>
    <t>1345294</t>
  </si>
  <si>
    <t>1345295</t>
  </si>
  <si>
    <t>1345296</t>
  </si>
  <si>
    <t>1345297</t>
  </si>
  <si>
    <t>1345299</t>
  </si>
  <si>
    <t>1345300</t>
  </si>
  <si>
    <t>1345301</t>
  </si>
  <si>
    <t>1345302</t>
  </si>
  <si>
    <t>1345303</t>
  </si>
  <si>
    <t>1345304</t>
  </si>
  <si>
    <t>1345306</t>
  </si>
  <si>
    <t>1345307</t>
  </si>
  <si>
    <t>1345308</t>
  </si>
  <si>
    <t>1345309</t>
  </si>
  <si>
    <t>1345310</t>
  </si>
  <si>
    <t>1345311</t>
  </si>
  <si>
    <t>1345313</t>
  </si>
  <si>
    <t>1345314</t>
  </si>
  <si>
    <t>1345315</t>
  </si>
  <si>
    <t>1345316</t>
  </si>
  <si>
    <t>1345317</t>
  </si>
  <si>
    <t>1345318</t>
  </si>
  <si>
    <t>1345320</t>
  </si>
  <si>
    <t>1345321</t>
  </si>
  <si>
    <t>1345322</t>
  </si>
  <si>
    <t>1245292</t>
  </si>
  <si>
    <t>1245293</t>
  </si>
  <si>
    <t>1245294</t>
  </si>
  <si>
    <t>1245297</t>
  </si>
  <si>
    <t>1245299</t>
  </si>
  <si>
    <t>1245306</t>
  </si>
  <si>
    <t>1245307</t>
  </si>
  <si>
    <t>1245311</t>
  </si>
  <si>
    <t>1245313</t>
  </si>
  <si>
    <t>1245317</t>
  </si>
  <si>
    <t>1245318</t>
  </si>
  <si>
    <t>1245322</t>
  </si>
  <si>
    <t>1145292</t>
  </si>
  <si>
    <t>1145293</t>
  </si>
  <si>
    <t>1145295</t>
  </si>
  <si>
    <t>1145296</t>
  </si>
  <si>
    <t>1145299</t>
  </si>
  <si>
    <t>1145303</t>
  </si>
  <si>
    <t>1145306</t>
  </si>
  <si>
    <t>1145315</t>
  </si>
  <si>
    <t>1145317</t>
  </si>
  <si>
    <t>1145318</t>
  </si>
  <si>
    <t>1145321</t>
  </si>
  <si>
    <t>1145322</t>
  </si>
  <si>
    <t>1045292</t>
  </si>
  <si>
    <t>1045293</t>
  </si>
  <si>
    <t>1045295</t>
  </si>
  <si>
    <t>1045306</t>
  </si>
  <si>
    <t>1045317</t>
  </si>
  <si>
    <t>1045318</t>
  </si>
  <si>
    <t>1045322</t>
  </si>
  <si>
    <t>845292</t>
  </si>
  <si>
    <t>845293</t>
  </si>
  <si>
    <t>845294</t>
  </si>
  <si>
    <t>845296</t>
  </si>
  <si>
    <t>845297</t>
  </si>
  <si>
    <t>845300</t>
  </si>
  <si>
    <t>845306</t>
  </si>
  <si>
    <t>845317</t>
  </si>
  <si>
    <t>845318</t>
  </si>
  <si>
    <t>845322</t>
  </si>
  <si>
    <t>745292</t>
  </si>
  <si>
    <t>745293</t>
  </si>
  <si>
    <t>745300</t>
  </si>
  <si>
    <t>745306</t>
  </si>
  <si>
    <t>745316</t>
  </si>
  <si>
    <t>745317</t>
  </si>
  <si>
    <t>745318</t>
  </si>
  <si>
    <t>745322</t>
  </si>
  <si>
    <t>645292</t>
  </si>
  <si>
    <t>645293</t>
  </si>
  <si>
    <t>645294</t>
  </si>
  <si>
    <t>645295</t>
  </si>
  <si>
    <t>645296</t>
  </si>
  <si>
    <t>645297</t>
  </si>
  <si>
    <t>645299</t>
  </si>
  <si>
    <t>645306</t>
  </si>
  <si>
    <t>645307</t>
  </si>
  <si>
    <t>645308</t>
  </si>
  <si>
    <t>645311</t>
  </si>
  <si>
    <t>645317</t>
  </si>
  <si>
    <t>645318</t>
  </si>
  <si>
    <t>645322</t>
  </si>
  <si>
    <t>545294</t>
  </si>
  <si>
    <t>545295</t>
  </si>
  <si>
    <t>545296</t>
  </si>
  <si>
    <t>545297</t>
  </si>
  <si>
    <t>545299</t>
  </si>
  <si>
    <t>545300</t>
  </si>
  <si>
    <t>545301</t>
  </si>
  <si>
    <t>545302</t>
  </si>
  <si>
    <t>545303</t>
  </si>
  <si>
    <t>545304</t>
  </si>
  <si>
    <t>545306</t>
  </si>
  <si>
    <t>545307</t>
  </si>
  <si>
    <t>545308</t>
  </si>
  <si>
    <t>545309</t>
  </si>
  <si>
    <t>545310</t>
  </si>
  <si>
    <t>545311</t>
  </si>
  <si>
    <t>545313</t>
  </si>
  <si>
    <t>545314</t>
  </si>
  <si>
    <t>545315</t>
  </si>
  <si>
    <t>545316</t>
  </si>
  <si>
    <t>545317</t>
  </si>
  <si>
    <t>545318</t>
  </si>
  <si>
    <t>545320</t>
  </si>
  <si>
    <t>545321</t>
  </si>
  <si>
    <t>545322</t>
  </si>
  <si>
    <t>445292</t>
  </si>
  <si>
    <t>445293</t>
  </si>
  <si>
    <t>445296</t>
  </si>
  <si>
    <t>445299</t>
  </si>
  <si>
    <t>445300</t>
  </si>
  <si>
    <t>445301</t>
  </si>
  <si>
    <t>445306</t>
  </si>
  <si>
    <t>445313</t>
  </si>
  <si>
    <t>445317</t>
  </si>
  <si>
    <t>445318</t>
  </si>
  <si>
    <t>445322</t>
  </si>
  <si>
    <t>345292</t>
  </si>
  <si>
    <t>345293</t>
  </si>
  <si>
    <t>345296</t>
  </si>
  <si>
    <t>345300</t>
  </si>
  <si>
    <t>345301</t>
  </si>
  <si>
    <t>345306</t>
  </si>
  <si>
    <t>345309</t>
  </si>
  <si>
    <t>345310</t>
  </si>
  <si>
    <t>345311</t>
  </si>
  <si>
    <t>345313</t>
  </si>
  <si>
    <t>345314</t>
  </si>
  <si>
    <t>345315</t>
  </si>
  <si>
    <t>345316</t>
  </si>
  <si>
    <t>345317</t>
  </si>
  <si>
    <t>345318</t>
  </si>
  <si>
    <t>345320</t>
  </si>
  <si>
    <t>345321</t>
  </si>
  <si>
    <t>345322</t>
  </si>
  <si>
    <t>245292</t>
  </si>
  <si>
    <t>245293</t>
  </si>
  <si>
    <t>245296</t>
  </si>
  <si>
    <t>245301</t>
  </si>
  <si>
    <t>245306</t>
  </si>
  <si>
    <t>245311</t>
  </si>
  <si>
    <t>245317</t>
  </si>
  <si>
    <t>245318</t>
  </si>
  <si>
    <t>245322</t>
  </si>
  <si>
    <t>145292</t>
  </si>
  <si>
    <t>145293</t>
  </si>
  <si>
    <t>145294</t>
  </si>
  <si>
    <t>145295</t>
  </si>
  <si>
    <t>145296</t>
  </si>
  <si>
    <t>145297</t>
  </si>
  <si>
    <t>145299</t>
  </si>
  <si>
    <t>145300</t>
  </si>
  <si>
    <t>145301</t>
  </si>
  <si>
    <t>145302</t>
  </si>
  <si>
    <t>145303</t>
  </si>
  <si>
    <t>145304</t>
  </si>
  <si>
    <t>145306</t>
  </si>
  <si>
    <t>145307</t>
  </si>
  <si>
    <t>145308</t>
  </si>
  <si>
    <t>145309</t>
  </si>
  <si>
    <t>145310</t>
  </si>
  <si>
    <t>145311</t>
  </si>
  <si>
    <t>145313</t>
  </si>
  <si>
    <t>145314</t>
  </si>
  <si>
    <t>145315</t>
  </si>
  <si>
    <t>145316</t>
  </si>
  <si>
    <t>145317</t>
  </si>
  <si>
    <t>145318</t>
  </si>
  <si>
    <t>145320</t>
  </si>
  <si>
    <t>145321</t>
  </si>
  <si>
    <t>145322</t>
  </si>
  <si>
    <t>245294</t>
  </si>
  <si>
    <t>245295</t>
  </si>
  <si>
    <t>245299</t>
  </si>
  <si>
    <t>245300</t>
  </si>
  <si>
    <t>245302</t>
  </si>
  <si>
    <t>245303</t>
  </si>
  <si>
    <t>245307</t>
  </si>
  <si>
    <t>245308</t>
  </si>
  <si>
    <t>245309</t>
  </si>
  <si>
    <t>245310</t>
  </si>
  <si>
    <t>245313</t>
  </si>
  <si>
    <t>245314</t>
  </si>
  <si>
    <t>245315</t>
  </si>
  <si>
    <t>245316</t>
  </si>
  <si>
    <t>245320</t>
  </si>
  <si>
    <t>245321</t>
  </si>
  <si>
    <t>445294</t>
  </si>
  <si>
    <t>445295</t>
  </si>
  <si>
    <t>445302</t>
  </si>
  <si>
    <t>445303</t>
  </si>
  <si>
    <t>445307</t>
  </si>
  <si>
    <t>445308</t>
  </si>
  <si>
    <t>445309</t>
  </si>
  <si>
    <t>445310</t>
  </si>
  <si>
    <t>445314</t>
  </si>
  <si>
    <t>445315</t>
  </si>
  <si>
    <t>445316</t>
  </si>
  <si>
    <t>445320</t>
  </si>
  <si>
    <t>445321</t>
  </si>
  <si>
    <t>845301</t>
  </si>
  <si>
    <t>845313</t>
  </si>
  <si>
    <t>845316</t>
  </si>
  <si>
    <t>2745292</t>
  </si>
  <si>
    <t>2745293</t>
  </si>
  <si>
    <t>2745294</t>
  </si>
  <si>
    <t>2745296</t>
  </si>
  <si>
    <t>2745299</t>
  </si>
  <si>
    <t>2745301</t>
  </si>
  <si>
    <t>2745302</t>
  </si>
  <si>
    <t>2745303</t>
  </si>
  <si>
    <t>2745306</t>
  </si>
  <si>
    <t>2745307</t>
  </si>
  <si>
    <t>2745308</t>
  </si>
  <si>
    <t>2745309</t>
  </si>
  <si>
    <t>2745310</t>
  </si>
  <si>
    <t>2745317</t>
  </si>
  <si>
    <t>2745322</t>
  </si>
  <si>
    <t>3245292</t>
  </si>
  <si>
    <t>3245300</t>
  </si>
  <si>
    <t>3245301</t>
  </si>
  <si>
    <t>3245306</t>
  </si>
  <si>
    <t>3245307</t>
  </si>
  <si>
    <t>3245309</t>
  </si>
  <si>
    <t>3245313</t>
  </si>
  <si>
    <t>3245317</t>
  </si>
  <si>
    <t>3245322</t>
  </si>
  <si>
    <t>3345300</t>
  </si>
  <si>
    <t>3345306</t>
  </si>
  <si>
    <t>3345307</t>
  </si>
  <si>
    <t>3345308</t>
  </si>
  <si>
    <t>3345309</t>
  </si>
  <si>
    <t>3345310</t>
  </si>
  <si>
    <t>3345315</t>
  </si>
  <si>
    <t>3345316</t>
  </si>
  <si>
    <t>3345317</t>
  </si>
  <si>
    <t>3345320</t>
  </si>
  <si>
    <t>3345321</t>
  </si>
  <si>
    <t>3345322</t>
  </si>
  <si>
    <t>3445299</t>
  </si>
  <si>
    <t>3445300</t>
  </si>
  <si>
    <t>3445306</t>
  </si>
  <si>
    <t>3445317</t>
  </si>
  <si>
    <t>3445322</t>
  </si>
  <si>
    <t>3545294</t>
  </si>
  <si>
    <t>3545295</t>
  </si>
  <si>
    <t>3545300</t>
  </si>
  <si>
    <t>3545306</t>
  </si>
  <si>
    <t>3545308</t>
  </si>
  <si>
    <t>3545309</t>
  </si>
  <si>
    <t>3545310</t>
  </si>
  <si>
    <t>3545314</t>
  </si>
  <si>
    <t>3545315</t>
  </si>
  <si>
    <t>3545316</t>
  </si>
  <si>
    <t>3545317</t>
  </si>
  <si>
    <t>3545320</t>
  </si>
  <si>
    <t>3545321</t>
  </si>
  <si>
    <t>3545322</t>
  </si>
  <si>
    <t>3645293</t>
  </si>
  <si>
    <t>3645296</t>
  </si>
  <si>
    <t>3645301</t>
  </si>
  <si>
    <t>3645302</t>
  </si>
  <si>
    <t>3645306</t>
  </si>
  <si>
    <t>3645307</t>
  </si>
  <si>
    <t>3645309</t>
  </si>
  <si>
    <t>3645313</t>
  </si>
  <si>
    <t>3645315</t>
  </si>
  <si>
    <t>3645316</t>
  </si>
  <si>
    <t>3645317</t>
  </si>
  <si>
    <t>3645320</t>
  </si>
  <si>
    <t>3645321</t>
  </si>
  <si>
    <t>3645322</t>
  </si>
  <si>
    <t>3745300</t>
  </si>
  <si>
    <t>3745302</t>
  </si>
  <si>
    <t>3745306</t>
  </si>
  <si>
    <t>3745307</t>
  </si>
  <si>
    <t>3745308</t>
  </si>
  <si>
    <t>3745309</t>
  </si>
  <si>
    <t>3745310</t>
  </si>
  <si>
    <t>3745313</t>
  </si>
  <si>
    <t>3745314</t>
  </si>
  <si>
    <t>3745315</t>
  </si>
  <si>
    <t>3745316</t>
  </si>
  <si>
    <t>3745317</t>
  </si>
  <si>
    <t>3745320</t>
  </si>
  <si>
    <t>3745321</t>
  </si>
  <si>
    <t>3745322</t>
  </si>
  <si>
    <t>3845293</t>
  </si>
  <si>
    <t>3845299</t>
  </si>
  <si>
    <t>3845300</t>
  </si>
  <si>
    <t>3845306</t>
  </si>
  <si>
    <t>3845307</t>
  </si>
  <si>
    <t>3845314</t>
  </si>
  <si>
    <t>3845317</t>
  </si>
  <si>
    <t>3845322</t>
  </si>
  <si>
    <t>3945293</t>
  </si>
  <si>
    <t>3945295</t>
  </si>
  <si>
    <t>3945300</t>
  </si>
  <si>
    <t>3945306</t>
  </si>
  <si>
    <t>3945307</t>
  </si>
  <si>
    <t>3945317</t>
  </si>
  <si>
    <t>3945322</t>
  </si>
  <si>
    <t>4045293</t>
  </si>
  <si>
    <t>4045300</t>
  </si>
  <si>
    <t>4045306</t>
  </si>
  <si>
    <t>4045313</t>
  </si>
  <si>
    <t>4045317</t>
  </si>
  <si>
    <t>4045322</t>
  </si>
  <si>
    <t>4145292</t>
  </si>
  <si>
    <t>4145293</t>
  </si>
  <si>
    <t>4145294</t>
  </si>
  <si>
    <t>4145306</t>
  </si>
  <si>
    <t>4145307</t>
  </si>
  <si>
    <t>4145317</t>
  </si>
  <si>
    <t>4145321</t>
  </si>
  <si>
    <t>4145322</t>
  </si>
  <si>
    <t>4245292</t>
  </si>
  <si>
    <t>4245293</t>
  </si>
  <si>
    <t>4245294</t>
  </si>
  <si>
    <t>4245295</t>
  </si>
  <si>
    <t>4245296</t>
  </si>
  <si>
    <t>4245299</t>
  </si>
  <si>
    <t>4245300</t>
  </si>
  <si>
    <t>4245301</t>
  </si>
  <si>
    <t>4245302</t>
  </si>
  <si>
    <t>4245303</t>
  </si>
  <si>
    <t>4245306</t>
  </si>
  <si>
    <t>4245307</t>
  </si>
  <si>
    <t>4245308</t>
  </si>
  <si>
    <t>4245309</t>
  </si>
  <si>
    <t>4245310</t>
  </si>
  <si>
    <t>4245313</t>
  </si>
  <si>
    <t>4245314</t>
  </si>
  <si>
    <t>4245315</t>
  </si>
  <si>
    <t>4245316</t>
  </si>
  <si>
    <t>4245317</t>
  </si>
  <si>
    <t>4245320</t>
  </si>
  <si>
    <t>4245321</t>
  </si>
  <si>
    <t>4245322</t>
  </si>
  <si>
    <t>4345292</t>
  </si>
  <si>
    <t>4345293</t>
  </si>
  <si>
    <t>4345294</t>
  </si>
  <si>
    <t>4345296</t>
  </si>
  <si>
    <t>4345301</t>
  </si>
  <si>
    <t>4345306</t>
  </si>
  <si>
    <t>4345307</t>
  </si>
  <si>
    <t>4345309</t>
  </si>
  <si>
    <t>4345313</t>
  </si>
  <si>
    <t>4345314</t>
  </si>
  <si>
    <t>4345315</t>
  </si>
  <si>
    <t>4345317</t>
  </si>
  <si>
    <t>4345320</t>
  </si>
  <si>
    <t>4345322</t>
  </si>
  <si>
    <t>4445292</t>
  </si>
  <si>
    <t>4445293</t>
  </si>
  <si>
    <t>4445294</t>
  </si>
  <si>
    <t>4445295</t>
  </si>
  <si>
    <t>4445296</t>
  </si>
  <si>
    <t>4445299</t>
  </si>
  <si>
    <t>4445300</t>
  </si>
  <si>
    <t>4445301</t>
  </si>
  <si>
    <t>4445302</t>
  </si>
  <si>
    <t>4445303</t>
  </si>
  <si>
    <t>4445306</t>
  </si>
  <si>
    <t>4445307</t>
  </si>
  <si>
    <t>4445308</t>
  </si>
  <si>
    <t>4445309</t>
  </si>
  <si>
    <t>4445310</t>
  </si>
  <si>
    <t>4445313</t>
  </si>
  <si>
    <t>4445314</t>
  </si>
  <si>
    <t>4445315</t>
  </si>
  <si>
    <t>4445316</t>
  </si>
  <si>
    <t>4445317</t>
  </si>
  <si>
    <t>4445320</t>
  </si>
  <si>
    <t>4445321</t>
  </si>
  <si>
    <t>4445322</t>
  </si>
  <si>
    <t>Syed Siraj</t>
  </si>
  <si>
    <t>joined</t>
  </si>
  <si>
    <t>Meeting with our farmer</t>
  </si>
  <si>
    <t>Father's Surgery</t>
  </si>
  <si>
    <t>fever</t>
  </si>
  <si>
    <t>Some Work</t>
  </si>
  <si>
    <t>Attend College function</t>
  </si>
  <si>
    <t>Sudden death in family</t>
  </si>
  <si>
    <t>Death of relative</t>
  </si>
  <si>
    <t>Some urgent work</t>
  </si>
  <si>
    <t>Food poisoning</t>
  </si>
  <si>
    <t>on business trip</t>
  </si>
  <si>
    <t>Have Flight</t>
  </si>
  <si>
    <t xml:space="preserve">slipped from the Activa on Thursday night </t>
  </si>
  <si>
    <t>Motor of our PG has malfunctioned</t>
  </si>
  <si>
    <t>Personal Work(going to hospital)</t>
  </si>
  <si>
    <t xml:space="preserve"> I am not able to come to the office </t>
  </si>
  <si>
    <t>I need to take my dad to the hospital</t>
  </si>
  <si>
    <t>Out of town for attending marriage function</t>
  </si>
  <si>
    <t xml:space="preserve">I  have to go for physiotherapy </t>
  </si>
  <si>
    <t xml:space="preserve">Need to go Outstation due to personal reasons.   </t>
  </si>
  <si>
    <t>Have Interview</t>
  </si>
  <si>
    <t xml:space="preserve">Need to visit the hospital for my mother's check </t>
  </si>
  <si>
    <t>Personal/Compensatory Off</t>
  </si>
  <si>
    <t>Medical checkup for my ongoing neck and head pain.</t>
  </si>
  <si>
    <t>to attend a family function</t>
  </si>
  <si>
    <t>Not well(back pain)</t>
  </si>
  <si>
    <t xml:space="preserve"> EMP ID</t>
  </si>
  <si>
    <t>LOP/ Leave</t>
  </si>
  <si>
    <t>7 Days of May 25 Working included in Apr 25 Salary</t>
  </si>
  <si>
    <t>CO Credited/ Sunday Working</t>
  </si>
  <si>
    <t>Going out of town for a family function</t>
  </si>
  <si>
    <t>urgent personal tasks</t>
  </si>
  <si>
    <t>I need to take my dad to the hospitalvy rain</t>
  </si>
  <si>
    <t>Upcoming CMA exam prep</t>
  </si>
  <si>
    <t>Pratik Gondhiya</t>
  </si>
  <si>
    <t>Rutul Shah</t>
  </si>
  <si>
    <t>Yash Chandra</t>
  </si>
  <si>
    <t>Vishwakarma Prince Dilip</t>
  </si>
  <si>
    <t>Purvi Vipul Patel</t>
  </si>
  <si>
    <t>Wife's grandfather passed away</t>
  </si>
  <si>
    <t>half CO credited</t>
  </si>
  <si>
    <t>Darshan with family</t>
  </si>
  <si>
    <t>Trip</t>
  </si>
  <si>
    <t>Consultation appointment with Orthopaedic Surgeon</t>
  </si>
  <si>
    <t>House Shifting</t>
  </si>
  <si>
    <t>Personal (Medical Emengency)</t>
  </si>
  <si>
    <t>Ghanchi Asfak Aiyubbhai</t>
  </si>
  <si>
    <t>working on PTW project since late night and from early.morning also</t>
  </si>
  <si>
    <t>Cousin's wedding</t>
  </si>
  <si>
    <t>Gayatri Baria Old</t>
  </si>
  <si>
    <t>Cold and Fever</t>
  </si>
  <si>
    <t>Back Pain</t>
  </si>
  <si>
    <t>Rana Heet Kiritbhai</t>
  </si>
  <si>
    <t>Suffering from fever since yesterday night.</t>
  </si>
  <si>
    <t>shifting to my new house</t>
  </si>
  <si>
    <t>Travelling out of town</t>
  </si>
  <si>
    <t>Fever</t>
  </si>
  <si>
    <t>Out of town for the Exam</t>
  </si>
  <si>
    <t>Brothers's wedding</t>
  </si>
  <si>
    <t>My Engagement Ceremony to make arrangements and for function</t>
  </si>
  <si>
    <t>Doctor's appointment</t>
  </si>
  <si>
    <t>go out of town to attend a family function</t>
  </si>
  <si>
    <t>family function scheduled in the evening</t>
  </si>
  <si>
    <t>Krisha Devang Shah</t>
  </si>
  <si>
    <t>Vaishyak Ujjawal</t>
  </si>
  <si>
    <t>Shobhit Devda</t>
  </si>
  <si>
    <t>CO Credited/Sunday</t>
  </si>
  <si>
    <t>Medical reason</t>
  </si>
  <si>
    <t xml:space="preserve">sudden moderate sprain in my left ankle </t>
  </si>
  <si>
    <t>out of town</t>
  </si>
  <si>
    <t>have a flight</t>
  </si>
  <si>
    <t>Ravi Kant Kashyap</t>
  </si>
  <si>
    <t>Health Checkup</t>
  </si>
  <si>
    <t>Family Emergency</t>
  </si>
  <si>
    <t>Personal emergency</t>
  </si>
  <si>
    <t>WFH(travelling to delhi for medical check up)</t>
  </si>
  <si>
    <t>WFH(Not well)</t>
  </si>
  <si>
    <t>Relative visiting me</t>
  </si>
  <si>
    <t>Moved to Kandhari Beverages</t>
  </si>
  <si>
    <t>Moved to Manish Bhai Qubeta Technologies</t>
  </si>
  <si>
    <t>Client Approved Sick Leave</t>
  </si>
  <si>
    <t>Medical work</t>
  </si>
  <si>
    <t xml:space="preserve"> will be going out of station for a family function.</t>
  </si>
  <si>
    <t>Going for trip</t>
  </si>
  <si>
    <t>Going out of town with family</t>
  </si>
  <si>
    <t>I need to travel to my hometown due to my grandmother's sudden illness</t>
  </si>
  <si>
    <t xml:space="preserve"> Experiencing viral symptoms for the past 2-3 days, and I don't feel really well.</t>
  </si>
  <si>
    <t xml:space="preserve"> I have a personal trip planned</t>
  </si>
  <si>
    <t>Aunty passed away</t>
  </si>
  <si>
    <t>Health not good</t>
  </si>
  <si>
    <t>Left for Higher Education</t>
  </si>
  <si>
    <t>Sister's Marriage</t>
  </si>
  <si>
    <t>Second Saturday working(RIL)</t>
  </si>
  <si>
    <t>Mother recently fractured her left shoulder</t>
  </si>
  <si>
    <t xml:space="preserve">Personal Emergency </t>
  </si>
  <si>
    <t>Due to some urgent personal work</t>
  </si>
  <si>
    <t xml:space="preserve"> I am not feeling well (I am having back pain)</t>
  </si>
  <si>
    <t>Terminated</t>
  </si>
  <si>
    <t>Office opening &amp; pooja</t>
  </si>
  <si>
    <t>Mahima Puchhairam Jaiswal</t>
  </si>
  <si>
    <t>Left without serving Notice Period</t>
  </si>
  <si>
    <t>Paternity Leave</t>
  </si>
  <si>
    <t>PTL</t>
  </si>
  <si>
    <t>MTL</t>
  </si>
  <si>
    <t>Wedding Anniversary</t>
  </si>
  <si>
    <t>WDA</t>
  </si>
  <si>
    <t>BDY</t>
  </si>
  <si>
    <t>I will go to Temple</t>
  </si>
  <si>
    <t xml:space="preserve">I need to travel home </t>
  </si>
  <si>
    <t xml:space="preserve"> Family Medical Emergency</t>
  </si>
  <si>
    <t>some personal commitments.</t>
  </si>
  <si>
    <t>I have sustained a foot injury (crack)</t>
  </si>
  <si>
    <t>Due to train delay I was unable to reach office on time</t>
  </si>
  <si>
    <t>Wife's health issue</t>
  </si>
  <si>
    <t>Medical Check up</t>
  </si>
  <si>
    <t>Health Issue &amp; My area is experiencing a power outage</t>
  </si>
  <si>
    <t>Due to my wife's health issues.</t>
  </si>
  <si>
    <t>Cold &amp; Cough</t>
  </si>
  <si>
    <t xml:space="preserve">Celebration of ganesh Chaturthi at home </t>
  </si>
  <si>
    <t>Ganesh visarjan at my home</t>
  </si>
  <si>
    <t>Birthday Leave</t>
  </si>
  <si>
    <t>Family Function ( Parna)</t>
  </si>
  <si>
    <t xml:space="preserve">Medical Emergency for Baby </t>
  </si>
  <si>
    <t xml:space="preserve"> lower back pain. </t>
  </si>
  <si>
    <t>On an occasion of Samvatsari. </t>
  </si>
  <si>
    <t>Ganpati Sthapna and Visarjan at home</t>
  </si>
  <si>
    <t>Had an accident</t>
  </si>
  <si>
    <t>Due to Personal Reasons</t>
  </si>
  <si>
    <t>Thakkar DhruveshKumar Bankimchandra</t>
  </si>
  <si>
    <t>Nischay Dalipkumar</t>
  </si>
  <si>
    <t>Maitri Naman Shah</t>
  </si>
  <si>
    <t>Mother's health issue</t>
  </si>
  <si>
    <t>Ganesh Visrajan</t>
  </si>
  <si>
    <t xml:space="preserve">Medical emergency in my family </t>
  </si>
  <si>
    <t>I will be traveling to Somnath</t>
  </si>
  <si>
    <t>Due to Sudden Fever</t>
  </si>
  <si>
    <t>I have a scheduled medical checkup related to my foot fracture</t>
  </si>
  <si>
    <t>Deepti Mahapatro</t>
  </si>
  <si>
    <t>202318023</t>
  </si>
  <si>
    <t>Have a show to do</t>
  </si>
  <si>
    <t>202421004</t>
  </si>
  <si>
    <t>Feeling Unwell</t>
  </si>
  <si>
    <t>202318028</t>
  </si>
  <si>
    <t>CO Credited/Sunday Working</t>
  </si>
  <si>
    <t>Due to my foot fracture and pain</t>
  </si>
  <si>
    <t>Unwell and family medical emergency </t>
  </si>
  <si>
    <t xml:space="preserve">Personal/Compensatory </t>
  </si>
  <si>
    <t>Need to attend function</t>
  </si>
  <si>
    <t>Foot Pain</t>
  </si>
  <si>
    <t>Out of Station</t>
  </si>
  <si>
    <t>Travelling to India</t>
  </si>
  <si>
    <t>CO Credited/Saturday Working</t>
  </si>
  <si>
    <t>Navratri Pooja</t>
  </si>
  <si>
    <t>Traveling to my hometown to attend Navratri Pooja with my family. </t>
  </si>
  <si>
    <t>Ashtami Puja at home.</t>
  </si>
  <si>
    <t>Ashutosh Bakshi</t>
  </si>
  <si>
    <t>I need to go out for some important shopping</t>
  </si>
  <si>
    <t>Dhruv Suthar</t>
  </si>
  <si>
    <t>Sahil Patel</t>
  </si>
  <si>
    <t>Room Shifting in PG</t>
  </si>
  <si>
    <t>Going Hometown</t>
  </si>
  <si>
    <t>Dayashankar Shaw</t>
  </si>
  <si>
    <t>Out of town to attend a family function</t>
  </si>
  <si>
    <t>Jaydeep Thakkar</t>
  </si>
  <si>
    <t>Sunday Working in order to meet an upcoming deadline</t>
  </si>
  <si>
    <t>Left in Probation Period</t>
  </si>
  <si>
    <t>Travelling to Native</t>
  </si>
  <si>
    <t xml:space="preserve"> My parents are visiting my home</t>
  </si>
  <si>
    <t>High fever &amp; Cold</t>
  </si>
  <si>
    <t>Medical Reason</t>
  </si>
  <si>
    <t>Medical issue at home</t>
  </si>
  <si>
    <t>Travel home for the Diwali festival</t>
  </si>
  <si>
    <t>Pending packing and a few last-minute purchases</t>
  </si>
  <si>
    <t>Travelling back to Kuwait</t>
  </si>
  <si>
    <t>Travelling to home</t>
  </si>
  <si>
    <t>Return to Ahmedabad</t>
  </si>
  <si>
    <t>My uncle's hospitalisation and a tragic incident</t>
  </si>
  <si>
    <t>Chhath Puja</t>
  </si>
  <si>
    <t>On Vacation</t>
  </si>
  <si>
    <t>Due to an unavoidable travel issue</t>
  </si>
  <si>
    <t>Electricity issue at my home. The repair work is currently in progress</t>
  </si>
  <si>
    <t>Due to HIPL Audit</t>
  </si>
  <si>
    <t>need to Visit my native for my uncle's post-funeral rituals</t>
  </si>
  <si>
    <t>I will be Travelling</t>
  </si>
  <si>
    <t xml:space="preserve">working on the Nash, Lenskart, and Britannia projects </t>
  </si>
  <si>
    <t>Medical Work</t>
  </si>
  <si>
    <t>Not feeling well</t>
  </si>
  <si>
    <t>202518043</t>
  </si>
  <si>
    <t>Travelling Back to Ahmedabad</t>
  </si>
  <si>
    <t>Going out of station to attent Family Function</t>
  </si>
  <si>
    <t xml:space="preserve">Compensatory Off </t>
  </si>
  <si>
    <t>Brother Not well</t>
  </si>
  <si>
    <t>SL to CL -Health Issue</t>
  </si>
  <si>
    <t>SL to CL -High fever &amp; Cold</t>
  </si>
  <si>
    <t>SL to CL -Not well</t>
  </si>
  <si>
    <t>SL to CL -Had an accident</t>
  </si>
  <si>
    <t>CO Credited - Holiday Working</t>
  </si>
  <si>
    <t>Going Out of Town</t>
  </si>
  <si>
    <t>I have a trip plan to Vietnam</t>
  </si>
  <si>
    <t>Viva and Exam at our University </t>
  </si>
  <si>
    <t>Brother Unwell-suffering with jaundice and bowel swelling</t>
  </si>
  <si>
    <t>CO Credited - Sunday Working</t>
  </si>
  <si>
    <t>I am going to Vapi/Valsad</t>
  </si>
  <si>
    <t>Offrole Manpower Left</t>
  </si>
  <si>
    <t>Yesterday train got delayed</t>
  </si>
  <si>
    <t>HIPL Audit</t>
  </si>
  <si>
    <t>Client Call</t>
  </si>
  <si>
    <t>Laptop was not working</t>
  </si>
  <si>
    <t>I have to Attend my college</t>
  </si>
  <si>
    <t>Lower back pain</t>
  </si>
  <si>
    <t>Pain in left shoulder</t>
  </si>
  <si>
    <t>Knee Pain</t>
  </si>
  <si>
    <t>had and accident &amp; Doctor has advised me to not drive</t>
  </si>
  <si>
    <t>Final Exam of MBA</t>
  </si>
  <si>
    <t>Working on Bigbasket Project</t>
  </si>
  <si>
    <t>Emergency problem</t>
  </si>
  <si>
    <t>Due to Exam</t>
  </si>
  <si>
    <t>Paternity leave</t>
  </si>
  <si>
    <t>Leave for my Wedding</t>
  </si>
  <si>
    <t>Because of an Eye problem</t>
  </si>
  <si>
    <t>Going to surat for Marriage function</t>
  </si>
  <si>
    <t>Relative Passed away</t>
  </si>
  <si>
    <t>I am traveling to Ayodha with family</t>
  </si>
  <si>
    <t>CO Credited ( Nivea Audit)</t>
  </si>
  <si>
    <t>202421005</t>
  </si>
  <si>
    <t>202421006</t>
  </si>
  <si>
    <t>202421007</t>
  </si>
  <si>
    <t>Family Wedding Function</t>
  </si>
  <si>
    <t>CO Credited (Sunday working)</t>
  </si>
  <si>
    <t>Moved to Per Audit Payment Basis</t>
  </si>
  <si>
    <t>Moved to Per Project Payment Basis</t>
  </si>
  <si>
    <t>left</t>
  </si>
  <si>
    <t>Family Ritual</t>
  </si>
  <si>
    <t>Bank Work</t>
  </si>
  <si>
    <t>Mother is unwell</t>
  </si>
  <si>
    <t>Going Outstation Due to Personal Reasons</t>
  </si>
  <si>
    <t>Going for a trip with friends</t>
  </si>
  <si>
    <t>Due to religious Reasons</t>
  </si>
  <si>
    <t>Traveling to Ayodha with family</t>
  </si>
  <si>
    <t>I needed to accompany my mother for her regular eye checkup</t>
  </si>
  <si>
    <t>202518044</t>
  </si>
  <si>
    <t>202518045</t>
  </si>
  <si>
    <t>202518046</t>
  </si>
  <si>
    <t>some health-related discomfort</t>
  </si>
  <si>
    <t>Planned leave(s) must be communicated and approved well in advance. (Birva)</t>
  </si>
  <si>
    <t xml:space="preserve">Due to some emergency </t>
  </si>
  <si>
    <t>I need to attend to some important documentation-related work.</t>
  </si>
  <si>
    <t>CO Credited (Saturday working)</t>
  </si>
  <si>
    <t>I've train in evening</t>
  </si>
  <si>
    <t>Executing Flat Hand-over Take-over process with the Builder</t>
  </si>
  <si>
    <t>Personal family Reason</t>
  </si>
  <si>
    <t>Yogesh Makvana</t>
  </si>
  <si>
    <t>Join</t>
  </si>
  <si>
    <t>left without informing</t>
  </si>
  <si>
    <t>Health is not in good condition</t>
  </si>
  <si>
    <t>Family Issue</t>
  </si>
  <si>
    <t>CO Credited/ Sunday Working - Zydus Audits</t>
  </si>
  <si>
    <t xml:space="preserve">Leave for my marriage Function </t>
  </si>
  <si>
    <t>CO Credited - Adani</t>
  </si>
  <si>
    <t>Documentation Work</t>
  </si>
  <si>
    <t>Due to ongoing project requirements and continuous engagement since morning</t>
  </si>
  <si>
    <t>Vivek jaiswal</t>
  </si>
  <si>
    <t>leave for my marriage</t>
  </si>
  <si>
    <t xml:space="preserve">CO Credited </t>
  </si>
  <si>
    <t>To attend a wedding</t>
  </si>
  <si>
    <t xml:space="preserve">Medical follow-up appointment </t>
  </si>
  <si>
    <t>Aarti's Marriage</t>
  </si>
  <si>
    <t>M.com Exam Leave</t>
  </si>
  <si>
    <t>My wife’s baby shower function</t>
  </si>
  <si>
    <t>Going to Hometown</t>
  </si>
  <si>
    <t>I am going to the hospital for my wife’s check-up</t>
  </si>
  <si>
    <t>because I had back to back 3 shows</t>
  </si>
  <si>
    <t>HCL- Personal Work</t>
  </si>
  <si>
    <t xml:space="preserve"> I will be out of the country for international travel</t>
  </si>
  <si>
    <t>Going on trip</t>
  </si>
  <si>
    <t>Marriage in Family</t>
  </si>
  <si>
    <t>due to some urgent work and travel commitments</t>
  </si>
  <si>
    <t>Official Visit to Lenskart Plant - Project Coordination</t>
  </si>
  <si>
    <t>Travelling to native with family for attending religious function</t>
  </si>
  <si>
    <t>Attend wedding functions</t>
  </si>
  <si>
    <t>Medical Emergency</t>
  </si>
  <si>
    <t>My cousin’s wedding</t>
  </si>
  <si>
    <t>Medical reason at home</t>
  </si>
  <si>
    <t>sabbatical leave/Due to health reason</t>
  </si>
  <si>
    <t>Eye Infection</t>
  </si>
  <si>
    <t>Going hometown</t>
  </si>
  <si>
    <t>Brother's Wedding</t>
  </si>
  <si>
    <t>MY  MARRIAGE CEREMONY</t>
  </si>
  <si>
    <t>University Exam</t>
  </si>
  <si>
    <t>Sripriya Venkataraman</t>
  </si>
  <si>
    <t>Harshad Khemani</t>
  </si>
  <si>
    <t>Aditya Shaileshbhai Gohel</t>
  </si>
  <si>
    <t>Makwana Prahar</t>
  </si>
  <si>
    <t>Alekhya K G S</t>
  </si>
  <si>
    <t>Inauguration ceremony of my father’s new office today</t>
  </si>
  <si>
    <t>Patel Savan Rajeshbhai</t>
  </si>
  <si>
    <t>Laptop not available</t>
  </si>
  <si>
    <t>Father's Operation</t>
  </si>
  <si>
    <t>Function</t>
  </si>
  <si>
    <t>Family Reason</t>
  </si>
  <si>
    <t>Need to take my mother to the hospital</t>
  </si>
  <si>
    <t>Sister's Wedding</t>
  </si>
  <si>
    <t xml:space="preserve">Have a show </t>
  </si>
  <si>
    <t xml:space="preserve">Leave to travel home due to personal reasons </t>
  </si>
  <si>
    <t>Emergency - Going Rajasthan</t>
  </si>
  <si>
    <t>Suhel Patel</t>
  </si>
  <si>
    <t>New Join</t>
  </si>
  <si>
    <t>Krishna Yellappa Poojary</t>
  </si>
  <si>
    <t>emergency</t>
  </si>
  <si>
    <t>Food stories hyderabad audit</t>
  </si>
  <si>
    <t>Friend not well</t>
  </si>
  <si>
    <t>Going to the temple</t>
  </si>
  <si>
    <t>Going Dwarka</t>
  </si>
  <si>
    <t>Second Saturday Working(Brittania)</t>
  </si>
  <si>
    <t>Sunday Working(Brittania)</t>
  </si>
  <si>
    <t>Second Saturday Working(Adani &amp; RIL)</t>
  </si>
  <si>
    <t>Medicak Check Up</t>
  </si>
  <si>
    <t>Death in my family</t>
  </si>
  <si>
    <t>Dentist visit</t>
  </si>
  <si>
    <t>Travelling hometown</t>
  </si>
  <si>
    <t>I have a family religious function to attend</t>
  </si>
  <si>
    <t>Renovation work at home</t>
  </si>
  <si>
    <t>Severe Headache and Nausea</t>
  </si>
  <si>
    <t>Leave for University Exam </t>
  </si>
  <si>
    <t>Marriage Function in Family</t>
  </si>
  <si>
    <t>I have a leg sprain</t>
  </si>
  <si>
    <t>Shifting of my house</t>
  </si>
  <si>
    <t>Left for further studies</t>
  </si>
  <si>
    <t>Aayushi Bhadreshbhai Panchasara</t>
  </si>
  <si>
    <t>Grandmother Passed away</t>
  </si>
  <si>
    <t>My wife's routine health checkup.</t>
  </si>
  <si>
    <t>Pregnancy loss and will need to take time off work to recover.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</si>
</sst>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;;;"/>
    <numFmt numFmtId="165" formatCode="mmmm\-yyyy"/>
    <numFmt numFmtId="166" formatCode="0.000000000000"/>
  </numFmts>
  <fonts count="56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indexed="8"/>
      <name val="Calibri"/>
      <family val="2"/>
      <scheme val="minor"/>
    </font>
    <font>
      <b/>
      <sz val="11"/>
      <color indexed="9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Tahoma"/>
      <family val="2"/>
    </font>
    <font>
      <b/>
      <sz val="10"/>
      <color theme="0"/>
      <name val="Arial"/>
      <family val="2"/>
    </font>
    <font>
      <b/>
      <sz val="11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14"/>
      <color theme="1"/>
      <name val="Calibri"/>
      <family val="2"/>
      <scheme val="minor"/>
    </font>
    <font>
      <sz val="9"/>
      <color theme="0"/>
      <name val="Tahoma"/>
      <family val="2"/>
    </font>
    <font>
      <sz val="11"/>
      <color theme="1"/>
      <name val="Calibri"/>
      <family val="2"/>
      <scheme val="minor"/>
    </font>
    <font>
      <sz val="12"/>
      <name val="宋体"/>
      <charset val="134"/>
    </font>
    <font>
      <b/>
      <sz val="15"/>
      <color indexed="56"/>
      <name val="맑은 고딕"/>
      <family val="2"/>
    </font>
    <font>
      <sz val="11"/>
      <color indexed="8"/>
      <name val="맑은 고딕"/>
      <family val="2"/>
    </font>
    <font>
      <b/>
      <sz val="11"/>
      <color indexed="63"/>
      <name val="맑은 고딕"/>
      <family val="2"/>
    </font>
    <font>
      <sz val="11"/>
      <color indexed="9"/>
      <name val="맑은 고딕"/>
      <family val="2"/>
    </font>
    <font>
      <sz val="11"/>
      <color indexed="8"/>
      <name val="宋体"/>
      <charset val="134"/>
    </font>
    <font>
      <sz val="11"/>
      <color indexed="9"/>
      <name val="宋体"/>
      <charset val="134"/>
    </font>
    <font>
      <b/>
      <sz val="18"/>
      <color indexed="56"/>
      <name val="宋体"/>
      <charset val="134"/>
    </font>
    <font>
      <b/>
      <sz val="15"/>
      <color indexed="56"/>
      <name val="宋体"/>
      <charset val="134"/>
    </font>
    <font>
      <b/>
      <sz val="13"/>
      <color indexed="56"/>
      <name val="宋体"/>
      <charset val="134"/>
    </font>
    <font>
      <b/>
      <sz val="11"/>
      <color indexed="56"/>
      <name val="宋体"/>
      <charset val="134"/>
    </font>
    <font>
      <sz val="11"/>
      <color indexed="20"/>
      <name val="宋体"/>
      <charset val="134"/>
    </font>
    <font>
      <sz val="11"/>
      <color indexed="17"/>
      <name val="宋体"/>
      <charset val="134"/>
    </font>
    <font>
      <b/>
      <sz val="11"/>
      <color indexed="8"/>
      <name val="宋体"/>
      <charset val="134"/>
    </font>
    <font>
      <b/>
      <sz val="11"/>
      <color indexed="52"/>
      <name val="宋体"/>
      <charset val="134"/>
    </font>
    <font>
      <b/>
      <sz val="11"/>
      <color indexed="9"/>
      <name val="宋体"/>
      <charset val="134"/>
    </font>
    <font>
      <i/>
      <sz val="11"/>
      <color indexed="23"/>
      <name val="宋体"/>
      <charset val="134"/>
    </font>
    <font>
      <sz val="11"/>
      <color indexed="10"/>
      <name val="宋体"/>
      <charset val="134"/>
    </font>
    <font>
      <sz val="11"/>
      <color indexed="52"/>
      <name val="宋体"/>
      <charset val="134"/>
    </font>
    <font>
      <sz val="11"/>
      <color indexed="60"/>
      <name val="宋体"/>
      <charset val="134"/>
    </font>
    <font>
      <b/>
      <sz val="11"/>
      <color indexed="63"/>
      <name val="宋体"/>
      <charset val="134"/>
    </font>
    <font>
      <sz val="11"/>
      <color indexed="62"/>
      <name val="宋体"/>
      <charset val="134"/>
    </font>
    <font>
      <sz val="11"/>
      <name val="Calibri"/>
      <family val="2"/>
      <scheme val="minor"/>
    </font>
    <font>
      <sz val="10"/>
      <name val="Calibri"/>
      <family val="2"/>
      <scheme val="minor"/>
    </font>
    <font>
      <sz val="12"/>
      <name val="Arial"/>
      <family val="2"/>
    </font>
    <font>
      <u/>
      <sz val="11"/>
      <color theme="10"/>
      <name val="Calibri"/>
      <family val="2"/>
      <scheme val="minor"/>
    </font>
    <font>
      <sz val="22"/>
      <color theme="4" tint="0.79998168889431442"/>
      <name val="Segoe UI"/>
      <family val="2"/>
    </font>
    <font>
      <sz val="22"/>
      <color theme="7" tint="0.59999389629810485"/>
      <name val="Segoe UI"/>
      <family val="2"/>
    </font>
    <font>
      <sz val="11"/>
      <name val="Arial"/>
      <family val="2"/>
    </font>
    <font>
      <sz val="22"/>
      <color theme="9" tint="0.79998168889431442"/>
      <name val="Segoe UI"/>
      <family val="2"/>
    </font>
    <font>
      <sz val="8"/>
      <name val="Calibri"/>
      <family val="2"/>
      <scheme val="minor"/>
    </font>
    <font>
      <sz val="10"/>
      <color rgb="FF222222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000000"/>
      <name val="Calibri"/>
      <family val="2"/>
    </font>
    <font>
      <sz val="11"/>
      <color rgb="FF222222"/>
      <name val="Calibri"/>
      <family val="2"/>
      <scheme val="minor"/>
    </font>
    <font>
      <sz val="11"/>
      <color theme="1"/>
      <name val="Calibri"/>
      <family val="2"/>
    </font>
    <font>
      <sz val="10"/>
      <color rgb="FF000000"/>
      <name val="Calibri"/>
      <family val="2"/>
    </font>
    <font>
      <sz val="11"/>
      <color rgb="FF000000"/>
      <name val="Calibri"/>
      <family val="2"/>
    </font>
    <font>
      <sz val="10"/>
      <color rgb="FF000000"/>
      <name val="Aptos"/>
      <family val="2"/>
    </font>
    <font>
      <sz val="11"/>
      <color rgb="FF000000"/>
      <name val="Calibri"/>
      <family val="2"/>
      <scheme val="minor"/>
    </font>
  </fonts>
  <fills count="42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4.9989318521683403E-2"/>
        <bgColor indexed="64"/>
      </patternFill>
    </fill>
    <fill>
      <gradientFill degree="90">
        <stop position="0">
          <color theme="9"/>
        </stop>
        <stop position="1">
          <color theme="9" tint="-0.25098422193060094"/>
        </stop>
      </gradientFill>
    </fill>
    <fill>
      <gradientFill degree="270">
        <stop position="0">
          <color theme="7"/>
        </stop>
        <stop position="1">
          <color theme="7" tint="0.59999389629810485"/>
        </stop>
      </gradient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9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FF"/>
        <bgColor indexed="64"/>
      </patternFill>
    </fill>
  </fills>
  <borders count="40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theme="0" tint="-0.14996795556505021"/>
      </left>
      <right style="double">
        <color theme="0" tint="-0.14996795556505021"/>
      </right>
      <top style="double">
        <color theme="0" tint="-0.14996795556505021"/>
      </top>
      <bottom style="double">
        <color theme="0" tint="-0.14996795556505021"/>
      </bottom>
      <diagonal/>
    </border>
    <border>
      <left/>
      <right/>
      <top/>
      <bottom style="double">
        <color theme="0" tint="-0.14996795556505021"/>
      </bottom>
      <diagonal/>
    </border>
    <border>
      <left style="double">
        <color theme="0" tint="-0.499984740745262"/>
      </left>
      <right style="double">
        <color theme="0" tint="-0.499984740745262"/>
      </right>
      <top style="double">
        <color theme="0" tint="-0.499984740745262"/>
      </top>
      <bottom style="double">
        <color theme="0" tint="-0.499984740745262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double">
        <color theme="0" tint="-0.14996795556505021"/>
      </left>
      <right style="medium">
        <color indexed="64"/>
      </right>
      <top style="double">
        <color theme="0" tint="-0.14996795556505021"/>
      </top>
      <bottom style="double">
        <color theme="0" tint="-0.14996795556505021"/>
      </bottom>
      <diagonal/>
    </border>
    <border>
      <left style="medium">
        <color indexed="64"/>
      </left>
      <right/>
      <top/>
      <bottom style="double">
        <color theme="0" tint="-0.14996795556505021"/>
      </bottom>
      <diagonal/>
    </border>
    <border>
      <left style="double">
        <color theme="0" tint="-0.14996795556505021"/>
      </left>
      <right style="double">
        <color theme="0" tint="-0.14996795556505021"/>
      </right>
      <top style="double">
        <color theme="0" tint="-0.14996795556505021"/>
      </top>
      <bottom style="medium">
        <color indexed="64"/>
      </bottom>
      <diagonal/>
    </border>
    <border>
      <left style="double">
        <color theme="0" tint="-0.14996795556505021"/>
      </left>
      <right/>
      <top style="double">
        <color theme="0" tint="-0.14996795556505021"/>
      </top>
      <bottom style="double">
        <color theme="0" tint="-0.14996795556505021"/>
      </bottom>
      <diagonal/>
    </border>
    <border>
      <left style="double">
        <color theme="0" tint="-0.14996795556505021"/>
      </left>
      <right/>
      <top style="double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A9D08E"/>
      </right>
      <top style="thin">
        <color rgb="FFA9D08E"/>
      </top>
      <bottom style="thin">
        <color rgb="FFA9D08E"/>
      </bottom>
      <diagonal/>
    </border>
  </borders>
  <cellStyleXfs count="50">
    <xf numFmtId="0" fontId="0" fillId="0" borderId="0"/>
    <xf numFmtId="0" fontId="16" fillId="0" borderId="0">
      <alignment vertical="center"/>
    </xf>
    <xf numFmtId="0" fontId="18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15" applyNumberFormat="0" applyFill="0" applyAlignment="0" applyProtection="0">
      <alignment vertical="center"/>
    </xf>
    <xf numFmtId="0" fontId="25" fillId="0" borderId="16" applyNumberFormat="0" applyFill="0" applyAlignment="0" applyProtection="0">
      <alignment vertical="center"/>
    </xf>
    <xf numFmtId="0" fontId="26" fillId="0" borderId="17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9" fillId="0" borderId="18" applyNumberFormat="0" applyFill="0" applyAlignment="0" applyProtection="0">
      <alignment vertical="center"/>
    </xf>
    <xf numFmtId="0" fontId="30" fillId="32" borderId="19" applyNumberFormat="0" applyAlignment="0" applyProtection="0">
      <alignment vertical="center"/>
    </xf>
    <xf numFmtId="0" fontId="31" fillId="33" borderId="20" applyNumberFormat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0" borderId="21" applyNumberFormat="0" applyFill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6" fillId="32" borderId="22" applyNumberFormat="0" applyAlignment="0" applyProtection="0">
      <alignment vertical="center"/>
    </xf>
    <xf numFmtId="0" fontId="37" fillId="21" borderId="19" applyNumberFormat="0" applyAlignment="0" applyProtection="0">
      <alignment vertical="center"/>
    </xf>
    <xf numFmtId="0" fontId="16" fillId="37" borderId="1" applyNumberFormat="0" applyFont="0" applyAlignment="0" applyProtection="0">
      <alignment vertical="center"/>
    </xf>
    <xf numFmtId="0" fontId="17" fillId="0" borderId="15" applyNumberFormat="0" applyFill="0" applyAlignment="0" applyProtection="0">
      <alignment vertical="center"/>
    </xf>
    <xf numFmtId="0" fontId="19" fillId="32" borderId="22" applyNumberFormat="0" applyAlignment="0" applyProtection="0">
      <alignment vertical="center"/>
    </xf>
    <xf numFmtId="0" fontId="41" fillId="0" borderId="0" applyNumberFormat="0" applyFill="0" applyBorder="0" applyAlignment="0" applyProtection="0"/>
  </cellStyleXfs>
  <cellXfs count="143">
    <xf numFmtId="0" fontId="0" fillId="0" borderId="0" xfId="0"/>
    <xf numFmtId="0" fontId="3" fillId="8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15" fontId="0" fillId="0" borderId="0" xfId="0" applyNumberFormat="1" applyAlignment="1">
      <alignment horizontal="center" vertical="center"/>
    </xf>
    <xf numFmtId="0" fontId="1" fillId="0" borderId="0" xfId="0" applyFont="1" applyProtection="1">
      <protection hidden="1"/>
    </xf>
    <xf numFmtId="0" fontId="5" fillId="0" borderId="0" xfId="0" applyFont="1" applyAlignment="1" applyProtection="1">
      <alignment horizontal="right"/>
      <protection hidden="1"/>
    </xf>
    <xf numFmtId="164" fontId="1" fillId="0" borderId="0" xfId="0" applyNumberFormat="1" applyFont="1" applyProtection="1">
      <protection hidden="1"/>
    </xf>
    <xf numFmtId="0" fontId="10" fillId="11" borderId="2" xfId="0" applyFont="1" applyFill="1" applyBorder="1" applyAlignment="1" applyProtection="1">
      <alignment horizontal="center" vertical="center"/>
      <protection hidden="1"/>
    </xf>
    <xf numFmtId="0" fontId="10" fillId="10" borderId="2" xfId="0" applyFont="1" applyFill="1" applyBorder="1" applyAlignment="1" applyProtection="1">
      <alignment horizontal="center" vertical="center"/>
      <protection hidden="1"/>
    </xf>
    <xf numFmtId="16" fontId="7" fillId="7" borderId="2" xfId="0" applyNumberFormat="1" applyFont="1" applyFill="1" applyBorder="1" applyAlignment="1" applyProtection="1">
      <alignment horizontal="center" vertical="center" wrapText="1"/>
      <protection hidden="1"/>
    </xf>
    <xf numFmtId="16" fontId="8" fillId="9" borderId="2" xfId="0" applyNumberFormat="1" applyFont="1" applyFill="1" applyBorder="1" applyAlignment="1" applyProtection="1">
      <alignment horizontal="center" vertical="center"/>
      <protection hidden="1"/>
    </xf>
    <xf numFmtId="0" fontId="6" fillId="0" borderId="2" xfId="0" applyFont="1" applyBorder="1" applyAlignment="1" applyProtection="1">
      <alignment horizontal="center" vertical="center"/>
      <protection hidden="1"/>
    </xf>
    <xf numFmtId="0" fontId="6" fillId="4" borderId="2" xfId="0" applyFont="1" applyFill="1" applyBorder="1" applyAlignment="1" applyProtection="1">
      <alignment horizontal="center" vertical="center"/>
      <protection hidden="1"/>
    </xf>
    <xf numFmtId="0" fontId="6" fillId="6" borderId="2" xfId="0" applyFont="1" applyFill="1" applyBorder="1" applyAlignment="1" applyProtection="1">
      <alignment horizontal="center" vertical="center"/>
      <protection hidden="1"/>
    </xf>
    <xf numFmtId="0" fontId="6" fillId="0" borderId="0" xfId="0" applyFont="1" applyProtection="1">
      <protection hidden="1"/>
    </xf>
    <xf numFmtId="164" fontId="1" fillId="0" borderId="0" xfId="0" applyNumberFormat="1" applyFont="1" applyProtection="1">
      <protection locked="0" hidden="1"/>
    </xf>
    <xf numFmtId="165" fontId="2" fillId="0" borderId="1" xfId="0" applyNumberFormat="1" applyFont="1" applyBorder="1" applyAlignment="1">
      <alignment horizontal="center" vertical="center"/>
    </xf>
    <xf numFmtId="0" fontId="11" fillId="0" borderId="0" xfId="0" applyFont="1" applyAlignment="1">
      <alignment horizontal="right" vertical="center"/>
    </xf>
    <xf numFmtId="0" fontId="12" fillId="0" borderId="2" xfId="0" applyFont="1" applyBorder="1" applyAlignment="1" applyProtection="1">
      <alignment horizontal="center" vertical="center"/>
      <protection hidden="1"/>
    </xf>
    <xf numFmtId="15" fontId="13" fillId="13" borderId="4" xfId="0" applyNumberFormat="1" applyFont="1" applyFill="1" applyBorder="1" applyAlignment="1" applyProtection="1">
      <alignment horizontal="center" vertical="center"/>
      <protection locked="0" hidden="1"/>
    </xf>
    <xf numFmtId="0" fontId="10" fillId="10" borderId="9" xfId="0" applyFont="1" applyFill="1" applyBorder="1" applyAlignment="1" applyProtection="1">
      <alignment horizontal="center" vertical="center"/>
      <protection hidden="1"/>
    </xf>
    <xf numFmtId="0" fontId="12" fillId="6" borderId="9" xfId="0" applyFont="1" applyFill="1" applyBorder="1" applyAlignment="1" applyProtection="1">
      <alignment horizontal="center" vertical="center"/>
      <protection hidden="1"/>
    </xf>
    <xf numFmtId="0" fontId="12" fillId="0" borderId="11" xfId="0" applyFont="1" applyBorder="1" applyAlignment="1" applyProtection="1">
      <alignment horizontal="center" vertical="center"/>
      <protection hidden="1"/>
    </xf>
    <xf numFmtId="16" fontId="14" fillId="14" borderId="2" xfId="0" applyNumberFormat="1" applyFont="1" applyFill="1" applyBorder="1" applyAlignment="1" applyProtection="1">
      <alignment horizontal="center" textRotation="90"/>
      <protection hidden="1"/>
    </xf>
    <xf numFmtId="16" fontId="9" fillId="15" borderId="2" xfId="0" applyNumberFormat="1" applyFont="1" applyFill="1" applyBorder="1" applyAlignment="1" applyProtection="1">
      <alignment horizontal="center" textRotation="90"/>
      <protection hidden="1"/>
    </xf>
    <xf numFmtId="0" fontId="10" fillId="11" borderId="12" xfId="0" applyFont="1" applyFill="1" applyBorder="1" applyAlignment="1" applyProtection="1">
      <alignment horizontal="center" vertical="center"/>
      <protection hidden="1"/>
    </xf>
    <xf numFmtId="16" fontId="7" fillId="7" borderId="12" xfId="0" applyNumberFormat="1" applyFont="1" applyFill="1" applyBorder="1" applyAlignment="1" applyProtection="1">
      <alignment horizontal="center" vertical="center" wrapText="1"/>
      <protection hidden="1"/>
    </xf>
    <xf numFmtId="16" fontId="8" fillId="9" borderId="12" xfId="0" applyNumberFormat="1" applyFont="1" applyFill="1" applyBorder="1" applyAlignment="1" applyProtection="1">
      <alignment horizontal="center" vertical="center"/>
      <protection hidden="1"/>
    </xf>
    <xf numFmtId="0" fontId="12" fillId="0" borderId="12" xfId="0" applyFont="1" applyBorder="1" applyAlignment="1" applyProtection="1">
      <alignment horizontal="center" vertical="center"/>
      <protection hidden="1"/>
    </xf>
    <xf numFmtId="0" fontId="12" fillId="0" borderId="13" xfId="0" applyFont="1" applyBorder="1" applyAlignment="1" applyProtection="1">
      <alignment horizontal="center" vertical="center"/>
      <protection hidden="1"/>
    </xf>
    <xf numFmtId="0" fontId="2" fillId="0" borderId="14" xfId="0" applyFont="1" applyBorder="1" applyAlignment="1">
      <alignment horizontal="center" vertical="center"/>
    </xf>
    <xf numFmtId="0" fontId="3" fillId="8" borderId="14" xfId="0" applyFont="1" applyFill="1" applyBorder="1" applyAlignment="1">
      <alignment horizontal="center" vertical="center"/>
    </xf>
    <xf numFmtId="0" fontId="0" fillId="0" borderId="14" xfId="0" applyBorder="1"/>
    <xf numFmtId="0" fontId="15" fillId="0" borderId="0" xfId="0" applyFont="1"/>
    <xf numFmtId="0" fontId="38" fillId="0" borderId="23" xfId="1" applyFont="1" applyBorder="1">
      <alignment vertical="center"/>
    </xf>
    <xf numFmtId="0" fontId="39" fillId="38" borderId="14" xfId="2" applyFont="1" applyFill="1" applyBorder="1" applyAlignment="1" applyProtection="1">
      <alignment vertical="center"/>
    </xf>
    <xf numFmtId="0" fontId="39" fillId="38" borderId="14" xfId="2" applyFont="1" applyFill="1" applyBorder="1" applyAlignment="1" applyProtection="1">
      <alignment vertical="center" wrapText="1"/>
    </xf>
    <xf numFmtId="0" fontId="39" fillId="38" borderId="14" xfId="22" applyFont="1" applyFill="1" applyBorder="1" applyAlignment="1" applyProtection="1">
      <alignment horizontal="center" vertical="center"/>
    </xf>
    <xf numFmtId="0" fontId="39" fillId="38" borderId="14" xfId="21" applyFont="1" applyFill="1" applyBorder="1" applyAlignment="1" applyProtection="1">
      <alignment horizontal="center" vertical="center"/>
    </xf>
    <xf numFmtId="0" fontId="39" fillId="0" borderId="14" xfId="0" applyFont="1" applyBorder="1" applyAlignment="1">
      <alignment vertical="center"/>
    </xf>
    <xf numFmtId="0" fontId="39" fillId="0" borderId="14" xfId="0" applyFont="1" applyBorder="1" applyAlignment="1">
      <alignment vertical="center" wrapText="1"/>
    </xf>
    <xf numFmtId="14" fontId="39" fillId="0" borderId="14" xfId="0" applyNumberFormat="1" applyFont="1" applyBorder="1" applyAlignment="1">
      <alignment vertical="center"/>
    </xf>
    <xf numFmtId="20" fontId="39" fillId="0" borderId="14" xfId="0" applyNumberFormat="1" applyFont="1" applyBorder="1" applyAlignment="1">
      <alignment vertical="center"/>
    </xf>
    <xf numFmtId="0" fontId="40" fillId="0" borderId="23" xfId="0" applyFont="1" applyBorder="1" applyAlignment="1">
      <alignment vertical="center"/>
    </xf>
    <xf numFmtId="0" fontId="40" fillId="0" borderId="23" xfId="0" applyFont="1" applyBorder="1" applyAlignment="1">
      <alignment vertical="center" wrapText="1"/>
    </xf>
    <xf numFmtId="14" fontId="40" fillId="0" borderId="23" xfId="0" applyNumberFormat="1" applyFont="1" applyBorder="1" applyAlignment="1">
      <alignment vertical="center"/>
    </xf>
    <xf numFmtId="20" fontId="40" fillId="0" borderId="23" xfId="0" applyNumberFormat="1" applyFont="1" applyBorder="1" applyAlignment="1">
      <alignment vertical="center"/>
    </xf>
    <xf numFmtId="0" fontId="0" fillId="0" borderId="0" xfId="0" applyAlignment="1">
      <alignment vertical="center"/>
    </xf>
    <xf numFmtId="0" fontId="39" fillId="38" borderId="24" xfId="2" applyFont="1" applyFill="1" applyBorder="1" applyAlignment="1" applyProtection="1">
      <alignment vertical="center"/>
    </xf>
    <xf numFmtId="0" fontId="39" fillId="38" borderId="24" xfId="2" applyFont="1" applyFill="1" applyBorder="1" applyAlignment="1" applyProtection="1">
      <alignment vertical="center" wrapText="1"/>
    </xf>
    <xf numFmtId="0" fontId="42" fillId="2" borderId="0" xfId="0" applyFont="1" applyFill="1" applyAlignment="1">
      <alignment horizontal="centerContinuous"/>
    </xf>
    <xf numFmtId="0" fontId="43" fillId="39" borderId="0" xfId="0" applyFont="1" applyFill="1" applyAlignment="1">
      <alignment horizontal="centerContinuous"/>
    </xf>
    <xf numFmtId="0" fontId="39" fillId="38" borderId="25" xfId="2" applyFont="1" applyFill="1" applyBorder="1" applyAlignment="1" applyProtection="1">
      <alignment vertical="center"/>
    </xf>
    <xf numFmtId="0" fontId="39" fillId="38" borderId="25" xfId="2" applyFont="1" applyFill="1" applyBorder="1" applyAlignment="1" applyProtection="1">
      <alignment vertical="center" wrapText="1"/>
    </xf>
    <xf numFmtId="0" fontId="44" fillId="0" borderId="26" xfId="49" applyFont="1" applyFill="1" applyBorder="1" applyAlignment="1" applyProtection="1">
      <alignment horizontal="left" vertical="center"/>
    </xf>
    <xf numFmtId="0" fontId="0" fillId="0" borderId="27" xfId="0" applyBorder="1"/>
    <xf numFmtId="0" fontId="11" fillId="0" borderId="28" xfId="0" applyFont="1" applyBorder="1"/>
    <xf numFmtId="0" fontId="11" fillId="0" borderId="24" xfId="0" applyFont="1" applyBorder="1"/>
    <xf numFmtId="0" fontId="11" fillId="0" borderId="29" xfId="0" applyFont="1" applyBorder="1"/>
    <xf numFmtId="0" fontId="44" fillId="0" borderId="30" xfId="49" applyFont="1" applyFill="1" applyBorder="1" applyAlignment="1" applyProtection="1">
      <alignment horizontal="left" vertical="center"/>
    </xf>
    <xf numFmtId="0" fontId="0" fillId="0" borderId="31" xfId="0" applyBorder="1"/>
    <xf numFmtId="0" fontId="0" fillId="0" borderId="32" xfId="0" applyBorder="1"/>
    <xf numFmtId="0" fontId="40" fillId="0" borderId="0" xfId="0" applyFont="1" applyAlignment="1">
      <alignment vertical="center" wrapText="1"/>
    </xf>
    <xf numFmtId="14" fontId="40" fillId="0" borderId="0" xfId="0" applyNumberFormat="1" applyFont="1" applyAlignment="1">
      <alignment vertical="center"/>
    </xf>
    <xf numFmtId="20" fontId="40" fillId="0" borderId="0" xfId="0" applyNumberFormat="1" applyFont="1" applyAlignment="1">
      <alignment vertical="center"/>
    </xf>
    <xf numFmtId="0" fontId="40" fillId="0" borderId="0" xfId="0" applyFont="1" applyAlignment="1">
      <alignment vertical="center"/>
    </xf>
    <xf numFmtId="0" fontId="45" fillId="40" borderId="0" xfId="0" applyFont="1" applyFill="1" applyAlignment="1">
      <alignment horizontal="centerContinuous"/>
    </xf>
    <xf numFmtId="0" fontId="45" fillId="0" borderId="0" xfId="0" applyFont="1" applyAlignment="1">
      <alignment horizontal="centerContinuous"/>
    </xf>
    <xf numFmtId="2" fontId="40" fillId="0" borderId="0" xfId="0" applyNumberFormat="1" applyFont="1" applyAlignment="1">
      <alignment vertical="center"/>
    </xf>
    <xf numFmtId="166" fontId="40" fillId="0" borderId="0" xfId="0" applyNumberFormat="1" applyFont="1" applyAlignment="1">
      <alignment vertical="center"/>
    </xf>
    <xf numFmtId="0" fontId="0" fillId="0" borderId="25" xfId="0" applyBorder="1"/>
    <xf numFmtId="14" fontId="0" fillId="0" borderId="0" xfId="0" applyNumberFormat="1"/>
    <xf numFmtId="16" fontId="7" fillId="5" borderId="2" xfId="0" applyNumberFormat="1" applyFont="1" applyFill="1" applyBorder="1" applyAlignment="1" applyProtection="1">
      <alignment horizontal="center" vertical="center"/>
      <protection hidden="1"/>
    </xf>
    <xf numFmtId="0" fontId="4" fillId="2" borderId="0" xfId="0" applyFont="1" applyFill="1" applyAlignment="1" applyProtection="1">
      <alignment horizontal="centerContinuous" vertical="center"/>
      <protection hidden="1"/>
    </xf>
    <xf numFmtId="0" fontId="4" fillId="2" borderId="6" xfId="0" applyFont="1" applyFill="1" applyBorder="1" applyAlignment="1" applyProtection="1">
      <alignment horizontal="centerContinuous" vertical="center"/>
      <protection hidden="1"/>
    </xf>
    <xf numFmtId="0" fontId="4" fillId="2" borderId="7" xfId="0" applyFont="1" applyFill="1" applyBorder="1" applyAlignment="1" applyProtection="1">
      <alignment horizontal="centerContinuous" vertical="center"/>
      <protection hidden="1"/>
    </xf>
    <xf numFmtId="2" fontId="12" fillId="0" borderId="12" xfId="0" applyNumberFormat="1" applyFont="1" applyBorder="1" applyAlignment="1" applyProtection="1">
      <alignment horizontal="center" vertical="center"/>
      <protection hidden="1"/>
    </xf>
    <xf numFmtId="15" fontId="7" fillId="3" borderId="14" xfId="0" applyNumberFormat="1" applyFont="1" applyFill="1" applyBorder="1" applyAlignment="1">
      <alignment horizontal="center" vertical="center"/>
    </xf>
    <xf numFmtId="0" fontId="7" fillId="3" borderId="14" xfId="0" applyFont="1" applyFill="1" applyBorder="1" applyAlignment="1">
      <alignment horizontal="center" vertical="center"/>
    </xf>
    <xf numFmtId="0" fontId="1" fillId="0" borderId="14" xfId="0" applyFont="1" applyBorder="1" applyAlignment="1">
      <alignment horizontal="center"/>
    </xf>
    <xf numFmtId="15" fontId="1" fillId="0" borderId="14" xfId="0" applyNumberFormat="1" applyFont="1" applyBorder="1" applyAlignment="1">
      <alignment horizontal="center"/>
    </xf>
    <xf numFmtId="0" fontId="7" fillId="12" borderId="0" xfId="0" applyFont="1" applyFill="1" applyAlignment="1">
      <alignment horizontal="center" vertical="center"/>
    </xf>
    <xf numFmtId="0" fontId="7" fillId="3" borderId="0" xfId="0" applyFont="1" applyFill="1" applyAlignment="1">
      <alignment horizontal="center" vertical="center"/>
    </xf>
    <xf numFmtId="15" fontId="7" fillId="3" borderId="0" xfId="0" applyNumberFormat="1" applyFont="1" applyFill="1" applyAlignment="1">
      <alignment horizontal="center" vertical="center"/>
    </xf>
    <xf numFmtId="14" fontId="39" fillId="0" borderId="14" xfId="0" applyNumberFormat="1" applyFont="1" applyBorder="1" applyAlignment="1">
      <alignment horizontal="center"/>
    </xf>
    <xf numFmtId="0" fontId="39" fillId="0" borderId="14" xfId="0" quotePrefix="1" applyFont="1" applyBorder="1" applyAlignment="1">
      <alignment horizontal="center"/>
    </xf>
    <xf numFmtId="0" fontId="39" fillId="0" borderId="14" xfId="0" applyFont="1" applyBorder="1" applyAlignment="1">
      <alignment horizontal="center"/>
    </xf>
    <xf numFmtId="15" fontId="39" fillId="0" borderId="14" xfId="0" applyNumberFormat="1" applyFont="1" applyBorder="1" applyAlignment="1">
      <alignment horizontal="center"/>
    </xf>
    <xf numFmtId="0" fontId="39" fillId="0" borderId="14" xfId="1" applyFont="1" applyBorder="1" applyAlignment="1">
      <alignment horizontal="center" vertical="center"/>
    </xf>
    <xf numFmtId="0" fontId="1" fillId="0" borderId="14" xfId="0" quotePrefix="1" applyFont="1" applyBorder="1" applyAlignment="1">
      <alignment horizontal="center"/>
    </xf>
    <xf numFmtId="0" fontId="47" fillId="0" borderId="14" xfId="0" applyFont="1" applyBorder="1" applyAlignment="1">
      <alignment horizontal="center"/>
    </xf>
    <xf numFmtId="0" fontId="1" fillId="0" borderId="0" xfId="0" applyFont="1"/>
    <xf numFmtId="0" fontId="48" fillId="0" borderId="14" xfId="0" applyFont="1" applyBorder="1" applyAlignment="1">
      <alignment horizontal="center"/>
    </xf>
    <xf numFmtId="0" fontId="38" fillId="0" borderId="33" xfId="1" applyFont="1" applyBorder="1">
      <alignment vertical="center"/>
    </xf>
    <xf numFmtId="0" fontId="38" fillId="0" borderId="34" xfId="1" applyFont="1" applyBorder="1">
      <alignment vertical="center"/>
    </xf>
    <xf numFmtId="0" fontId="0" fillId="0" borderId="14" xfId="0" applyBorder="1" applyProtection="1">
      <protection hidden="1"/>
    </xf>
    <xf numFmtId="0" fontId="0" fillId="0" borderId="0" xfId="0" applyProtection="1">
      <protection hidden="1"/>
    </xf>
    <xf numFmtId="0" fontId="39" fillId="0" borderId="23" xfId="1" applyFont="1" applyBorder="1" applyAlignment="1">
      <alignment horizontal="center" vertical="center"/>
    </xf>
    <xf numFmtId="0" fontId="49" fillId="41" borderId="28" xfId="0" applyFont="1" applyFill="1" applyBorder="1" applyAlignment="1">
      <alignment horizontal="center" wrapText="1"/>
    </xf>
    <xf numFmtId="0" fontId="1" fillId="0" borderId="14" xfId="0" applyFont="1" applyBorder="1" applyAlignment="1" applyProtection="1">
      <alignment horizontal="center"/>
      <protection hidden="1"/>
    </xf>
    <xf numFmtId="0" fontId="1" fillId="0" borderId="31" xfId="0" applyFont="1" applyBorder="1" applyAlignment="1">
      <alignment horizontal="center"/>
    </xf>
    <xf numFmtId="15" fontId="1" fillId="0" borderId="31" xfId="0" applyNumberFormat="1" applyFont="1" applyBorder="1" applyAlignment="1">
      <alignment horizontal="center"/>
    </xf>
    <xf numFmtId="0" fontId="48" fillId="0" borderId="31" xfId="0" applyFont="1" applyBorder="1" applyAlignment="1">
      <alignment horizontal="center"/>
    </xf>
    <xf numFmtId="0" fontId="50" fillId="0" borderId="14" xfId="0" applyFont="1" applyBorder="1" applyAlignment="1">
      <alignment horizontal="center"/>
    </xf>
    <xf numFmtId="0" fontId="1" fillId="0" borderId="28" xfId="0" applyFont="1" applyBorder="1" applyAlignment="1">
      <alignment horizontal="center"/>
    </xf>
    <xf numFmtId="14" fontId="1" fillId="0" borderId="14" xfId="0" applyNumberFormat="1" applyFont="1" applyBorder="1" applyAlignment="1">
      <alignment horizontal="center"/>
    </xf>
    <xf numFmtId="0" fontId="1" fillId="0" borderId="14" xfId="0" applyFont="1" applyBorder="1" applyAlignment="1">
      <alignment horizontal="center" vertical="center"/>
    </xf>
    <xf numFmtId="15" fontId="48" fillId="0" borderId="14" xfId="0" applyNumberFormat="1" applyFont="1" applyBorder="1" applyAlignment="1">
      <alignment horizontal="center"/>
    </xf>
    <xf numFmtId="0" fontId="52" fillId="0" borderId="35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15" fontId="1" fillId="0" borderId="26" xfId="0" applyNumberFormat="1" applyFont="1" applyBorder="1" applyAlignment="1">
      <alignment horizontal="center"/>
    </xf>
    <xf numFmtId="0" fontId="1" fillId="0" borderId="24" xfId="0" applyFont="1" applyBorder="1" applyAlignment="1">
      <alignment horizontal="center"/>
    </xf>
    <xf numFmtId="15" fontId="1" fillId="0" borderId="35" xfId="0" applyNumberFormat="1" applyFont="1" applyBorder="1" applyAlignment="1">
      <alignment horizontal="center"/>
    </xf>
    <xf numFmtId="0" fontId="1" fillId="0" borderId="35" xfId="0" applyFont="1" applyBorder="1" applyAlignment="1">
      <alignment horizontal="center"/>
    </xf>
    <xf numFmtId="0" fontId="53" fillId="0" borderId="35" xfId="0" applyFont="1" applyBorder="1" applyAlignment="1">
      <alignment horizontal="center"/>
    </xf>
    <xf numFmtId="15" fontId="1" fillId="0" borderId="36" xfId="0" applyNumberFormat="1" applyFont="1" applyBorder="1" applyAlignment="1">
      <alignment horizontal="center"/>
    </xf>
    <xf numFmtId="0" fontId="53" fillId="0" borderId="37" xfId="0" applyFont="1" applyBorder="1" applyAlignment="1">
      <alignment horizontal="center"/>
    </xf>
    <xf numFmtId="0" fontId="52" fillId="0" borderId="38" xfId="0" applyFont="1" applyBorder="1" applyAlignment="1">
      <alignment horizontal="center"/>
    </xf>
    <xf numFmtId="0" fontId="39" fillId="0" borderId="24" xfId="0" applyFont="1" applyBorder="1" applyAlignment="1">
      <alignment horizontal="center" vertical="center"/>
    </xf>
    <xf numFmtId="0" fontId="48" fillId="0" borderId="28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48" fillId="0" borderId="39" xfId="0" applyFont="1" applyBorder="1" applyAlignment="1">
      <alignment horizontal="center"/>
    </xf>
    <xf numFmtId="0" fontId="48" fillId="0" borderId="26" xfId="0" applyFont="1" applyBorder="1" applyAlignment="1">
      <alignment horizontal="center"/>
    </xf>
    <xf numFmtId="0" fontId="1" fillId="0" borderId="14" xfId="0" applyFont="1" applyBorder="1" applyAlignment="1">
      <alignment horizontal="center" wrapText="1"/>
    </xf>
    <xf numFmtId="0" fontId="39" fillId="0" borderId="14" xfId="0" applyFont="1" applyBorder="1" applyAlignment="1">
      <alignment horizontal="center" vertical="center"/>
    </xf>
    <xf numFmtId="15" fontId="48" fillId="0" borderId="24" xfId="0" applyNumberFormat="1" applyFont="1" applyBorder="1" applyAlignment="1">
      <alignment horizontal="center"/>
    </xf>
    <xf numFmtId="0" fontId="0" fillId="0" borderId="14" xfId="0" applyBorder="1" applyAlignment="1">
      <alignment horizontal="center"/>
    </xf>
    <xf numFmtId="15" fontId="0" fillId="0" borderId="14" xfId="0" applyNumberFormat="1" applyBorder="1" applyAlignment="1">
      <alignment horizontal="center"/>
    </xf>
    <xf numFmtId="0" fontId="54" fillId="0" borderId="14" xfId="0" applyFont="1" applyBorder="1" applyAlignment="1">
      <alignment horizontal="center"/>
    </xf>
    <xf numFmtId="0" fontId="1" fillId="0" borderId="14" xfId="0" applyFont="1" applyBorder="1" applyAlignment="1">
      <alignment horizontal="center" vertical="center" wrapText="1"/>
    </xf>
    <xf numFmtId="15" fontId="48" fillId="0" borderId="31" xfId="0" applyNumberFormat="1" applyFont="1" applyBorder="1" applyAlignment="1">
      <alignment horizontal="center"/>
    </xf>
    <xf numFmtId="0" fontId="1" fillId="0" borderId="14" xfId="0" applyFont="1" applyBorder="1"/>
    <xf numFmtId="0" fontId="55" fillId="0" borderId="14" xfId="0" applyFont="1" applyBorder="1" applyAlignment="1">
      <alignment horizontal="center"/>
    </xf>
    <xf numFmtId="0" fontId="51" fillId="0" borderId="0" xfId="0" applyFont="1" applyAlignment="1">
      <alignment horizontal="left"/>
    </xf>
    <xf numFmtId="0" fontId="7" fillId="3" borderId="5" xfId="0" applyFont="1" applyFill="1" applyBorder="1" applyAlignment="1" applyProtection="1">
      <alignment horizontal="center" vertical="center"/>
      <protection hidden="1"/>
    </xf>
    <xf numFmtId="0" fontId="7" fillId="3" borderId="8" xfId="0" applyFont="1" applyFill="1" applyBorder="1" applyAlignment="1" applyProtection="1">
      <alignment horizontal="center" vertical="center"/>
      <protection hidden="1"/>
    </xf>
    <xf numFmtId="0" fontId="7" fillId="3" borderId="10" xfId="0" applyFont="1" applyFill="1" applyBorder="1" applyAlignment="1" applyProtection="1">
      <alignment horizontal="center" vertical="center"/>
      <protection hidden="1"/>
    </xf>
    <xf numFmtId="0" fontId="7" fillId="3" borderId="6" xfId="0" applyFont="1" applyFill="1" applyBorder="1" applyAlignment="1" applyProtection="1">
      <alignment horizontal="center" vertical="center"/>
      <protection hidden="1"/>
    </xf>
    <xf numFmtId="0" fontId="7" fillId="3" borderId="0" xfId="0" applyFont="1" applyFill="1" applyAlignment="1" applyProtection="1">
      <alignment horizontal="center" vertical="center"/>
      <protection hidden="1"/>
    </xf>
    <xf numFmtId="0" fontId="7" fillId="3" borderId="3" xfId="0" applyFont="1" applyFill="1" applyBorder="1" applyAlignment="1" applyProtection="1">
      <alignment horizontal="center" vertical="center"/>
      <protection hidden="1"/>
    </xf>
    <xf numFmtId="16" fontId="7" fillId="5" borderId="9" xfId="0" applyNumberFormat="1" applyFont="1" applyFill="1" applyBorder="1" applyAlignment="1" applyProtection="1">
      <alignment horizontal="center" vertical="center"/>
      <protection hidden="1"/>
    </xf>
    <xf numFmtId="0" fontId="1" fillId="0" borderId="0" xfId="0" applyFont="1" applyAlignment="1" applyProtection="1">
      <alignment horizontal="center"/>
      <protection hidden="1"/>
    </xf>
    <xf numFmtId="0" fontId="7" fillId="3" borderId="2" xfId="0" applyFont="1" applyFill="1" applyBorder="1" applyAlignment="1" applyProtection="1">
      <alignment horizontal="center" vertical="center"/>
      <protection hidden="1"/>
    </xf>
  </cellXfs>
  <cellStyles count="50">
    <cellStyle name="20% - 강조색1" xfId="2" xr:uid="{4CDE0A06-1DAA-4AB5-86C1-800A16EF25CB}"/>
    <cellStyle name="20% - 强调文字颜色 1" xfId="3" xr:uid="{A0A4864A-86D5-44A9-99A1-BCC78EC72DF6}"/>
    <cellStyle name="20% - 强调文字颜色 2" xfId="4" xr:uid="{A30C55EF-4BFD-4632-8904-EFD2A073A733}"/>
    <cellStyle name="20% - 强调文字颜色 3" xfId="5" xr:uid="{70D0A474-1009-4523-9C6A-2E82D1A9CF93}"/>
    <cellStyle name="20% - 强调文字颜色 4" xfId="6" xr:uid="{99A2FFD2-A4CA-40E6-99EB-B394B5CC915A}"/>
    <cellStyle name="20% - 强调文字颜色 5" xfId="7" xr:uid="{FFD6EF7E-E2E3-41EB-B817-3A6A6AC469CD}"/>
    <cellStyle name="20% - 强调文字颜色 6" xfId="8" xr:uid="{73F05663-C68D-4066-80C2-BC0A4D9F9185}"/>
    <cellStyle name="40% - 强调文字颜色 1" xfId="9" xr:uid="{4A881193-6230-4C8C-9268-F0FFBFA47F30}"/>
    <cellStyle name="40% - 强调文字颜色 2" xfId="10" xr:uid="{D2F5D449-C655-4AB0-B7FF-E5CB7966B3FF}"/>
    <cellStyle name="40% - 强调文字颜色 3" xfId="11" xr:uid="{C40780C9-E868-4B93-9FF8-70E712092FC7}"/>
    <cellStyle name="40% - 强调文字颜色 4" xfId="12" xr:uid="{847F67B3-0FC1-4BC3-8D02-271370D4AF8A}"/>
    <cellStyle name="40% - 强调文字颜色 5" xfId="13" xr:uid="{A75A552D-93E4-4033-9B82-F283AA89D8E0}"/>
    <cellStyle name="40% - 强调文字颜色 6" xfId="14" xr:uid="{F4B63AB4-C98A-4157-B88E-AB9DBC102F4A}"/>
    <cellStyle name="60% - 强调文字颜色 1" xfId="15" xr:uid="{8ACD00B6-EE7F-467A-A4F3-FA2DA640654C}"/>
    <cellStyle name="60% - 强调文字颜色 2" xfId="16" xr:uid="{40054C74-3D52-4033-92E8-B3B7579468C1}"/>
    <cellStyle name="60% - 强调文字颜色 3" xfId="17" xr:uid="{AA4090F3-E6E0-4F1C-8DB0-B2864858AB12}"/>
    <cellStyle name="60% - 强调文字颜色 4" xfId="18" xr:uid="{3AA9BC30-D560-49A9-920C-738337522FE7}"/>
    <cellStyle name="60% - 强调文字颜色 5" xfId="19" xr:uid="{F9ECF00D-98DA-4B82-8665-E147D57E857D}"/>
    <cellStyle name="60% - 强调文字颜色 6" xfId="20" xr:uid="{FDA1E03B-CD9B-45F0-8280-1B48BE3C2A8E}"/>
    <cellStyle name="Hyperlink" xfId="49" builtinId="8"/>
    <cellStyle name="Normal" xfId="0" builtinId="0"/>
    <cellStyle name="Normal 2" xfId="1" xr:uid="{29527407-E3BD-43AC-B14D-7C73ECBDCA5E}"/>
    <cellStyle name="강조색1" xfId="21" xr:uid="{547ED41F-120F-427A-B693-23C4C3A83B8D}"/>
    <cellStyle name="강조색2" xfId="22" xr:uid="{29CB8320-7382-40FC-9FCA-CC029E1596FC}"/>
    <cellStyle name="강조색4" xfId="23" xr:uid="{79DFEC44-1371-4283-BEAD-3FD26E20E615}"/>
    <cellStyle name="제목 1" xfId="47" xr:uid="{45546CA1-9003-445C-90F9-A2FCE6262105}"/>
    <cellStyle name="출력" xfId="48" xr:uid="{F64751CB-5E9E-42AD-8F36-84818479AB23}"/>
    <cellStyle name="好" xfId="30" xr:uid="{809CEB78-A51C-47B3-88EC-31D0C97F6766}"/>
    <cellStyle name="差" xfId="29" xr:uid="{2F728FE2-2785-4DEA-A9E8-A1928B80C60A}"/>
    <cellStyle name="强调文字颜色 1" xfId="37" xr:uid="{FEE8DA4C-2921-48D0-86E2-D0F50C5197B5}"/>
    <cellStyle name="强调文字颜色 2" xfId="38" xr:uid="{22C134C9-2F54-49C8-B06F-83B67315D54D}"/>
    <cellStyle name="强调文字颜色 3" xfId="39" xr:uid="{DAE37429-E4A7-4281-AFE1-AAA289684EF0}"/>
    <cellStyle name="强调文字颜色 4" xfId="40" xr:uid="{A2B999EF-74CF-479C-9F3E-181ED4E19E82}"/>
    <cellStyle name="强调文字颜色 5" xfId="41" xr:uid="{993EF490-A6B8-4EDC-A37F-D9D066C9A4EC}"/>
    <cellStyle name="强调文字颜色 6" xfId="42" xr:uid="{194A6799-9D0D-4000-BEAF-09A589E92F67}"/>
    <cellStyle name="标题" xfId="24" xr:uid="{A1CA8D31-627F-4E0E-BD27-268234018180}"/>
    <cellStyle name="标题 1" xfId="25" xr:uid="{8C42C990-2856-4C08-B7CE-C63EE2C1A18F}"/>
    <cellStyle name="标题 2" xfId="26" xr:uid="{34610115-0A48-4046-9D8D-AF835FDDF6B6}"/>
    <cellStyle name="标题 3" xfId="27" xr:uid="{D3CBCB14-C109-49F0-B79C-581869D26EBB}"/>
    <cellStyle name="标题 4" xfId="28" xr:uid="{8B4E75CA-CC25-4A5E-9A53-62505E355463}"/>
    <cellStyle name="检查单元格" xfId="33" xr:uid="{FF175889-0A87-4AAD-8953-A656D6502EBD}"/>
    <cellStyle name="汇总" xfId="31" xr:uid="{611BBDA1-15CE-44B7-A3CA-84BA9750F20B}"/>
    <cellStyle name="注释" xfId="46" xr:uid="{256C719E-3D05-478A-A92A-C9013AFC2CBF}"/>
    <cellStyle name="解释性文本" xfId="34" xr:uid="{231A20D9-EB62-4057-BC2C-42DFD699CCE3}"/>
    <cellStyle name="警告文本" xfId="35" xr:uid="{598889E5-E0CF-448F-826D-E94D7448B0AF}"/>
    <cellStyle name="计算" xfId="32" xr:uid="{E3270FCB-0FDE-471B-9B62-24E0C0963DCF}"/>
    <cellStyle name="输入" xfId="45" xr:uid="{304E2D1C-7F97-4E02-83BD-BC206071DE61}"/>
    <cellStyle name="输出" xfId="44" xr:uid="{AF62B53A-4882-4B7F-BB66-7C5669319B59}"/>
    <cellStyle name="适中" xfId="43" xr:uid="{16A46699-FD31-4D2D-A933-FAC9DF0FC351}"/>
    <cellStyle name="链接单元格" xfId="36" xr:uid="{6A96D3A1-8122-4B49-AD2A-1F42E88554E0}"/>
  </cellStyles>
  <dxfs count="10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0" formatCode="dd/mmm/yy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name val="Calibri"/>
        <family val="2"/>
        <scheme val="minor"/>
      </font>
      <numFmt numFmtId="20" formatCode="dd/mmm/yy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0"/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25" formatCode="hh:mm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25" formatCode="hh:mm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9" formatCode="dd/mm/yyyy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center" textRotation="0" wrapText="1" indent="0" justifyLastLine="0" shrinkToFit="0" readingOrder="0"/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solid">
          <fgColor indexed="64"/>
          <bgColor indexed="9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25" formatCode="hh:mm"/>
      <alignment horizontal="general" vertical="center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25" formatCode="hh:mm"/>
      <alignment horizontal="general" vertical="center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25" formatCode="hh:mm"/>
      <alignment horizontal="general" vertical="center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25" formatCode="hh:mm"/>
      <alignment horizontal="general" vertical="center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9" formatCode="dd/mm/yyyy"/>
      <alignment horizontal="general" vertical="center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solid">
          <fgColor indexed="64"/>
          <bgColor indexed="9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25" formatCode="hh:mm"/>
      <alignment horizontal="general" vertical="center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25" formatCode="hh:mm"/>
      <alignment horizontal="general" vertical="center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25" formatCode="hh:mm"/>
      <alignment horizontal="general" vertical="center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25" formatCode="hh:mm"/>
      <alignment horizontal="general" vertical="center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9" formatCode="dd/mm/yyyy"/>
      <alignment horizontal="general" vertical="center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solid">
          <fgColor indexed="64"/>
          <bgColor indexed="9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1" hidden="0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font>
        <color theme="0" tint="-0.14996795556505021"/>
      </font>
    </dxf>
    <dxf>
      <fill>
        <patternFill>
          <bgColor rgb="FF92D05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rgb="FF00B0F0"/>
        </patternFill>
      </fill>
    </dxf>
    <dxf>
      <fill>
        <patternFill>
          <bgColor theme="5"/>
        </patternFill>
      </fill>
    </dxf>
    <dxf>
      <fill>
        <patternFill>
          <bgColor theme="7"/>
        </patternFill>
      </fill>
    </dxf>
    <dxf>
      <fill>
        <patternFill>
          <bgColor theme="0" tint="-0.24994659260841701"/>
        </patternFill>
      </fill>
    </dxf>
    <dxf>
      <fill>
        <patternFill>
          <bgColor theme="7" tint="0.59996337778862885"/>
        </patternFill>
      </fill>
    </dxf>
    <dxf>
      <font>
        <color theme="0"/>
      </font>
      <fill>
        <patternFill>
          <bgColor rgb="FF7030A0"/>
        </patternFill>
      </fill>
    </dxf>
    <dxf>
      <fill>
        <patternFill>
          <bgColor rgb="FFFFFF66"/>
        </patternFill>
      </fill>
    </dxf>
    <dxf>
      <fill>
        <patternFill patternType="solid">
          <fgColor auto="1"/>
          <bgColor rgb="FFFF99FF"/>
        </patternFill>
      </fill>
    </dxf>
    <dxf>
      <fill>
        <patternFill>
          <bgColor rgb="FFFF9966"/>
        </patternFill>
      </fill>
    </dxf>
    <dxf>
      <fill>
        <patternFill>
          <bgColor theme="8" tint="0.39994506668294322"/>
        </patternFill>
      </fill>
    </dxf>
    <dxf>
      <font>
        <color theme="0" tint="-0.14996795556505021"/>
      </font>
    </dxf>
    <dxf>
      <fill>
        <patternFill>
          <bgColor rgb="FF92D05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rgb="FF00B0F0"/>
        </patternFill>
      </fill>
    </dxf>
    <dxf>
      <fill>
        <patternFill>
          <bgColor theme="5"/>
        </patternFill>
      </fill>
    </dxf>
    <dxf>
      <fill>
        <patternFill>
          <bgColor theme="7"/>
        </patternFill>
      </fill>
    </dxf>
    <dxf>
      <fill>
        <patternFill>
          <bgColor theme="0" tint="-0.24994659260841701"/>
        </patternFill>
      </fill>
    </dxf>
    <dxf>
      <fill>
        <patternFill>
          <bgColor theme="7" tint="0.59996337778862885"/>
        </patternFill>
      </fill>
    </dxf>
    <dxf>
      <font>
        <color theme="0"/>
      </font>
      <fill>
        <patternFill>
          <bgColor rgb="FF7030A0"/>
        </patternFill>
      </fill>
    </dxf>
    <dxf>
      <fill>
        <patternFill>
          <bgColor rgb="FFFFFF66"/>
        </patternFill>
      </fill>
    </dxf>
    <dxf>
      <fill>
        <patternFill patternType="solid">
          <fgColor auto="1"/>
          <bgColor rgb="FFFF99FF"/>
        </patternFill>
      </fill>
    </dxf>
    <dxf>
      <fill>
        <patternFill>
          <bgColor rgb="FFFF9966"/>
        </patternFill>
      </fill>
    </dxf>
    <dxf>
      <fill>
        <patternFill>
          <bgColor theme="8" tint="0.39994506668294322"/>
        </patternFill>
      </fill>
    </dxf>
    <dxf>
      <font>
        <color theme="0" tint="-4.9989318521683403E-2"/>
      </font>
    </dxf>
    <dxf>
      <border outline="0"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0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Calibri"/>
        <family val="2"/>
        <scheme val="minor"/>
      </font>
      <fill>
        <patternFill patternType="solid">
          <fgColor indexed="64"/>
          <bgColor theme="8" tint="-0.499984740745262"/>
        </patternFill>
      </fill>
      <alignment horizontal="center" vertical="center" textRotation="0" wrapText="0" indent="0" justifyLastLine="0" shrinkToFit="0" readingOrder="0"/>
      <border diagonalUp="0" diagonalDown="0" outline="0">
        <left style="double">
          <color theme="0" tint="-0.14996795556505021"/>
        </left>
        <right style="double">
          <color theme="0" tint="-0.14996795556505021"/>
        </right>
        <top/>
        <bottom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FF66"/>
      <color rgb="FFCC66FF"/>
      <color rgb="FFFF9966"/>
      <color rgb="FF993366"/>
      <color rgb="FFFF99FF"/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microsoft.com/office/2006/relationships/vbaProject" Target="vbaProject.bin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D7053240-CE69-11CD-A777-00DD01143C57}" r:id="rId1"/>
</file>

<file path=xl/ctrlProps/ctrlProp1.xml><?xml version="1.0" encoding="utf-8"?>
<formControlPr xmlns="http://schemas.microsoft.com/office/spreadsheetml/2009/9/main" objectType="Drop" dropLines="12" dropStyle="combo" dx="31" fmlaLink="$V$1" fmlaRange="Setting!$E$2:$E$13" noThreeD="1" sel="9" val="0"/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60960</xdr:colOff>
          <xdr:row>0</xdr:row>
          <xdr:rowOff>53340</xdr:rowOff>
        </xdr:from>
        <xdr:to>
          <xdr:col>18</xdr:col>
          <xdr:colOff>0</xdr:colOff>
          <xdr:row>1</xdr:row>
          <xdr:rowOff>38100</xdr:rowOff>
        </xdr:to>
        <xdr:sp macro="" textlink="">
          <xdr:nvSpPr>
            <xdr:cNvPr id="1045" name="Drop Down 21" hidden="1">
              <a:extLst>
                <a:ext uri="{63B3BB69-23CF-44E3-9099-C40C66FF867C}">
                  <a14:compatExt spid="_x0000_s1045"/>
                </a:ext>
                <a:ext uri="{FF2B5EF4-FFF2-40B4-BE49-F238E27FC236}">
                  <a16:creationId xmlns:a16="http://schemas.microsoft.com/office/drawing/2014/main" id="{00000000-0008-0000-0100-00001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absolute">
        <xdr:from>
          <xdr:col>7</xdr:col>
          <xdr:colOff>906780</xdr:colOff>
          <xdr:row>0</xdr:row>
          <xdr:rowOff>60960</xdr:rowOff>
        </xdr:from>
        <xdr:to>
          <xdr:col>7</xdr:col>
          <xdr:colOff>1828800</xdr:colOff>
          <xdr:row>0</xdr:row>
          <xdr:rowOff>365760</xdr:rowOff>
        </xdr:to>
        <xdr:sp macro="" textlink="">
          <xdr:nvSpPr>
            <xdr:cNvPr id="4112" name="CommandButton1" hidden="1">
              <a:extLst>
                <a:ext uri="{63B3BB69-23CF-44E3-9099-C40C66FF867C}">
                  <a14:compatExt spid="_x0000_s4112"/>
                </a:ext>
                <a:ext uri="{FF2B5EF4-FFF2-40B4-BE49-F238E27FC236}">
                  <a16:creationId xmlns:a16="http://schemas.microsoft.com/office/drawing/2014/main" id="{00000000-0008-0000-0200-000010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8</xdr:col>
      <xdr:colOff>586740</xdr:colOff>
      <xdr:row>0</xdr:row>
      <xdr:rowOff>68580</xdr:rowOff>
    </xdr:from>
    <xdr:to>
      <xdr:col>10</xdr:col>
      <xdr:colOff>426720</xdr:colOff>
      <xdr:row>0</xdr:row>
      <xdr:rowOff>365760</xdr:rowOff>
    </xdr:to>
    <xdr:sp macro="[0]!Rectangle1_Click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9936480" y="68580"/>
          <a:ext cx="1059180" cy="29718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Half Day</a:t>
          </a:r>
        </a:p>
      </xdr:txBody>
    </xdr:sp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6" xr16:uid="{18812E1F-7B02-4477-BD8A-F18812440E27}" autoFormatId="16" applyNumberFormats="0" applyBorderFormats="0" applyFontFormats="0" applyPatternFormats="0" applyAlignmentFormats="0" applyWidthHeightFormats="0">
  <queryTableRefresh nextId="3">
    <queryTableFields count="2">
      <queryTableField id="1" name="Employee Name" tableColumnId="1"/>
      <queryTableField id="2" name="New Emp ID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9" xr16:uid="{928734D2-ABE1-4A1A-90C4-A05BE4C08460}" autoFormatId="16" applyNumberFormats="0" applyBorderFormats="0" applyFontFormats="0" applyPatternFormats="0" applyAlignmentFormats="0" applyWidthHeightFormats="0">
  <queryTableRefresh nextId="22">
    <queryTableFields count="5">
      <queryTableField id="1" name="ID" tableColumnId="1"/>
      <queryTableField id="18" name="EMP ID" tableColumnId="15"/>
      <queryTableField id="2" name="Name" tableColumnId="2"/>
      <queryTableField id="4" name="Date" tableColumnId="4"/>
      <queryTableField id="17" name="Leave Type" tableColumnId="14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A20F74C-0B8A-47FC-AED4-078F785DBAC1}" name="LeaveData" displayName="LeaveData" ref="A1:H4496" totalsRowCount="1" headerRowDxfId="97" dataDxfId="96" totalsRowDxfId="95" totalsRowBorderDxfId="94">
  <autoFilter ref="A1:H4495" xr:uid="{BA20F74C-0B8A-47FC-AED4-078F785DBAC1}"/>
  <tableColumns count="8">
    <tableColumn id="1" xr3:uid="{5DC00B42-E027-452F-8744-2441548E3B5D}" name="ID" dataDxfId="15" totalsRowDxfId="14">
      <calculatedColumnFormula>LeaveData[[#This Row],[ EMP ID]]&amp;LeaveData[[#This Row],[Date]]</calculatedColumnFormula>
    </tableColumn>
    <tableColumn id="2" xr3:uid="{14B4A11D-5ABE-4CF6-A63F-B53E2359B92D}" name=" EMP ID" dataDxfId="13" totalsRowDxfId="12"/>
    <tableColumn id="3" xr3:uid="{22D5C34B-5635-49D4-8920-7D6CC41E5AD6}" name=" Name" dataDxfId="11" totalsRowDxfId="10"/>
    <tableColumn id="4" xr3:uid="{D04D2369-553F-4313-A67E-43BAF63A17FC}" name="Date" dataDxfId="9" totalsRowDxfId="8"/>
    <tableColumn id="5" xr3:uid="{CDFF1259-4E4B-4A59-9E9E-2B42384F5653}" name="Leave Type" dataDxfId="7" totalsRowDxfId="6"/>
    <tableColumn id="6" xr3:uid="{3E85FBFD-048C-452F-B342-7540E3834E7A}" name="Team LeaderName" dataDxfId="5" totalsRowDxfId="4"/>
    <tableColumn id="7" xr3:uid="{DBDF4E96-12B3-49DC-A8A6-A3CE0E3B0EDF}" name="Reason Type" dataDxfId="3" totalsRowDxfId="2"/>
    <tableColumn id="8" xr3:uid="{A52422EC-381A-4CDC-BA9B-2A36E2CE20E3}" name="Reason" dataDxfId="1" totalsRowDxfId="0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B6E1AC2-1284-4B74-AAAA-C91D3896459F}" name="EEMaster" displayName="EEMaster" ref="A1:B112" tableType="queryTable" totalsRowShown="0">
  <tableColumns count="2">
    <tableColumn id="1" xr3:uid="{35DFECFB-859D-4CC2-835F-C8219BE68225}" uniqueName="1" name="Employee Name" queryTableFieldId="1" dataDxfId="66"/>
    <tableColumn id="2" xr3:uid="{32029BDE-2565-4A8B-AB1B-731E5E401393}" uniqueName="2" name="New Emp ID" queryTableFieldId="2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97623A34-EAA9-4BA3-869D-1BB80BE440FE}" name="MarkLeaveFormat" displayName="MarkLeaveFormat" ref="A1:E524" tableType="queryTable" totalsRowShown="0">
  <autoFilter ref="A1:E524" xr:uid="{97623A34-EAA9-4BA3-869D-1BB80BE440FE}"/>
  <tableColumns count="5">
    <tableColumn id="1" xr3:uid="{4912EAE7-63FC-4949-9402-28F69EB23873}" uniqueName="1" name="ID" queryTableFieldId="1" dataDxfId="65"/>
    <tableColumn id="15" xr3:uid="{AD10F5FE-7C1C-4C2B-84DE-023DCE3CFE4B}" uniqueName="15" name="EMP ID" queryTableFieldId="18" dataDxfId="64"/>
    <tableColumn id="2" xr3:uid="{42063332-B29D-4D53-9F8D-BA9F9DDB4600}" uniqueName="2" name="Name" queryTableFieldId="2"/>
    <tableColumn id="4" xr3:uid="{E996088A-744C-426D-9EE5-70152B125C51}" uniqueName="4" name="Date" queryTableFieldId="4" dataDxfId="63"/>
    <tableColumn id="14" xr3:uid="{9C73E3E8-A858-43B1-AE78-B2B17816D66F}" uniqueName="14" name="Leave Type" queryTableFieldId="17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FDA2F75-979B-4093-8922-5DE65FABFF6E}" name="TENTHFLOOR" displayName="TENTHFLOOR" ref="A2:M334" totalsRowShown="0" headerRowDxfId="62" headerRowBorderDxfId="61" tableBorderDxfId="60" headerRowCellStyle="20% - 강조색1">
  <autoFilter ref="A2:M334" xr:uid="{3FDA2F75-979B-4093-8922-5DE65FABFF6E}"/>
  <tableColumns count="13">
    <tableColumn id="1" xr3:uid="{40898681-BCB0-4122-AB07-FC78F6C7EA5F}" name="ID" dataDxfId="59"/>
    <tableColumn id="2" xr3:uid="{9476254E-7978-48B6-8F3E-6B4C70C682DF}" name="Name" dataDxfId="58"/>
    <tableColumn id="3" xr3:uid="{F3E02825-AAC4-4606-B304-D84F65BC550E}" name="Department" dataDxfId="57"/>
    <tableColumn id="4" xr3:uid="{F1CE1CE9-7FF1-47FA-B33A-0F66E070F9DD}" name="Date" dataDxfId="56"/>
    <tableColumn id="5" xr3:uid="{3D730301-8133-449E-BB17-515CD6C1016F}" name="First time zone_x000a_On-duty" dataDxfId="55"/>
    <tableColumn id="6" xr3:uid="{15294489-8496-4BFA-A45D-C69376E303CB}" name="Off-duty" dataDxfId="54"/>
    <tableColumn id="7" xr3:uid="{404F8128-B5C3-477D-B809-279EC2A7B7D8}" name="Second time zone_x000a_On-duty" dataDxfId="53"/>
    <tableColumn id="8" xr3:uid="{E545408A-20B1-48FE-AD86-ECC0FB094089}" name="Off-duty2" dataDxfId="52"/>
    <tableColumn id="9" xr3:uid="{496A732E-6692-47E8-9246-92EEB927B543}" name="Late time(Min)" dataDxfId="51"/>
    <tableColumn id="10" xr3:uid="{441FBC1C-B819-4266-8AA1-607AD042D995}" name="Leave early(Min)" dataDxfId="50"/>
    <tableColumn id="11" xr3:uid="{ED3019EF-40EA-48DB-939A-76FFEDE37822}" name="Absence(Min)" dataDxfId="49"/>
    <tableColumn id="12" xr3:uid="{EA08B13E-0F94-49E4-B12A-8FDDFB85B4D4}" name="Total(Min)" dataDxfId="48"/>
    <tableColumn id="13" xr3:uid="{CD5041E5-C3C9-4BCD-AD9A-D982810B91AD}" name="Note_x000a_Reason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E519F42-949B-4C18-819D-30B7D8DD0061}" name="TWELFTHFLOOR" displayName="TWELFTHFLOOR" ref="O2:AA308" totalsRowShown="0" headerRowDxfId="47" headerRowBorderDxfId="46" tableBorderDxfId="45" headerRowCellStyle="20% - 강조색1">
  <autoFilter ref="O2:AA308" xr:uid="{7E519F42-949B-4C18-819D-30B7D8DD0061}"/>
  <tableColumns count="13">
    <tableColumn id="1" xr3:uid="{3BD7564F-AAF7-449B-922B-D185260C35CE}" name="ID" dataDxfId="44"/>
    <tableColumn id="2" xr3:uid="{35A33037-AF6C-4428-A348-F4B6072472D4}" name="Name" dataDxfId="43"/>
    <tableColumn id="3" xr3:uid="{DF8B6D45-B6FB-4BBD-828C-830BBF2EFD92}" name="Department" dataDxfId="42"/>
    <tableColumn id="4" xr3:uid="{B43E69D0-3E90-499F-969E-BEEE73F5158E}" name="Date" dataDxfId="41"/>
    <tableColumn id="5" xr3:uid="{AC128BEC-EFF3-4967-9F8F-99DC345DA412}" name="First time zone_x000a_On-duty" dataDxfId="40"/>
    <tableColumn id="6" xr3:uid="{8F273387-4D46-4E40-B997-A827420259C9}" name="Off-duty" dataDxfId="39"/>
    <tableColumn id="7" xr3:uid="{4423ACBE-54AE-46CE-898F-245249BD4AC6}" name="Second time zone_x000a_On-duty" dataDxfId="38"/>
    <tableColumn id="8" xr3:uid="{5837CCC0-5F12-4AFA-8034-26E0D9A5A6F5}" name="Off-duty2" dataDxfId="37"/>
    <tableColumn id="9" xr3:uid="{90377DDF-224A-4D96-AEC5-141DC50AC76C}" name="Late time(Min)" dataDxfId="36"/>
    <tableColumn id="10" xr3:uid="{9121230A-8D9C-42F1-B3FB-3CB9234B7B8D}" name="Leave early(Min)" dataDxfId="35"/>
    <tableColumn id="11" xr3:uid="{4DDF9B46-AECE-4827-BB74-AF14692E5303}" name="Absence(Min)" dataDxfId="34"/>
    <tableColumn id="12" xr3:uid="{C7E711C1-2EBB-4225-813C-0D4A7EB6A9FE}" name="Total(Min)" dataDxfId="33"/>
    <tableColumn id="13" xr3:uid="{127289C9-84BF-4D10-89EB-C9B9FCEF028A}" name="Note_x000a_Reason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5DE3793-D0E4-4622-968C-78984965D383}" name="CLIENTATT" displayName="CLIENTATT" ref="AC2:AO5" totalsRowShown="0" headerRowDxfId="32" headerRowBorderDxfId="31" tableBorderDxfId="30" headerRowCellStyle="20% - 강조색1">
  <autoFilter ref="AC2:AO5" xr:uid="{55DE3793-D0E4-4622-968C-78984965D383}"/>
  <tableColumns count="13">
    <tableColumn id="1" xr3:uid="{956B5569-87BE-4E8F-AE81-7266F6870EAB}" name="ID"/>
    <tableColumn id="2" xr3:uid="{DA16A4E2-0671-41C3-B515-388D7EF6477C}" name="Name" dataDxfId="29"/>
    <tableColumn id="3" xr3:uid="{3A113416-BC98-4314-9F01-E683562D80C6}" name="Department" dataDxfId="28"/>
    <tableColumn id="4" xr3:uid="{F4E2F799-3033-4342-938F-9D9C91FBEA60}" name="Date" dataDxfId="27"/>
    <tableColumn id="5" xr3:uid="{85446DD5-449B-4D8F-8981-597D001658B4}" name="First time zone_x000a_On-duty" dataDxfId="26"/>
    <tableColumn id="6" xr3:uid="{3A92AE87-8CA9-4606-AA3D-7E9B1A2FC781}" name="Off-duty" dataDxfId="25"/>
    <tableColumn id="7" xr3:uid="{92FD57F2-F9CD-46DD-86E4-28251CBCD6F7}" name="Second time zone_x000a_On-duty" dataDxfId="24"/>
    <tableColumn id="8" xr3:uid="{AF98DE7A-96FF-4496-8AF3-E7A5EDB7F989}" name="Off-duty2"/>
    <tableColumn id="9" xr3:uid="{0D9CE4B5-0438-446C-8F56-2A360D5D96A7}" name="Late time(Min)"/>
    <tableColumn id="10" xr3:uid="{E8B7115E-B033-4880-8F22-918AFDB67BD2}" name="Leave early(Min)"/>
    <tableColumn id="11" xr3:uid="{A60E76DA-E49C-4953-8FB1-EAC83FA954E6}" name="Absence(Min)"/>
    <tableColumn id="12" xr3:uid="{02739E60-EB0E-44EC-9413-7FEB90486F2D}" name="Total(Min)"/>
    <tableColumn id="13" xr3:uid="{38304FD5-0210-4B98-95D5-8E9FB0B1FA59}" name="Note_x000a_Reason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7667E52-B59E-4738-BCC7-2BE5AD631E97}" name="BioID" displayName="BioID" ref="AP2:AS40" totalsRowShown="0" headerRowDxfId="23" headerRowBorderDxfId="22" tableBorderDxfId="21" totalsRowBorderDxfId="20">
  <autoFilter ref="AP2:AS40" xr:uid="{6199010C-8D5A-4EEA-A800-BB394D4076FC}"/>
  <tableColumns count="4">
    <tableColumn id="1" xr3:uid="{CA31A980-CEF3-468C-9871-34DECA7D0EAB}" name="ID" dataDxfId="19" dataCellStyle="Hyperlink"/>
    <tableColumn id="2" xr3:uid="{15DA1F52-238B-48F6-9C1F-09B3420DD68E}" name="Name" dataDxfId="18"/>
    <tableColumn id="3" xr3:uid="{B124520C-66E4-487B-85E9-D21197079FF3}" name="Office" dataDxfId="17"/>
    <tableColumn id="4" xr3:uid="{80F24FDA-078F-4607-9DF5-60DF7145AD88}" name="Status" dataDxfId="16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trlProp" Target="../ctrlProps/ctrlProp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6" Type="http://schemas.openxmlformats.org/officeDocument/2006/relationships/table" Target="../tables/table1.xml"/><Relationship Id="rId5" Type="http://schemas.openxmlformats.org/officeDocument/2006/relationships/image" Target="../media/image1.emf"/><Relationship Id="rId4" Type="http://schemas.openxmlformats.org/officeDocument/2006/relationships/control" Target="../activeX/activeX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table" Target="../tables/table4.xml"/><Relationship Id="rId4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49DA7B-670A-493B-8119-70A5485B206C}">
  <sheetPr codeName="Sheet1"/>
  <dimension ref="B1:J63"/>
  <sheetViews>
    <sheetView showGridLines="0" workbookViewId="0">
      <pane ySplit="7" topLeftCell="A41" activePane="bottomLeft" state="frozen"/>
      <selection pane="bottomLeft" activeCell="E63" sqref="E63"/>
    </sheetView>
  </sheetViews>
  <sheetFormatPr defaultColWidth="8.77734375" defaultRowHeight="14.4"/>
  <cols>
    <col min="1" max="1" width="2.77734375" customWidth="1"/>
    <col min="2" max="2" width="17.21875" customWidth="1"/>
    <col min="3" max="3" width="27.21875" bestFit="1" customWidth="1"/>
    <col min="4" max="10" width="16.77734375" style="14" customWidth="1"/>
  </cols>
  <sheetData>
    <row r="1" spans="2:10" ht="4.95" customHeight="1" thickBot="1"/>
    <row r="2" spans="2:10" ht="21" customHeight="1" thickTop="1" thickBot="1">
      <c r="C2" s="17" t="s">
        <v>0</v>
      </c>
      <c r="D2" s="19">
        <v>45292</v>
      </c>
      <c r="F2" s="19">
        <v>45350</v>
      </c>
    </row>
    <row r="3" spans="2:10" ht="5.7" customHeight="1" thickTop="1" thickBot="1"/>
    <row r="4" spans="2:10" ht="15" thickBot="1">
      <c r="B4" s="134" t="s">
        <v>1</v>
      </c>
      <c r="C4" s="137" t="s">
        <v>2</v>
      </c>
      <c r="D4" s="74" t="s">
        <v>3</v>
      </c>
      <c r="E4" s="74"/>
      <c r="F4" s="74"/>
      <c r="G4" s="74"/>
      <c r="H4" s="74"/>
      <c r="I4" s="74"/>
      <c r="J4" s="75"/>
    </row>
    <row r="5" spans="2:10" ht="15.6" thickTop="1" thickBot="1">
      <c r="B5" s="135"/>
      <c r="C5" s="138"/>
      <c r="D5" s="7">
        <f t="shared" ref="D5" si="0">SUM(D8:D1048576)</f>
        <v>0</v>
      </c>
      <c r="E5" s="7">
        <f t="shared" ref="E5:J5" si="1">SUM(E8:E1048576)</f>
        <v>0</v>
      </c>
      <c r="F5" s="7">
        <f t="shared" si="1"/>
        <v>4</v>
      </c>
      <c r="G5" s="25">
        <f t="shared" si="1"/>
        <v>0</v>
      </c>
      <c r="H5" s="25">
        <f t="shared" si="1"/>
        <v>0</v>
      </c>
      <c r="I5" s="25">
        <f t="shared" si="1"/>
        <v>0</v>
      </c>
      <c r="J5" s="20">
        <f t="shared" si="1"/>
        <v>4</v>
      </c>
    </row>
    <row r="6" spans="2:10" ht="15.6" thickTop="1" thickBot="1">
      <c r="B6" s="135"/>
      <c r="C6" s="138"/>
      <c r="D6" s="9" t="s">
        <v>4</v>
      </c>
      <c r="E6" s="9" t="s">
        <v>5</v>
      </c>
      <c r="F6" s="9" t="s">
        <v>6</v>
      </c>
      <c r="G6" s="26" t="s">
        <v>7</v>
      </c>
      <c r="H6" s="26" t="s">
        <v>8</v>
      </c>
      <c r="I6" s="26" t="s">
        <v>9</v>
      </c>
      <c r="J6" s="140" t="s">
        <v>10</v>
      </c>
    </row>
    <row r="7" spans="2:10" ht="15.6" thickTop="1" thickBot="1">
      <c r="B7" s="136"/>
      <c r="C7" s="139"/>
      <c r="D7" s="10" t="s">
        <v>11</v>
      </c>
      <c r="E7" s="10" t="s">
        <v>12</v>
      </c>
      <c r="F7" s="10" t="s">
        <v>13</v>
      </c>
      <c r="G7" s="27" t="s">
        <v>14</v>
      </c>
      <c r="H7" s="27" t="s">
        <v>15</v>
      </c>
      <c r="I7" s="27" t="s">
        <v>16</v>
      </c>
      <c r="J7" s="140"/>
    </row>
    <row r="8" spans="2:10" ht="15.6" thickTop="1" thickBot="1">
      <c r="B8" s="34">
        <v>201718001</v>
      </c>
      <c r="C8" s="34" t="s">
        <v>17</v>
      </c>
      <c r="D8" s="18">
        <f>COUNTIFS('Mark Leave'!$D:$D,"&gt;="&amp;$D$2,'Mark Leave'!$D:$D,"&lt;="&amp;$F$2,'Mark Leave'!$B:$B,$B8,'Mark Leave'!$E:$E,D$7)</f>
        <v>0</v>
      </c>
      <c r="E8" s="18">
        <f>COUNTIFS('Mark Leave'!$D:$D,"&gt;="&amp;$D$2,'Mark Leave'!$D:$D,"&lt;="&amp;$F$2,'Mark Leave'!$B:$B,$B8,'Mark Leave'!$E:$E,E$7)</f>
        <v>0</v>
      </c>
      <c r="F8" s="18">
        <f>COUNTIFS('Mark Leave'!$D:$D,"&gt;="&amp;$D$2,'Mark Leave'!$D:$D,"&lt;="&amp;$F$2,'Mark Leave'!$B:$B,$B8,'Mark Leave'!$E:$E,F$7)</f>
        <v>0</v>
      </c>
      <c r="G8" s="28">
        <f>COUNTIFS('Mark Leave'!$D:$D,"&gt;="&amp;$D$2,'Mark Leave'!$D:$D,"&lt;="&amp;$F$2,'Mark Leave'!$B:$B,$B8,'Mark Leave'!$E:$E,G$7)/2</f>
        <v>0</v>
      </c>
      <c r="H8" s="76">
        <f>COUNTIFS('Mark Leave'!$D:$D,"&gt;="&amp;$D$2,'Mark Leave'!$D:$D,"&lt;="&amp;$F$2,'Mark Leave'!$B:$B,$B8,'Mark Leave'!$E:$E,H$7)/2</f>
        <v>0</v>
      </c>
      <c r="I8" s="28">
        <f>COUNTIFS('Mark Leave'!$D:$D,"&gt;="&amp;$D$2,'Mark Leave'!$D:$D,"&lt;="&amp;$F$2,'Mark Leave'!$B:$B,$B8,'Mark Leave'!$E:$E,I$7)</f>
        <v>0</v>
      </c>
      <c r="J8" s="21">
        <f t="shared" ref="J8:J27" si="2">SUM(D8:G8)</f>
        <v>0</v>
      </c>
    </row>
    <row r="9" spans="2:10" ht="15.6" thickTop="1" thickBot="1">
      <c r="B9" s="34">
        <v>201820001</v>
      </c>
      <c r="C9" s="34" t="s">
        <v>18</v>
      </c>
      <c r="D9" s="18">
        <f>COUNTIFS('Mark Leave'!$D:$D,"&gt;="&amp;$D$2,'Mark Leave'!$D:$D,"&lt;="&amp;$F$2,'Mark Leave'!$B:$B,$B9,'Mark Leave'!$E:$E,D$7)</f>
        <v>0</v>
      </c>
      <c r="E9" s="18">
        <f>COUNTIFS('Mark Leave'!$D:$D,"&gt;="&amp;$D$2,'Mark Leave'!$D:$D,"&lt;="&amp;$F$2,'Mark Leave'!$B:$B,$B9,'Mark Leave'!$E:$E,E$7)</f>
        <v>0</v>
      </c>
      <c r="F9" s="18">
        <f>COUNTIFS('Mark Leave'!$D:$D,"&gt;="&amp;$D$2,'Mark Leave'!$D:$D,"&lt;="&amp;$F$2,'Mark Leave'!$B:$B,$B9,'Mark Leave'!$E:$E,F$7)</f>
        <v>0</v>
      </c>
      <c r="G9" s="28">
        <f>COUNTIFS('Mark Leave'!$D:$D,"&gt;="&amp;$D$2,'Mark Leave'!$D:$D,"&lt;="&amp;$F$2,'Mark Leave'!$B:$B,$B9,'Mark Leave'!$E:$E,G$7)/2</f>
        <v>0</v>
      </c>
      <c r="H9" s="76">
        <f>COUNTIFS('Mark Leave'!$D:$D,"&gt;="&amp;$D$2,'Mark Leave'!$D:$D,"&lt;="&amp;$F$2,'Mark Leave'!$B:$B,$B9,'Mark Leave'!$E:$E,H$7)/2</f>
        <v>0</v>
      </c>
      <c r="I9" s="28">
        <f>COUNTIFS('Mark Leave'!$D:$D,"&gt;="&amp;$D$2,'Mark Leave'!$D:$D,"&lt;="&amp;$F$2,'Mark Leave'!$B:$B,$B9,'Mark Leave'!$E:$E,I$7)</f>
        <v>0</v>
      </c>
      <c r="J9" s="21">
        <f t="shared" si="2"/>
        <v>0</v>
      </c>
    </row>
    <row r="10" spans="2:10" ht="15.6" thickTop="1" thickBot="1">
      <c r="B10" s="34">
        <v>201818002</v>
      </c>
      <c r="C10" s="34" t="s">
        <v>19</v>
      </c>
      <c r="D10" s="18">
        <f>COUNTIFS('Mark Leave'!$D:$D,"&gt;="&amp;$D$2,'Mark Leave'!$D:$D,"&lt;="&amp;$F$2,'Mark Leave'!$B:$B,$B10,'Mark Leave'!$E:$E,D$7)</f>
        <v>0</v>
      </c>
      <c r="E10" s="18">
        <f>COUNTIFS('Mark Leave'!$D:$D,"&gt;="&amp;$D$2,'Mark Leave'!$D:$D,"&lt;="&amp;$F$2,'Mark Leave'!$B:$B,$B10,'Mark Leave'!$E:$E,E$7)</f>
        <v>0</v>
      </c>
      <c r="F10" s="18">
        <f>COUNTIFS('Mark Leave'!$D:$D,"&gt;="&amp;$D$2,'Mark Leave'!$D:$D,"&lt;="&amp;$F$2,'Mark Leave'!$B:$B,$B10,'Mark Leave'!$E:$E,F$7)</f>
        <v>0</v>
      </c>
      <c r="G10" s="28">
        <f>COUNTIFS('Mark Leave'!$D:$D,"&gt;="&amp;$D$2,'Mark Leave'!$D:$D,"&lt;="&amp;$F$2,'Mark Leave'!$B:$B,$B10,'Mark Leave'!$E:$E,G$7)/2</f>
        <v>0</v>
      </c>
      <c r="H10" s="76">
        <f>COUNTIFS('Mark Leave'!$D:$D,"&gt;="&amp;$D$2,'Mark Leave'!$D:$D,"&lt;="&amp;$F$2,'Mark Leave'!$B:$B,$B10,'Mark Leave'!$E:$E,H$7)/2</f>
        <v>0</v>
      </c>
      <c r="I10" s="28">
        <f>COUNTIFS('Mark Leave'!$D:$D,"&gt;="&amp;$D$2,'Mark Leave'!$D:$D,"&lt;="&amp;$F$2,'Mark Leave'!$B:$B,$B10,'Mark Leave'!$E:$E,I$7)</f>
        <v>0</v>
      </c>
      <c r="J10" s="21">
        <f t="shared" si="2"/>
        <v>0</v>
      </c>
    </row>
    <row r="11" spans="2:10" ht="15.6" thickTop="1" thickBot="1">
      <c r="B11" s="34">
        <v>201918003</v>
      </c>
      <c r="C11" s="34" t="s">
        <v>20</v>
      </c>
      <c r="D11" s="18">
        <f>COUNTIFS('Mark Leave'!$D:$D,"&gt;="&amp;$D$2,'Mark Leave'!$D:$D,"&lt;="&amp;$F$2,'Mark Leave'!$B:$B,$B11,'Mark Leave'!$E:$E,D$7)</f>
        <v>0</v>
      </c>
      <c r="E11" s="18">
        <f>COUNTIFS('Mark Leave'!$D:$D,"&gt;="&amp;$D$2,'Mark Leave'!$D:$D,"&lt;="&amp;$F$2,'Mark Leave'!$B:$B,$B11,'Mark Leave'!$E:$E,E$7)</f>
        <v>0</v>
      </c>
      <c r="F11" s="18">
        <f>COUNTIFS('Mark Leave'!$D:$D,"&gt;="&amp;$D$2,'Mark Leave'!$D:$D,"&lt;="&amp;$F$2,'Mark Leave'!$B:$B,$B11,'Mark Leave'!$E:$E,F$7)</f>
        <v>0</v>
      </c>
      <c r="G11" s="28">
        <f>COUNTIFS('Mark Leave'!$D:$D,"&gt;="&amp;$D$2,'Mark Leave'!$D:$D,"&lt;="&amp;$F$2,'Mark Leave'!$B:$B,$B11,'Mark Leave'!$E:$E,G$7)/2</f>
        <v>0</v>
      </c>
      <c r="H11" s="76">
        <f>COUNTIFS('Mark Leave'!$D:$D,"&gt;="&amp;$D$2,'Mark Leave'!$D:$D,"&lt;="&amp;$F$2,'Mark Leave'!$B:$B,$B11,'Mark Leave'!$E:$E,H$7)/2</f>
        <v>0</v>
      </c>
      <c r="I11" s="28">
        <f>COUNTIFS('Mark Leave'!$D:$D,"&gt;="&amp;$D$2,'Mark Leave'!$D:$D,"&lt;="&amp;$F$2,'Mark Leave'!$B:$B,$B11,'Mark Leave'!$E:$E,I$7)</f>
        <v>0</v>
      </c>
      <c r="J11" s="21">
        <f t="shared" si="2"/>
        <v>0</v>
      </c>
    </row>
    <row r="12" spans="2:10" ht="15.6" thickTop="1" thickBot="1">
      <c r="B12" s="34">
        <v>201918004</v>
      </c>
      <c r="C12" s="34" t="s">
        <v>21</v>
      </c>
      <c r="D12" s="18">
        <f>COUNTIFS('Mark Leave'!$D:$D,"&gt;="&amp;$D$2,'Mark Leave'!$D:$D,"&lt;="&amp;$F$2,'Mark Leave'!$B:$B,$B12,'Mark Leave'!$E:$E,D$7)</f>
        <v>0</v>
      </c>
      <c r="E12" s="18">
        <f>COUNTIFS('Mark Leave'!$D:$D,"&gt;="&amp;$D$2,'Mark Leave'!$D:$D,"&lt;="&amp;$F$2,'Mark Leave'!$B:$B,$B12,'Mark Leave'!$E:$E,E$7)</f>
        <v>0</v>
      </c>
      <c r="F12" s="18">
        <f>COUNTIFS('Mark Leave'!$D:$D,"&gt;="&amp;$D$2,'Mark Leave'!$D:$D,"&lt;="&amp;$F$2,'Mark Leave'!$B:$B,$B12,'Mark Leave'!$E:$E,F$7)</f>
        <v>0</v>
      </c>
      <c r="G12" s="28">
        <f>COUNTIFS('Mark Leave'!$D:$D,"&gt;="&amp;$D$2,'Mark Leave'!$D:$D,"&lt;="&amp;$F$2,'Mark Leave'!$B:$B,$B12,'Mark Leave'!$E:$E,G$7)/2</f>
        <v>0</v>
      </c>
      <c r="H12" s="76">
        <f>COUNTIFS('Mark Leave'!$D:$D,"&gt;="&amp;$D$2,'Mark Leave'!$D:$D,"&lt;="&amp;$F$2,'Mark Leave'!$B:$B,$B12,'Mark Leave'!$E:$E,H$7)/2</f>
        <v>0</v>
      </c>
      <c r="I12" s="28">
        <f>COUNTIFS('Mark Leave'!$D:$D,"&gt;="&amp;$D$2,'Mark Leave'!$D:$D,"&lt;="&amp;$F$2,'Mark Leave'!$B:$B,$B12,'Mark Leave'!$E:$E,I$7)</f>
        <v>0</v>
      </c>
      <c r="J12" s="21">
        <f t="shared" si="2"/>
        <v>0</v>
      </c>
    </row>
    <row r="13" spans="2:10" ht="15.6" thickTop="1" thickBot="1">
      <c r="B13" s="34">
        <v>201918005</v>
      </c>
      <c r="C13" s="34" t="s">
        <v>22</v>
      </c>
      <c r="D13" s="18">
        <f>COUNTIFS('Mark Leave'!$D:$D,"&gt;="&amp;$D$2,'Mark Leave'!$D:$D,"&lt;="&amp;$F$2,'Mark Leave'!$B:$B,$B13,'Mark Leave'!$E:$E,D$7)</f>
        <v>0</v>
      </c>
      <c r="E13" s="18">
        <f>COUNTIFS('Mark Leave'!$D:$D,"&gt;="&amp;$D$2,'Mark Leave'!$D:$D,"&lt;="&amp;$F$2,'Mark Leave'!$B:$B,$B13,'Mark Leave'!$E:$E,E$7)</f>
        <v>0</v>
      </c>
      <c r="F13" s="18">
        <f>COUNTIFS('Mark Leave'!$D:$D,"&gt;="&amp;$D$2,'Mark Leave'!$D:$D,"&lt;="&amp;$F$2,'Mark Leave'!$B:$B,$B13,'Mark Leave'!$E:$E,F$7)</f>
        <v>0</v>
      </c>
      <c r="G13" s="28">
        <f>COUNTIFS('Mark Leave'!$D:$D,"&gt;="&amp;$D$2,'Mark Leave'!$D:$D,"&lt;="&amp;$F$2,'Mark Leave'!$B:$B,$B13,'Mark Leave'!$E:$E,G$7)/2</f>
        <v>0</v>
      </c>
      <c r="H13" s="76">
        <f>COUNTIFS('Mark Leave'!$D:$D,"&gt;="&amp;$D$2,'Mark Leave'!$D:$D,"&lt;="&amp;$F$2,'Mark Leave'!$B:$B,$B13,'Mark Leave'!$E:$E,H$7)/2</f>
        <v>0</v>
      </c>
      <c r="I13" s="28">
        <f>COUNTIFS('Mark Leave'!$D:$D,"&gt;="&amp;$D$2,'Mark Leave'!$D:$D,"&lt;="&amp;$F$2,'Mark Leave'!$B:$B,$B13,'Mark Leave'!$E:$E,I$7)</f>
        <v>0</v>
      </c>
      <c r="J13" s="21">
        <f t="shared" si="2"/>
        <v>0</v>
      </c>
    </row>
    <row r="14" spans="2:10" ht="15.6" thickTop="1" thickBot="1">
      <c r="B14" s="34">
        <v>202018006</v>
      </c>
      <c r="C14" s="34" t="s">
        <v>23</v>
      </c>
      <c r="D14" s="18">
        <f>COUNTIFS('Mark Leave'!$D:$D,"&gt;="&amp;$D$2,'Mark Leave'!$D:$D,"&lt;="&amp;$F$2,'Mark Leave'!$B:$B,$B14,'Mark Leave'!$E:$E,D$7)</f>
        <v>0</v>
      </c>
      <c r="E14" s="18">
        <f>COUNTIFS('Mark Leave'!$D:$D,"&gt;="&amp;$D$2,'Mark Leave'!$D:$D,"&lt;="&amp;$F$2,'Mark Leave'!$B:$B,$B14,'Mark Leave'!$E:$E,E$7)</f>
        <v>0</v>
      </c>
      <c r="F14" s="18">
        <f>COUNTIFS('Mark Leave'!$D:$D,"&gt;="&amp;$D$2,'Mark Leave'!$D:$D,"&lt;="&amp;$F$2,'Mark Leave'!$B:$B,$B14,'Mark Leave'!$E:$E,F$7)</f>
        <v>0</v>
      </c>
      <c r="G14" s="28">
        <f>COUNTIFS('Mark Leave'!$D:$D,"&gt;="&amp;$D$2,'Mark Leave'!$D:$D,"&lt;="&amp;$F$2,'Mark Leave'!$B:$B,$B14,'Mark Leave'!$E:$E,G$7)/2</f>
        <v>0</v>
      </c>
      <c r="H14" s="76">
        <f>COUNTIFS('Mark Leave'!$D:$D,"&gt;="&amp;$D$2,'Mark Leave'!$D:$D,"&lt;="&amp;$F$2,'Mark Leave'!$B:$B,$B14,'Mark Leave'!$E:$E,H$7)/2</f>
        <v>0</v>
      </c>
      <c r="I14" s="28">
        <f>COUNTIFS('Mark Leave'!$D:$D,"&gt;="&amp;$D$2,'Mark Leave'!$D:$D,"&lt;="&amp;$F$2,'Mark Leave'!$B:$B,$B14,'Mark Leave'!$E:$E,I$7)</f>
        <v>0</v>
      </c>
      <c r="J14" s="21">
        <f t="shared" si="2"/>
        <v>0</v>
      </c>
    </row>
    <row r="15" spans="2:10" ht="15.6" thickTop="1" thickBot="1">
      <c r="B15" s="34">
        <v>202118007</v>
      </c>
      <c r="C15" s="34" t="s">
        <v>24</v>
      </c>
      <c r="D15" s="18">
        <f>COUNTIFS('Mark Leave'!$D:$D,"&gt;="&amp;$D$2,'Mark Leave'!$D:$D,"&lt;="&amp;$F$2,'Mark Leave'!$B:$B,$B15,'Mark Leave'!$E:$E,D$7)</f>
        <v>0</v>
      </c>
      <c r="E15" s="18">
        <f>COUNTIFS('Mark Leave'!$D:$D,"&gt;="&amp;$D$2,'Mark Leave'!$D:$D,"&lt;="&amp;$F$2,'Mark Leave'!$B:$B,$B15,'Mark Leave'!$E:$E,E$7)</f>
        <v>0</v>
      </c>
      <c r="F15" s="18">
        <f>COUNTIFS('Mark Leave'!$D:$D,"&gt;="&amp;$D$2,'Mark Leave'!$D:$D,"&lt;="&amp;$F$2,'Mark Leave'!$B:$B,$B15,'Mark Leave'!$E:$E,F$7)</f>
        <v>0</v>
      </c>
      <c r="G15" s="28">
        <f>COUNTIFS('Mark Leave'!$D:$D,"&gt;="&amp;$D$2,'Mark Leave'!$D:$D,"&lt;="&amp;$F$2,'Mark Leave'!$B:$B,$B15,'Mark Leave'!$E:$E,G$7)/2</f>
        <v>0</v>
      </c>
      <c r="H15" s="76">
        <f>COUNTIFS('Mark Leave'!$D:$D,"&gt;="&amp;$D$2,'Mark Leave'!$D:$D,"&lt;="&amp;$F$2,'Mark Leave'!$B:$B,$B15,'Mark Leave'!$E:$E,H$7)/2</f>
        <v>0</v>
      </c>
      <c r="I15" s="28">
        <f>COUNTIFS('Mark Leave'!$D:$D,"&gt;="&amp;$D$2,'Mark Leave'!$D:$D,"&lt;="&amp;$F$2,'Mark Leave'!$B:$B,$B15,'Mark Leave'!$E:$E,I$7)</f>
        <v>0</v>
      </c>
      <c r="J15" s="21">
        <f t="shared" si="2"/>
        <v>0</v>
      </c>
    </row>
    <row r="16" spans="2:10" ht="15.6" thickTop="1" thickBot="1">
      <c r="B16" s="34">
        <v>202118008</v>
      </c>
      <c r="C16" s="34" t="s">
        <v>25</v>
      </c>
      <c r="D16" s="18">
        <f>COUNTIFS('Mark Leave'!$D:$D,"&gt;="&amp;$D$2,'Mark Leave'!$D:$D,"&lt;="&amp;$F$2,'Mark Leave'!$B:$B,$B16,'Mark Leave'!$E:$E,D$7)</f>
        <v>0</v>
      </c>
      <c r="E16" s="18">
        <f>COUNTIFS('Mark Leave'!$D:$D,"&gt;="&amp;$D$2,'Mark Leave'!$D:$D,"&lt;="&amp;$F$2,'Mark Leave'!$B:$B,$B16,'Mark Leave'!$E:$E,E$7)</f>
        <v>0</v>
      </c>
      <c r="F16" s="18">
        <f>COUNTIFS('Mark Leave'!$D:$D,"&gt;="&amp;$D$2,'Mark Leave'!$D:$D,"&lt;="&amp;$F$2,'Mark Leave'!$B:$B,$B16,'Mark Leave'!$E:$E,F$7)</f>
        <v>0</v>
      </c>
      <c r="G16" s="28">
        <f>COUNTIFS('Mark Leave'!$D:$D,"&gt;="&amp;$D$2,'Mark Leave'!$D:$D,"&lt;="&amp;$F$2,'Mark Leave'!$B:$B,$B16,'Mark Leave'!$E:$E,G$7)/2</f>
        <v>0</v>
      </c>
      <c r="H16" s="76">
        <f>COUNTIFS('Mark Leave'!$D:$D,"&gt;="&amp;$D$2,'Mark Leave'!$D:$D,"&lt;="&amp;$F$2,'Mark Leave'!$B:$B,$B16,'Mark Leave'!$E:$E,H$7)/2</f>
        <v>0</v>
      </c>
      <c r="I16" s="28">
        <f>COUNTIFS('Mark Leave'!$D:$D,"&gt;="&amp;$D$2,'Mark Leave'!$D:$D,"&lt;="&amp;$F$2,'Mark Leave'!$B:$B,$B16,'Mark Leave'!$E:$E,I$7)</f>
        <v>0</v>
      </c>
      <c r="J16" s="21">
        <f t="shared" si="2"/>
        <v>0</v>
      </c>
    </row>
    <row r="17" spans="2:10" ht="15.6" thickTop="1" thickBot="1">
      <c r="B17" s="34">
        <v>202218009</v>
      </c>
      <c r="C17" s="34" t="s">
        <v>26</v>
      </c>
      <c r="D17" s="18">
        <f>COUNTIFS('Mark Leave'!$D:$D,"&gt;="&amp;$D$2,'Mark Leave'!$D:$D,"&lt;="&amp;$F$2,'Mark Leave'!$B:$B,$B17,'Mark Leave'!$E:$E,D$7)</f>
        <v>0</v>
      </c>
      <c r="E17" s="18">
        <f>COUNTIFS('Mark Leave'!$D:$D,"&gt;="&amp;$D$2,'Mark Leave'!$D:$D,"&lt;="&amp;$F$2,'Mark Leave'!$B:$B,$B17,'Mark Leave'!$E:$E,E$7)</f>
        <v>0</v>
      </c>
      <c r="F17" s="18">
        <f>COUNTIFS('Mark Leave'!$D:$D,"&gt;="&amp;$D$2,'Mark Leave'!$D:$D,"&lt;="&amp;$F$2,'Mark Leave'!$B:$B,$B17,'Mark Leave'!$E:$E,F$7)</f>
        <v>0</v>
      </c>
      <c r="G17" s="28">
        <f>COUNTIFS('Mark Leave'!$D:$D,"&gt;="&amp;$D$2,'Mark Leave'!$D:$D,"&lt;="&amp;$F$2,'Mark Leave'!$B:$B,$B17,'Mark Leave'!$E:$E,G$7)/2</f>
        <v>0</v>
      </c>
      <c r="H17" s="76">
        <f>COUNTIFS('Mark Leave'!$D:$D,"&gt;="&amp;$D$2,'Mark Leave'!$D:$D,"&lt;="&amp;$F$2,'Mark Leave'!$B:$B,$B17,'Mark Leave'!$E:$E,H$7)/2</f>
        <v>0</v>
      </c>
      <c r="I17" s="28">
        <f>COUNTIFS('Mark Leave'!$D:$D,"&gt;="&amp;$D$2,'Mark Leave'!$D:$D,"&lt;="&amp;$F$2,'Mark Leave'!$B:$B,$B17,'Mark Leave'!$E:$E,I$7)</f>
        <v>0</v>
      </c>
      <c r="J17" s="21">
        <f t="shared" si="2"/>
        <v>0</v>
      </c>
    </row>
    <row r="18" spans="2:10" ht="15.6" thickTop="1" thickBot="1">
      <c r="B18" s="34">
        <v>202218010</v>
      </c>
      <c r="C18" s="34" t="s">
        <v>27</v>
      </c>
      <c r="D18" s="18">
        <f>COUNTIFS('Mark Leave'!$D:$D,"&gt;="&amp;$D$2,'Mark Leave'!$D:$D,"&lt;="&amp;$F$2,'Mark Leave'!$B:$B,$B18,'Mark Leave'!$E:$E,D$7)</f>
        <v>0</v>
      </c>
      <c r="E18" s="18">
        <f>COUNTIFS('Mark Leave'!$D:$D,"&gt;="&amp;$D$2,'Mark Leave'!$D:$D,"&lt;="&amp;$F$2,'Mark Leave'!$B:$B,$B18,'Mark Leave'!$E:$E,E$7)</f>
        <v>0</v>
      </c>
      <c r="F18" s="18">
        <f>COUNTIFS('Mark Leave'!$D:$D,"&gt;="&amp;$D$2,'Mark Leave'!$D:$D,"&lt;="&amp;$F$2,'Mark Leave'!$B:$B,$B18,'Mark Leave'!$E:$E,F$7)</f>
        <v>0</v>
      </c>
      <c r="G18" s="28">
        <f>COUNTIFS('Mark Leave'!$D:$D,"&gt;="&amp;$D$2,'Mark Leave'!$D:$D,"&lt;="&amp;$F$2,'Mark Leave'!$B:$B,$B18,'Mark Leave'!$E:$E,G$7)/2</f>
        <v>0</v>
      </c>
      <c r="H18" s="76">
        <f>COUNTIFS('Mark Leave'!$D:$D,"&gt;="&amp;$D$2,'Mark Leave'!$D:$D,"&lt;="&amp;$F$2,'Mark Leave'!$B:$B,$B18,'Mark Leave'!$E:$E,H$7)/2</f>
        <v>0</v>
      </c>
      <c r="I18" s="28">
        <f>COUNTIFS('Mark Leave'!$D:$D,"&gt;="&amp;$D$2,'Mark Leave'!$D:$D,"&lt;="&amp;$F$2,'Mark Leave'!$B:$B,$B18,'Mark Leave'!$E:$E,I$7)</f>
        <v>0</v>
      </c>
      <c r="J18" s="21">
        <f t="shared" si="2"/>
        <v>0</v>
      </c>
    </row>
    <row r="19" spans="2:10" ht="15.6" thickTop="1" thickBot="1">
      <c r="B19" s="34">
        <v>202218011</v>
      </c>
      <c r="C19" s="34" t="s">
        <v>28</v>
      </c>
      <c r="D19" s="18">
        <f>COUNTIFS('Mark Leave'!$D:$D,"&gt;="&amp;$D$2,'Mark Leave'!$D:$D,"&lt;="&amp;$F$2,'Mark Leave'!$B:$B,$B19,'Mark Leave'!$E:$E,D$7)</f>
        <v>0</v>
      </c>
      <c r="E19" s="18">
        <f>COUNTIFS('Mark Leave'!$D:$D,"&gt;="&amp;$D$2,'Mark Leave'!$D:$D,"&lt;="&amp;$F$2,'Mark Leave'!$B:$B,$B19,'Mark Leave'!$E:$E,E$7)</f>
        <v>0</v>
      </c>
      <c r="F19" s="18">
        <f>COUNTIFS('Mark Leave'!$D:$D,"&gt;="&amp;$D$2,'Mark Leave'!$D:$D,"&lt;="&amp;$F$2,'Mark Leave'!$B:$B,$B19,'Mark Leave'!$E:$E,F$7)</f>
        <v>0</v>
      </c>
      <c r="G19" s="28">
        <f>COUNTIFS('Mark Leave'!$D:$D,"&gt;="&amp;$D$2,'Mark Leave'!$D:$D,"&lt;="&amp;$F$2,'Mark Leave'!$B:$B,$B19,'Mark Leave'!$E:$E,G$7)/2</f>
        <v>0</v>
      </c>
      <c r="H19" s="76">
        <f>COUNTIFS('Mark Leave'!$D:$D,"&gt;="&amp;$D$2,'Mark Leave'!$D:$D,"&lt;="&amp;$F$2,'Mark Leave'!$B:$B,$B19,'Mark Leave'!$E:$E,H$7)/2</f>
        <v>0</v>
      </c>
      <c r="I19" s="28">
        <f>COUNTIFS('Mark Leave'!$D:$D,"&gt;="&amp;$D$2,'Mark Leave'!$D:$D,"&lt;="&amp;$F$2,'Mark Leave'!$B:$B,$B19,'Mark Leave'!$E:$E,I$7)</f>
        <v>0</v>
      </c>
      <c r="J19" s="21">
        <f t="shared" si="2"/>
        <v>0</v>
      </c>
    </row>
    <row r="20" spans="2:10" ht="15.6" thickTop="1" thickBot="1">
      <c r="B20" s="34">
        <v>202218012</v>
      </c>
      <c r="C20" s="34" t="s">
        <v>29</v>
      </c>
      <c r="D20" s="18">
        <f>COUNTIFS('Mark Leave'!$D:$D,"&gt;="&amp;$D$2,'Mark Leave'!$D:$D,"&lt;="&amp;$F$2,'Mark Leave'!$B:$B,$B20,'Mark Leave'!$E:$E,D$7)</f>
        <v>0</v>
      </c>
      <c r="E20" s="18">
        <f>COUNTIFS('Mark Leave'!$D:$D,"&gt;="&amp;$D$2,'Mark Leave'!$D:$D,"&lt;="&amp;$F$2,'Mark Leave'!$B:$B,$B20,'Mark Leave'!$E:$E,E$7)</f>
        <v>0</v>
      </c>
      <c r="F20" s="18">
        <f>COUNTIFS('Mark Leave'!$D:$D,"&gt;="&amp;$D$2,'Mark Leave'!$D:$D,"&lt;="&amp;$F$2,'Mark Leave'!$B:$B,$B20,'Mark Leave'!$E:$E,F$7)</f>
        <v>0</v>
      </c>
      <c r="G20" s="28">
        <f>COUNTIFS('Mark Leave'!$D:$D,"&gt;="&amp;$D$2,'Mark Leave'!$D:$D,"&lt;="&amp;$F$2,'Mark Leave'!$B:$B,$B20,'Mark Leave'!$E:$E,G$7)/2</f>
        <v>0</v>
      </c>
      <c r="H20" s="76">
        <f>COUNTIFS('Mark Leave'!$D:$D,"&gt;="&amp;$D$2,'Mark Leave'!$D:$D,"&lt;="&amp;$F$2,'Mark Leave'!$B:$B,$B20,'Mark Leave'!$E:$E,H$7)/2</f>
        <v>0</v>
      </c>
      <c r="I20" s="28">
        <f>COUNTIFS('Mark Leave'!$D:$D,"&gt;="&amp;$D$2,'Mark Leave'!$D:$D,"&lt;="&amp;$F$2,'Mark Leave'!$B:$B,$B20,'Mark Leave'!$E:$E,I$7)</f>
        <v>0</v>
      </c>
      <c r="J20" s="21">
        <f t="shared" si="2"/>
        <v>0</v>
      </c>
    </row>
    <row r="21" spans="2:10" ht="15.6" thickTop="1" thickBot="1">
      <c r="B21" s="34">
        <v>202218013</v>
      </c>
      <c r="C21" s="34" t="s">
        <v>30</v>
      </c>
      <c r="D21" s="18">
        <f>COUNTIFS('Mark Leave'!$D:$D,"&gt;="&amp;$D$2,'Mark Leave'!$D:$D,"&lt;="&amp;$F$2,'Mark Leave'!$B:$B,$B21,'Mark Leave'!$E:$E,D$7)</f>
        <v>0</v>
      </c>
      <c r="E21" s="18">
        <f>COUNTIFS('Mark Leave'!$D:$D,"&gt;="&amp;$D$2,'Mark Leave'!$D:$D,"&lt;="&amp;$F$2,'Mark Leave'!$B:$B,$B21,'Mark Leave'!$E:$E,E$7)</f>
        <v>0</v>
      </c>
      <c r="F21" s="18">
        <f>COUNTIFS('Mark Leave'!$D:$D,"&gt;="&amp;$D$2,'Mark Leave'!$D:$D,"&lt;="&amp;$F$2,'Mark Leave'!$B:$B,$B21,'Mark Leave'!$E:$E,F$7)</f>
        <v>0</v>
      </c>
      <c r="G21" s="28">
        <f>COUNTIFS('Mark Leave'!$D:$D,"&gt;="&amp;$D$2,'Mark Leave'!$D:$D,"&lt;="&amp;$F$2,'Mark Leave'!$B:$B,$B21,'Mark Leave'!$E:$E,G$7)/2</f>
        <v>0</v>
      </c>
      <c r="H21" s="76">
        <f>COUNTIFS('Mark Leave'!$D:$D,"&gt;="&amp;$D$2,'Mark Leave'!$D:$D,"&lt;="&amp;$F$2,'Mark Leave'!$B:$B,$B21,'Mark Leave'!$E:$E,H$7)/2</f>
        <v>0</v>
      </c>
      <c r="I21" s="28">
        <f>COUNTIFS('Mark Leave'!$D:$D,"&gt;="&amp;$D$2,'Mark Leave'!$D:$D,"&lt;="&amp;$F$2,'Mark Leave'!$B:$B,$B21,'Mark Leave'!$E:$E,I$7)</f>
        <v>0</v>
      </c>
      <c r="J21" s="21">
        <f t="shared" si="2"/>
        <v>0</v>
      </c>
    </row>
    <row r="22" spans="2:10" ht="15.6" thickTop="1" thickBot="1">
      <c r="B22" s="34">
        <v>202220002</v>
      </c>
      <c r="C22" s="34" t="s">
        <v>31</v>
      </c>
      <c r="D22" s="18">
        <f>COUNTIFS('Mark Leave'!$D:$D,"&gt;="&amp;$D$2,'Mark Leave'!$D:$D,"&lt;="&amp;$F$2,'Mark Leave'!$B:$B,$B22,'Mark Leave'!$E:$E,D$7)</f>
        <v>0</v>
      </c>
      <c r="E22" s="18">
        <f>COUNTIFS('Mark Leave'!$D:$D,"&gt;="&amp;$D$2,'Mark Leave'!$D:$D,"&lt;="&amp;$F$2,'Mark Leave'!$B:$B,$B22,'Mark Leave'!$E:$E,E$7)</f>
        <v>0</v>
      </c>
      <c r="F22" s="18">
        <f>COUNTIFS('Mark Leave'!$D:$D,"&gt;="&amp;$D$2,'Mark Leave'!$D:$D,"&lt;="&amp;$F$2,'Mark Leave'!$B:$B,$B22,'Mark Leave'!$E:$E,F$7)</f>
        <v>0</v>
      </c>
      <c r="G22" s="28">
        <f>COUNTIFS('Mark Leave'!$D:$D,"&gt;="&amp;$D$2,'Mark Leave'!$D:$D,"&lt;="&amp;$F$2,'Mark Leave'!$B:$B,$B22,'Mark Leave'!$E:$E,G$7)/2</f>
        <v>0</v>
      </c>
      <c r="H22" s="76">
        <f>COUNTIFS('Mark Leave'!$D:$D,"&gt;="&amp;$D$2,'Mark Leave'!$D:$D,"&lt;="&amp;$F$2,'Mark Leave'!$B:$B,$B22,'Mark Leave'!$E:$E,H$7)/2</f>
        <v>0</v>
      </c>
      <c r="I22" s="28">
        <f>COUNTIFS('Mark Leave'!$D:$D,"&gt;="&amp;$D$2,'Mark Leave'!$D:$D,"&lt;="&amp;$F$2,'Mark Leave'!$B:$B,$B22,'Mark Leave'!$E:$E,I$7)</f>
        <v>0</v>
      </c>
      <c r="J22" s="21">
        <f t="shared" si="2"/>
        <v>0</v>
      </c>
    </row>
    <row r="23" spans="2:10" ht="15.6" thickTop="1" thickBot="1">
      <c r="B23" s="34">
        <v>202218014</v>
      </c>
      <c r="C23" s="34" t="s">
        <v>32</v>
      </c>
      <c r="D23" s="18">
        <f>COUNTIFS('Mark Leave'!$D:$D,"&gt;="&amp;$D$2,'Mark Leave'!$D:$D,"&lt;="&amp;$F$2,'Mark Leave'!$B:$B,$B23,'Mark Leave'!$E:$E,D$7)</f>
        <v>0</v>
      </c>
      <c r="E23" s="18">
        <f>COUNTIFS('Mark Leave'!$D:$D,"&gt;="&amp;$D$2,'Mark Leave'!$D:$D,"&lt;="&amp;$F$2,'Mark Leave'!$B:$B,$B23,'Mark Leave'!$E:$E,E$7)</f>
        <v>0</v>
      </c>
      <c r="F23" s="18">
        <f>COUNTIFS('Mark Leave'!$D:$D,"&gt;="&amp;$D$2,'Mark Leave'!$D:$D,"&lt;="&amp;$F$2,'Mark Leave'!$B:$B,$B23,'Mark Leave'!$E:$E,F$7)</f>
        <v>0</v>
      </c>
      <c r="G23" s="28">
        <f>COUNTIFS('Mark Leave'!$D:$D,"&gt;="&amp;$D$2,'Mark Leave'!$D:$D,"&lt;="&amp;$F$2,'Mark Leave'!$B:$B,$B23,'Mark Leave'!$E:$E,G$7)/2</f>
        <v>0</v>
      </c>
      <c r="H23" s="76">
        <f>COUNTIFS('Mark Leave'!$D:$D,"&gt;="&amp;$D$2,'Mark Leave'!$D:$D,"&lt;="&amp;$F$2,'Mark Leave'!$B:$B,$B23,'Mark Leave'!$E:$E,H$7)/2</f>
        <v>0</v>
      </c>
      <c r="I23" s="28">
        <f>COUNTIFS('Mark Leave'!$D:$D,"&gt;="&amp;$D$2,'Mark Leave'!$D:$D,"&lt;="&amp;$F$2,'Mark Leave'!$B:$B,$B23,'Mark Leave'!$E:$E,I$7)</f>
        <v>0</v>
      </c>
      <c r="J23" s="21">
        <f t="shared" si="2"/>
        <v>0</v>
      </c>
    </row>
    <row r="24" spans="2:10" ht="15.6" thickTop="1" thickBot="1">
      <c r="B24" s="34">
        <v>202320003</v>
      </c>
      <c r="C24" s="34" t="s">
        <v>33</v>
      </c>
      <c r="D24" s="18">
        <f>COUNTIFS('Mark Leave'!$D:$D,"&gt;="&amp;$D$2,'Mark Leave'!$D:$D,"&lt;="&amp;$F$2,'Mark Leave'!$B:$B,$B24,'Mark Leave'!$E:$E,D$7)</f>
        <v>0</v>
      </c>
      <c r="E24" s="18">
        <f>COUNTIFS('Mark Leave'!$D:$D,"&gt;="&amp;$D$2,'Mark Leave'!$D:$D,"&lt;="&amp;$F$2,'Mark Leave'!$B:$B,$B24,'Mark Leave'!$E:$E,E$7)</f>
        <v>0</v>
      </c>
      <c r="F24" s="18">
        <f>COUNTIFS('Mark Leave'!$D:$D,"&gt;="&amp;$D$2,'Mark Leave'!$D:$D,"&lt;="&amp;$F$2,'Mark Leave'!$B:$B,$B24,'Mark Leave'!$E:$E,F$7)</f>
        <v>0</v>
      </c>
      <c r="G24" s="28">
        <f>COUNTIFS('Mark Leave'!$D:$D,"&gt;="&amp;$D$2,'Mark Leave'!$D:$D,"&lt;="&amp;$F$2,'Mark Leave'!$B:$B,$B24,'Mark Leave'!$E:$E,G$7)/2</f>
        <v>0</v>
      </c>
      <c r="H24" s="76">
        <f>COUNTIFS('Mark Leave'!$D:$D,"&gt;="&amp;$D$2,'Mark Leave'!$D:$D,"&lt;="&amp;$F$2,'Mark Leave'!$B:$B,$B24,'Mark Leave'!$E:$E,H$7)/2</f>
        <v>0</v>
      </c>
      <c r="I24" s="28">
        <f>COUNTIFS('Mark Leave'!$D:$D,"&gt;="&amp;$D$2,'Mark Leave'!$D:$D,"&lt;="&amp;$F$2,'Mark Leave'!$B:$B,$B24,'Mark Leave'!$E:$E,I$7)</f>
        <v>0</v>
      </c>
      <c r="J24" s="21">
        <f t="shared" si="2"/>
        <v>0</v>
      </c>
    </row>
    <row r="25" spans="2:10" ht="15.6" thickTop="1" thickBot="1">
      <c r="B25" s="34">
        <v>202318015</v>
      </c>
      <c r="C25" s="34" t="s">
        <v>34</v>
      </c>
      <c r="D25" s="18">
        <f>COUNTIFS('Mark Leave'!$D:$D,"&gt;="&amp;$D$2,'Mark Leave'!$D:$D,"&lt;="&amp;$F$2,'Mark Leave'!$B:$B,$B25,'Mark Leave'!$E:$E,D$7)</f>
        <v>0</v>
      </c>
      <c r="E25" s="18">
        <f>COUNTIFS('Mark Leave'!$D:$D,"&gt;="&amp;$D$2,'Mark Leave'!$D:$D,"&lt;="&amp;$F$2,'Mark Leave'!$B:$B,$B25,'Mark Leave'!$E:$E,E$7)</f>
        <v>0</v>
      </c>
      <c r="F25" s="18">
        <f>COUNTIFS('Mark Leave'!$D:$D,"&gt;="&amp;$D$2,'Mark Leave'!$D:$D,"&lt;="&amp;$F$2,'Mark Leave'!$B:$B,$B25,'Mark Leave'!$E:$E,F$7)</f>
        <v>0</v>
      </c>
      <c r="G25" s="28">
        <f>COUNTIFS('Mark Leave'!$D:$D,"&gt;="&amp;$D$2,'Mark Leave'!$D:$D,"&lt;="&amp;$F$2,'Mark Leave'!$B:$B,$B25,'Mark Leave'!$E:$E,G$7)/2</f>
        <v>0</v>
      </c>
      <c r="H25" s="76">
        <f>COUNTIFS('Mark Leave'!$D:$D,"&gt;="&amp;$D$2,'Mark Leave'!$D:$D,"&lt;="&amp;$F$2,'Mark Leave'!$B:$B,$B25,'Mark Leave'!$E:$E,H$7)/2</f>
        <v>0</v>
      </c>
      <c r="I25" s="28">
        <f>COUNTIFS('Mark Leave'!$D:$D,"&gt;="&amp;$D$2,'Mark Leave'!$D:$D,"&lt;="&amp;$F$2,'Mark Leave'!$B:$B,$B25,'Mark Leave'!$E:$E,I$7)</f>
        <v>0</v>
      </c>
      <c r="J25" s="21">
        <f t="shared" si="2"/>
        <v>0</v>
      </c>
    </row>
    <row r="26" spans="2:10" ht="15.6" thickTop="1" thickBot="1">
      <c r="B26" s="34">
        <v>202320004</v>
      </c>
      <c r="C26" s="34" t="s">
        <v>35</v>
      </c>
      <c r="D26" s="18">
        <f>COUNTIFS('Mark Leave'!$D:$D,"&gt;="&amp;$D$2,'Mark Leave'!$D:$D,"&lt;="&amp;$F$2,'Mark Leave'!$B:$B,$B26,'Mark Leave'!$E:$E,D$7)</f>
        <v>0</v>
      </c>
      <c r="E26" s="18">
        <f>COUNTIFS('Mark Leave'!$D:$D,"&gt;="&amp;$D$2,'Mark Leave'!$D:$D,"&lt;="&amp;$F$2,'Mark Leave'!$B:$B,$B26,'Mark Leave'!$E:$E,E$7)</f>
        <v>0</v>
      </c>
      <c r="F26" s="18">
        <f>COUNTIFS('Mark Leave'!$D:$D,"&gt;="&amp;$D$2,'Mark Leave'!$D:$D,"&lt;="&amp;$F$2,'Mark Leave'!$B:$B,$B26,'Mark Leave'!$E:$E,F$7)</f>
        <v>0</v>
      </c>
      <c r="G26" s="28">
        <f>COUNTIFS('Mark Leave'!$D:$D,"&gt;="&amp;$D$2,'Mark Leave'!$D:$D,"&lt;="&amp;$F$2,'Mark Leave'!$B:$B,$B26,'Mark Leave'!$E:$E,G$7)/2</f>
        <v>0</v>
      </c>
      <c r="H26" s="76">
        <f>COUNTIFS('Mark Leave'!$D:$D,"&gt;="&amp;$D$2,'Mark Leave'!$D:$D,"&lt;="&amp;$F$2,'Mark Leave'!$B:$B,$B26,'Mark Leave'!$E:$E,H$7)/2</f>
        <v>0</v>
      </c>
      <c r="I26" s="28">
        <f>COUNTIFS('Mark Leave'!$D:$D,"&gt;="&amp;$D$2,'Mark Leave'!$D:$D,"&lt;="&amp;$F$2,'Mark Leave'!$B:$B,$B26,'Mark Leave'!$E:$E,I$7)</f>
        <v>0</v>
      </c>
      <c r="J26" s="21">
        <f t="shared" si="2"/>
        <v>0</v>
      </c>
    </row>
    <row r="27" spans="2:10" ht="15.6" thickTop="1" thickBot="1">
      <c r="B27" s="34">
        <v>202318016</v>
      </c>
      <c r="C27" s="34" t="s">
        <v>36</v>
      </c>
      <c r="D27" s="22">
        <f>COUNTIFS('Mark Leave'!$D:$D,"&gt;="&amp;$D$2,'Mark Leave'!$D:$D,"&lt;="&amp;$F$2,'Mark Leave'!$B:$B,$B27,'Mark Leave'!$E:$E,D$7)</f>
        <v>0</v>
      </c>
      <c r="E27" s="22">
        <f>COUNTIFS('Mark Leave'!$D:$D,"&gt;="&amp;$D$2,'Mark Leave'!$D:$D,"&lt;="&amp;$F$2,'Mark Leave'!$B:$B,$B27,'Mark Leave'!$E:$E,E$7)</f>
        <v>0</v>
      </c>
      <c r="F27" s="22">
        <f>COUNTIFS('Mark Leave'!$D:$D,"&gt;="&amp;$D$2,'Mark Leave'!$D:$D,"&lt;="&amp;$F$2,'Mark Leave'!$B:$B,$B27,'Mark Leave'!$E:$E,F$7)</f>
        <v>0</v>
      </c>
      <c r="G27" s="29">
        <f>COUNTIFS('Mark Leave'!$D:$D,"&gt;="&amp;$D$2,'Mark Leave'!$D:$D,"&lt;="&amp;$F$2,'Mark Leave'!$B:$B,$B27,'Mark Leave'!$E:$E,G$7)/2</f>
        <v>0</v>
      </c>
      <c r="H27" s="76">
        <f>COUNTIFS('Mark Leave'!$D:$D,"&gt;="&amp;$D$2,'Mark Leave'!$D:$D,"&lt;="&amp;$F$2,'Mark Leave'!$B:$B,$B27,'Mark Leave'!$E:$E,H$7)/2</f>
        <v>0</v>
      </c>
      <c r="I27" s="29">
        <f>COUNTIFS('Mark Leave'!$D:$D,"&gt;="&amp;$D$2,'Mark Leave'!$D:$D,"&lt;="&amp;$F$2,'Mark Leave'!$B:$B,$B27,'Mark Leave'!$E:$E,I$7)</f>
        <v>0</v>
      </c>
      <c r="J27" s="21">
        <f t="shared" si="2"/>
        <v>0</v>
      </c>
    </row>
    <row r="28" spans="2:10" ht="15.6" thickTop="1" thickBot="1">
      <c r="B28" s="34">
        <v>202318017</v>
      </c>
      <c r="C28" s="34" t="s">
        <v>37</v>
      </c>
      <c r="D28" s="22">
        <f>COUNTIFS('Mark Leave'!$D:$D,"&gt;="&amp;$D$2,'Mark Leave'!$D:$D,"&lt;="&amp;$F$2,'Mark Leave'!$B:$B,$B28,'Mark Leave'!$E:$E,D$7)</f>
        <v>0</v>
      </c>
      <c r="E28" s="22">
        <f>COUNTIFS('Mark Leave'!$D:$D,"&gt;="&amp;$D$2,'Mark Leave'!$D:$D,"&lt;="&amp;$F$2,'Mark Leave'!$B:$B,$B28,'Mark Leave'!$E:$E,E$7)</f>
        <v>0</v>
      </c>
      <c r="F28" s="22">
        <f>COUNTIFS('Mark Leave'!$D:$D,"&gt;="&amp;$D$2,'Mark Leave'!$D:$D,"&lt;="&amp;$F$2,'Mark Leave'!$B:$B,$B28,'Mark Leave'!$E:$E,F$7)</f>
        <v>0</v>
      </c>
      <c r="G28" s="29">
        <f>COUNTIFS('Mark Leave'!$D:$D,"&gt;="&amp;$D$2,'Mark Leave'!$D:$D,"&lt;="&amp;$F$2,'Mark Leave'!$B:$B,$B28,'Mark Leave'!$E:$E,G$7)/2</f>
        <v>0</v>
      </c>
      <c r="H28" s="76">
        <f>COUNTIFS('Mark Leave'!$D:$D,"&gt;="&amp;$D$2,'Mark Leave'!$D:$D,"&lt;="&amp;$F$2,'Mark Leave'!$B:$B,$B28,'Mark Leave'!$E:$E,H$7)/2</f>
        <v>0</v>
      </c>
      <c r="I28" s="29">
        <f>COUNTIFS('Mark Leave'!$D:$D,"&gt;="&amp;$D$2,'Mark Leave'!$D:$D,"&lt;="&amp;$F$2,'Mark Leave'!$B:$B,$B28,'Mark Leave'!$E:$E,I$7)</f>
        <v>0</v>
      </c>
      <c r="J28" s="21">
        <f t="shared" ref="J28:J58" si="3">SUM(D28:G28)</f>
        <v>0</v>
      </c>
    </row>
    <row r="29" spans="2:10" ht="15.6" thickTop="1" thickBot="1">
      <c r="B29" s="34">
        <v>202320005</v>
      </c>
      <c r="C29" s="34" t="s">
        <v>38</v>
      </c>
      <c r="D29" s="22">
        <f>COUNTIFS('Mark Leave'!$D:$D,"&gt;="&amp;$D$2,'Mark Leave'!$D:$D,"&lt;="&amp;$F$2,'Mark Leave'!$B:$B,$B29,'Mark Leave'!$E:$E,D$7)</f>
        <v>0</v>
      </c>
      <c r="E29" s="22">
        <f>COUNTIFS('Mark Leave'!$D:$D,"&gt;="&amp;$D$2,'Mark Leave'!$D:$D,"&lt;="&amp;$F$2,'Mark Leave'!$B:$B,$B29,'Mark Leave'!$E:$E,E$7)</f>
        <v>0</v>
      </c>
      <c r="F29" s="22">
        <f>COUNTIFS('Mark Leave'!$D:$D,"&gt;="&amp;$D$2,'Mark Leave'!$D:$D,"&lt;="&amp;$F$2,'Mark Leave'!$B:$B,$B29,'Mark Leave'!$E:$E,F$7)</f>
        <v>0</v>
      </c>
      <c r="G29" s="29">
        <f>COUNTIFS('Mark Leave'!$D:$D,"&gt;="&amp;$D$2,'Mark Leave'!$D:$D,"&lt;="&amp;$F$2,'Mark Leave'!$B:$B,$B29,'Mark Leave'!$E:$E,G$7)/2</f>
        <v>0</v>
      </c>
      <c r="H29" s="76">
        <f>COUNTIFS('Mark Leave'!$D:$D,"&gt;="&amp;$D$2,'Mark Leave'!$D:$D,"&lt;="&amp;$F$2,'Mark Leave'!$B:$B,$B29,'Mark Leave'!$E:$E,H$7)/2</f>
        <v>0</v>
      </c>
      <c r="I29" s="29">
        <f>COUNTIFS('Mark Leave'!$D:$D,"&gt;="&amp;$D$2,'Mark Leave'!$D:$D,"&lt;="&amp;$F$2,'Mark Leave'!$B:$B,$B29,'Mark Leave'!$E:$E,I$7)</f>
        <v>0</v>
      </c>
      <c r="J29" s="21">
        <f t="shared" si="3"/>
        <v>0</v>
      </c>
    </row>
    <row r="30" spans="2:10" ht="15.6" thickTop="1" thickBot="1">
      <c r="B30" s="34">
        <v>202320006</v>
      </c>
      <c r="C30" s="34" t="s">
        <v>39</v>
      </c>
      <c r="D30" s="22">
        <f>COUNTIFS('Mark Leave'!$D:$D,"&gt;="&amp;$D$2,'Mark Leave'!$D:$D,"&lt;="&amp;$F$2,'Mark Leave'!$B:$B,$B30,'Mark Leave'!$E:$E,D$7)</f>
        <v>0</v>
      </c>
      <c r="E30" s="22">
        <f>COUNTIFS('Mark Leave'!$D:$D,"&gt;="&amp;$D$2,'Mark Leave'!$D:$D,"&lt;="&amp;$F$2,'Mark Leave'!$B:$B,$B30,'Mark Leave'!$E:$E,E$7)</f>
        <v>0</v>
      </c>
      <c r="F30" s="22">
        <f>COUNTIFS('Mark Leave'!$D:$D,"&gt;="&amp;$D$2,'Mark Leave'!$D:$D,"&lt;="&amp;$F$2,'Mark Leave'!$B:$B,$B30,'Mark Leave'!$E:$E,F$7)</f>
        <v>0</v>
      </c>
      <c r="G30" s="29">
        <f>COUNTIFS('Mark Leave'!$D:$D,"&gt;="&amp;$D$2,'Mark Leave'!$D:$D,"&lt;="&amp;$F$2,'Mark Leave'!$B:$B,$B30,'Mark Leave'!$E:$E,G$7)/2</f>
        <v>0</v>
      </c>
      <c r="H30" s="76">
        <f>COUNTIFS('Mark Leave'!$D:$D,"&gt;="&amp;$D$2,'Mark Leave'!$D:$D,"&lt;="&amp;$F$2,'Mark Leave'!$B:$B,$B30,'Mark Leave'!$E:$E,H$7)/2</f>
        <v>0</v>
      </c>
      <c r="I30" s="29">
        <f>COUNTIFS('Mark Leave'!$D:$D,"&gt;="&amp;$D$2,'Mark Leave'!$D:$D,"&lt;="&amp;$F$2,'Mark Leave'!$B:$B,$B30,'Mark Leave'!$E:$E,I$7)</f>
        <v>0</v>
      </c>
      <c r="J30" s="21">
        <f t="shared" si="3"/>
        <v>0</v>
      </c>
    </row>
    <row r="31" spans="2:10" ht="15.6" thickTop="1" thickBot="1">
      <c r="B31" s="34">
        <v>202318018</v>
      </c>
      <c r="C31" s="34" t="s">
        <v>40</v>
      </c>
      <c r="D31" s="22">
        <f>COUNTIFS('Mark Leave'!$D:$D,"&gt;="&amp;$D$2,'Mark Leave'!$D:$D,"&lt;="&amp;$F$2,'Mark Leave'!$B:$B,$B31,'Mark Leave'!$E:$E,D$7)</f>
        <v>0</v>
      </c>
      <c r="E31" s="22">
        <f>COUNTIFS('Mark Leave'!$D:$D,"&gt;="&amp;$D$2,'Mark Leave'!$D:$D,"&lt;="&amp;$F$2,'Mark Leave'!$B:$B,$B31,'Mark Leave'!$E:$E,E$7)</f>
        <v>0</v>
      </c>
      <c r="F31" s="22">
        <f>COUNTIFS('Mark Leave'!$D:$D,"&gt;="&amp;$D$2,'Mark Leave'!$D:$D,"&lt;="&amp;$F$2,'Mark Leave'!$B:$B,$B31,'Mark Leave'!$E:$E,F$7)</f>
        <v>0</v>
      </c>
      <c r="G31" s="29">
        <f>COUNTIFS('Mark Leave'!$D:$D,"&gt;="&amp;$D$2,'Mark Leave'!$D:$D,"&lt;="&amp;$F$2,'Mark Leave'!$B:$B,$B31,'Mark Leave'!$E:$E,G$7)/2</f>
        <v>0</v>
      </c>
      <c r="H31" s="76">
        <f>COUNTIFS('Mark Leave'!$D:$D,"&gt;="&amp;$D$2,'Mark Leave'!$D:$D,"&lt;="&amp;$F$2,'Mark Leave'!$B:$B,$B31,'Mark Leave'!$E:$E,H$7)/2</f>
        <v>0</v>
      </c>
      <c r="I31" s="29">
        <f>COUNTIFS('Mark Leave'!$D:$D,"&gt;="&amp;$D$2,'Mark Leave'!$D:$D,"&lt;="&amp;$F$2,'Mark Leave'!$B:$B,$B31,'Mark Leave'!$E:$E,I$7)</f>
        <v>0</v>
      </c>
      <c r="J31" s="21">
        <f t="shared" si="3"/>
        <v>0</v>
      </c>
    </row>
    <row r="32" spans="2:10" ht="15.6" thickTop="1" thickBot="1">
      <c r="B32" s="34">
        <v>202318019</v>
      </c>
      <c r="C32" s="34" t="s">
        <v>41</v>
      </c>
      <c r="D32" s="22">
        <f>COUNTIFS('Mark Leave'!$D:$D,"&gt;="&amp;$D$2,'Mark Leave'!$D:$D,"&lt;="&amp;$F$2,'Mark Leave'!$B:$B,$B32,'Mark Leave'!$E:$E,D$7)</f>
        <v>0</v>
      </c>
      <c r="E32" s="22">
        <f>COUNTIFS('Mark Leave'!$D:$D,"&gt;="&amp;$D$2,'Mark Leave'!$D:$D,"&lt;="&amp;$F$2,'Mark Leave'!$B:$B,$B32,'Mark Leave'!$E:$E,E$7)</f>
        <v>0</v>
      </c>
      <c r="F32" s="22">
        <f>COUNTIFS('Mark Leave'!$D:$D,"&gt;="&amp;$D$2,'Mark Leave'!$D:$D,"&lt;="&amp;$F$2,'Mark Leave'!$B:$B,$B32,'Mark Leave'!$E:$E,F$7)</f>
        <v>0</v>
      </c>
      <c r="G32" s="29">
        <f>COUNTIFS('Mark Leave'!$D:$D,"&gt;="&amp;$D$2,'Mark Leave'!$D:$D,"&lt;="&amp;$F$2,'Mark Leave'!$B:$B,$B32,'Mark Leave'!$E:$E,G$7)/2</f>
        <v>0</v>
      </c>
      <c r="H32" s="76">
        <f>COUNTIFS('Mark Leave'!$D:$D,"&gt;="&amp;$D$2,'Mark Leave'!$D:$D,"&lt;="&amp;$F$2,'Mark Leave'!$B:$B,$B32,'Mark Leave'!$E:$E,H$7)/2</f>
        <v>0</v>
      </c>
      <c r="I32" s="29">
        <f>COUNTIFS('Mark Leave'!$D:$D,"&gt;="&amp;$D$2,'Mark Leave'!$D:$D,"&lt;="&amp;$F$2,'Mark Leave'!$B:$B,$B32,'Mark Leave'!$E:$E,I$7)</f>
        <v>0</v>
      </c>
      <c r="J32" s="21">
        <f t="shared" si="3"/>
        <v>0</v>
      </c>
    </row>
    <row r="33" spans="2:10" ht="15.6" thickTop="1" thickBot="1">
      <c r="B33" s="34">
        <v>202320007</v>
      </c>
      <c r="C33" s="34" t="s">
        <v>42</v>
      </c>
      <c r="D33" s="22">
        <f>COUNTIFS('Mark Leave'!$D:$D,"&gt;="&amp;$D$2,'Mark Leave'!$D:$D,"&lt;="&amp;$F$2,'Mark Leave'!$B:$B,$B33,'Mark Leave'!$E:$E,D$7)</f>
        <v>0</v>
      </c>
      <c r="E33" s="22">
        <f>COUNTIFS('Mark Leave'!$D:$D,"&gt;="&amp;$D$2,'Mark Leave'!$D:$D,"&lt;="&amp;$F$2,'Mark Leave'!$B:$B,$B33,'Mark Leave'!$E:$E,E$7)</f>
        <v>0</v>
      </c>
      <c r="F33" s="22">
        <f>COUNTIFS('Mark Leave'!$D:$D,"&gt;="&amp;$D$2,'Mark Leave'!$D:$D,"&lt;="&amp;$F$2,'Mark Leave'!$B:$B,$B33,'Mark Leave'!$E:$E,F$7)</f>
        <v>0</v>
      </c>
      <c r="G33" s="29">
        <f>COUNTIFS('Mark Leave'!$D:$D,"&gt;="&amp;$D$2,'Mark Leave'!$D:$D,"&lt;="&amp;$F$2,'Mark Leave'!$B:$B,$B33,'Mark Leave'!$E:$E,G$7)/2</f>
        <v>0</v>
      </c>
      <c r="H33" s="76">
        <f>COUNTIFS('Mark Leave'!$D:$D,"&gt;="&amp;$D$2,'Mark Leave'!$D:$D,"&lt;="&amp;$F$2,'Mark Leave'!$B:$B,$B33,'Mark Leave'!$E:$E,H$7)/2</f>
        <v>0</v>
      </c>
      <c r="I33" s="29">
        <f>COUNTIFS('Mark Leave'!$D:$D,"&gt;="&amp;$D$2,'Mark Leave'!$D:$D,"&lt;="&amp;$F$2,'Mark Leave'!$B:$B,$B33,'Mark Leave'!$E:$E,I$7)</f>
        <v>0</v>
      </c>
      <c r="J33" s="21">
        <f t="shared" si="3"/>
        <v>0</v>
      </c>
    </row>
    <row r="34" spans="2:10" ht="15.6" thickTop="1" thickBot="1">
      <c r="B34" s="34">
        <v>202318020</v>
      </c>
      <c r="C34" s="34" t="s">
        <v>43</v>
      </c>
      <c r="D34" s="22">
        <f>COUNTIFS('Mark Leave'!$D:$D,"&gt;="&amp;$D$2,'Mark Leave'!$D:$D,"&lt;="&amp;$F$2,'Mark Leave'!$B:$B,$B34,'Mark Leave'!$E:$E,D$7)</f>
        <v>0</v>
      </c>
      <c r="E34" s="22">
        <f>COUNTIFS('Mark Leave'!$D:$D,"&gt;="&amp;$D$2,'Mark Leave'!$D:$D,"&lt;="&amp;$F$2,'Mark Leave'!$B:$B,$B34,'Mark Leave'!$E:$E,E$7)</f>
        <v>0</v>
      </c>
      <c r="F34" s="22">
        <f>COUNTIFS('Mark Leave'!$D:$D,"&gt;="&amp;$D$2,'Mark Leave'!$D:$D,"&lt;="&amp;$F$2,'Mark Leave'!$B:$B,$B34,'Mark Leave'!$E:$E,F$7)</f>
        <v>0</v>
      </c>
      <c r="G34" s="29">
        <f>COUNTIFS('Mark Leave'!$D:$D,"&gt;="&amp;$D$2,'Mark Leave'!$D:$D,"&lt;="&amp;$F$2,'Mark Leave'!$B:$B,$B34,'Mark Leave'!$E:$E,G$7)/2</f>
        <v>0</v>
      </c>
      <c r="H34" s="76">
        <f>COUNTIFS('Mark Leave'!$D:$D,"&gt;="&amp;$D$2,'Mark Leave'!$D:$D,"&lt;="&amp;$F$2,'Mark Leave'!$B:$B,$B34,'Mark Leave'!$E:$E,H$7)/2</f>
        <v>0</v>
      </c>
      <c r="I34" s="29">
        <f>COUNTIFS('Mark Leave'!$D:$D,"&gt;="&amp;$D$2,'Mark Leave'!$D:$D,"&lt;="&amp;$F$2,'Mark Leave'!$B:$B,$B34,'Mark Leave'!$E:$E,I$7)</f>
        <v>0</v>
      </c>
      <c r="J34" s="21">
        <f t="shared" si="3"/>
        <v>0</v>
      </c>
    </row>
    <row r="35" spans="2:10" ht="15.6" thickTop="1" thickBot="1">
      <c r="B35" s="34">
        <v>202318021</v>
      </c>
      <c r="C35" s="34" t="s">
        <v>44</v>
      </c>
      <c r="D35" s="22">
        <f>COUNTIFS('Mark Leave'!$D:$D,"&gt;="&amp;$D$2,'Mark Leave'!$D:$D,"&lt;="&amp;$F$2,'Mark Leave'!$B:$B,$B35,'Mark Leave'!$E:$E,D$7)</f>
        <v>0</v>
      </c>
      <c r="E35" s="22">
        <f>COUNTIFS('Mark Leave'!$D:$D,"&gt;="&amp;$D$2,'Mark Leave'!$D:$D,"&lt;="&amp;$F$2,'Mark Leave'!$B:$B,$B35,'Mark Leave'!$E:$E,E$7)</f>
        <v>0</v>
      </c>
      <c r="F35" s="22">
        <f>COUNTIFS('Mark Leave'!$D:$D,"&gt;="&amp;$D$2,'Mark Leave'!$D:$D,"&lt;="&amp;$F$2,'Mark Leave'!$B:$B,$B35,'Mark Leave'!$E:$E,F$7)</f>
        <v>0</v>
      </c>
      <c r="G35" s="29">
        <f>COUNTIFS('Mark Leave'!$D:$D,"&gt;="&amp;$D$2,'Mark Leave'!$D:$D,"&lt;="&amp;$F$2,'Mark Leave'!$B:$B,$B35,'Mark Leave'!$E:$E,G$7)/2</f>
        <v>0</v>
      </c>
      <c r="H35" s="76">
        <f>COUNTIFS('Mark Leave'!$D:$D,"&gt;="&amp;$D$2,'Mark Leave'!$D:$D,"&lt;="&amp;$F$2,'Mark Leave'!$B:$B,$B35,'Mark Leave'!$E:$E,H$7)/2</f>
        <v>0</v>
      </c>
      <c r="I35" s="29">
        <f>COUNTIFS('Mark Leave'!$D:$D,"&gt;="&amp;$D$2,'Mark Leave'!$D:$D,"&lt;="&amp;$F$2,'Mark Leave'!$B:$B,$B35,'Mark Leave'!$E:$E,I$7)</f>
        <v>0</v>
      </c>
      <c r="J35" s="21">
        <f t="shared" si="3"/>
        <v>0</v>
      </c>
    </row>
    <row r="36" spans="2:10" ht="15.6" thickTop="1" thickBot="1">
      <c r="B36" s="34">
        <v>202318022</v>
      </c>
      <c r="C36" s="34" t="s">
        <v>45</v>
      </c>
      <c r="D36" s="22">
        <f>COUNTIFS('Mark Leave'!$D:$D,"&gt;="&amp;$D$2,'Mark Leave'!$D:$D,"&lt;="&amp;$F$2,'Mark Leave'!$B:$B,$B36,'Mark Leave'!$E:$E,D$7)</f>
        <v>0</v>
      </c>
      <c r="E36" s="22">
        <f>COUNTIFS('Mark Leave'!$D:$D,"&gt;="&amp;$D$2,'Mark Leave'!$D:$D,"&lt;="&amp;$F$2,'Mark Leave'!$B:$B,$B36,'Mark Leave'!$E:$E,E$7)</f>
        <v>0</v>
      </c>
      <c r="F36" s="22">
        <f>COUNTIFS('Mark Leave'!$D:$D,"&gt;="&amp;$D$2,'Mark Leave'!$D:$D,"&lt;="&amp;$F$2,'Mark Leave'!$B:$B,$B36,'Mark Leave'!$E:$E,F$7)</f>
        <v>0</v>
      </c>
      <c r="G36" s="29">
        <f>COUNTIFS('Mark Leave'!$D:$D,"&gt;="&amp;$D$2,'Mark Leave'!$D:$D,"&lt;="&amp;$F$2,'Mark Leave'!$B:$B,$B36,'Mark Leave'!$E:$E,G$7)/2</f>
        <v>0</v>
      </c>
      <c r="H36" s="76">
        <f>COUNTIFS('Mark Leave'!$D:$D,"&gt;="&amp;$D$2,'Mark Leave'!$D:$D,"&lt;="&amp;$F$2,'Mark Leave'!$B:$B,$B36,'Mark Leave'!$E:$E,H$7)/2</f>
        <v>0</v>
      </c>
      <c r="I36" s="29">
        <f>COUNTIFS('Mark Leave'!$D:$D,"&gt;="&amp;$D$2,'Mark Leave'!$D:$D,"&lt;="&amp;$F$2,'Mark Leave'!$B:$B,$B36,'Mark Leave'!$E:$E,I$7)</f>
        <v>0</v>
      </c>
      <c r="J36" s="21">
        <f t="shared" si="3"/>
        <v>0</v>
      </c>
    </row>
    <row r="37" spans="2:10" ht="15.6" thickTop="1" thickBot="1">
      <c r="B37" s="34">
        <v>202320008</v>
      </c>
      <c r="C37" s="34" t="s">
        <v>46</v>
      </c>
      <c r="D37" s="22">
        <f>COUNTIFS('Mark Leave'!$D:$D,"&gt;="&amp;$D$2,'Mark Leave'!$D:$D,"&lt;="&amp;$F$2,'Mark Leave'!$B:$B,$B37,'Mark Leave'!$E:$E,D$7)</f>
        <v>0</v>
      </c>
      <c r="E37" s="22">
        <f>COUNTIFS('Mark Leave'!$D:$D,"&gt;="&amp;$D$2,'Mark Leave'!$D:$D,"&lt;="&amp;$F$2,'Mark Leave'!$B:$B,$B37,'Mark Leave'!$E:$E,E$7)</f>
        <v>0</v>
      </c>
      <c r="F37" s="22">
        <f>COUNTIFS('Mark Leave'!$D:$D,"&gt;="&amp;$D$2,'Mark Leave'!$D:$D,"&lt;="&amp;$F$2,'Mark Leave'!$B:$B,$B37,'Mark Leave'!$E:$E,F$7)</f>
        <v>0</v>
      </c>
      <c r="G37" s="29">
        <f>COUNTIFS('Mark Leave'!$D:$D,"&gt;="&amp;$D$2,'Mark Leave'!$D:$D,"&lt;="&amp;$F$2,'Mark Leave'!$B:$B,$B37,'Mark Leave'!$E:$E,G$7)/2</f>
        <v>0</v>
      </c>
      <c r="H37" s="76">
        <f>COUNTIFS('Mark Leave'!$D:$D,"&gt;="&amp;$D$2,'Mark Leave'!$D:$D,"&lt;="&amp;$F$2,'Mark Leave'!$B:$B,$B37,'Mark Leave'!$E:$E,H$7)/2</f>
        <v>0</v>
      </c>
      <c r="I37" s="29">
        <f>COUNTIFS('Mark Leave'!$D:$D,"&gt;="&amp;$D$2,'Mark Leave'!$D:$D,"&lt;="&amp;$F$2,'Mark Leave'!$B:$B,$B37,'Mark Leave'!$E:$E,I$7)</f>
        <v>0</v>
      </c>
      <c r="J37" s="21">
        <f t="shared" si="3"/>
        <v>0</v>
      </c>
    </row>
    <row r="38" spans="2:10" ht="15.6" thickTop="1" thickBot="1">
      <c r="B38" s="34">
        <v>202320009</v>
      </c>
      <c r="C38" s="34" t="s">
        <v>47</v>
      </c>
      <c r="D38" s="22">
        <f>COUNTIFS('Mark Leave'!$D:$D,"&gt;="&amp;$D$2,'Mark Leave'!$D:$D,"&lt;="&amp;$F$2,'Mark Leave'!$B:$B,$B38,'Mark Leave'!$E:$E,D$7)</f>
        <v>0</v>
      </c>
      <c r="E38" s="22">
        <f>COUNTIFS('Mark Leave'!$D:$D,"&gt;="&amp;$D$2,'Mark Leave'!$D:$D,"&lt;="&amp;$F$2,'Mark Leave'!$B:$B,$B38,'Mark Leave'!$E:$E,E$7)</f>
        <v>0</v>
      </c>
      <c r="F38" s="22">
        <f>COUNTIFS('Mark Leave'!$D:$D,"&gt;="&amp;$D$2,'Mark Leave'!$D:$D,"&lt;="&amp;$F$2,'Mark Leave'!$B:$B,$B38,'Mark Leave'!$E:$E,F$7)</f>
        <v>0</v>
      </c>
      <c r="G38" s="29">
        <f>COUNTIFS('Mark Leave'!$D:$D,"&gt;="&amp;$D$2,'Mark Leave'!$D:$D,"&lt;="&amp;$F$2,'Mark Leave'!$B:$B,$B38,'Mark Leave'!$E:$E,G$7)/2</f>
        <v>0</v>
      </c>
      <c r="H38" s="76">
        <f>COUNTIFS('Mark Leave'!$D:$D,"&gt;="&amp;$D$2,'Mark Leave'!$D:$D,"&lt;="&amp;$F$2,'Mark Leave'!$B:$B,$B38,'Mark Leave'!$E:$E,H$7)/2</f>
        <v>0</v>
      </c>
      <c r="I38" s="29">
        <f>COUNTIFS('Mark Leave'!$D:$D,"&gt;="&amp;$D$2,'Mark Leave'!$D:$D,"&lt;="&amp;$F$2,'Mark Leave'!$B:$B,$B38,'Mark Leave'!$E:$E,I$7)</f>
        <v>0</v>
      </c>
      <c r="J38" s="21">
        <f t="shared" si="3"/>
        <v>0</v>
      </c>
    </row>
    <row r="39" spans="2:10" ht="15.6" thickTop="1" thickBot="1">
      <c r="B39" s="34">
        <v>202318023</v>
      </c>
      <c r="C39" s="34" t="s">
        <v>48</v>
      </c>
      <c r="D39" s="22">
        <f>COUNTIFS('Mark Leave'!$D:$D,"&gt;="&amp;$D$2,'Mark Leave'!$D:$D,"&lt;="&amp;$F$2,'Mark Leave'!$B:$B,$B39,'Mark Leave'!$E:$E,D$7)</f>
        <v>0</v>
      </c>
      <c r="E39" s="22">
        <f>COUNTIFS('Mark Leave'!$D:$D,"&gt;="&amp;$D$2,'Mark Leave'!$D:$D,"&lt;="&amp;$F$2,'Mark Leave'!$B:$B,$B39,'Mark Leave'!$E:$E,E$7)</f>
        <v>0</v>
      </c>
      <c r="F39" s="22">
        <f>COUNTIFS('Mark Leave'!$D:$D,"&gt;="&amp;$D$2,'Mark Leave'!$D:$D,"&lt;="&amp;$F$2,'Mark Leave'!$B:$B,$B39,'Mark Leave'!$E:$E,F$7)</f>
        <v>0</v>
      </c>
      <c r="G39" s="29">
        <f>COUNTIFS('Mark Leave'!$D:$D,"&gt;="&amp;$D$2,'Mark Leave'!$D:$D,"&lt;="&amp;$F$2,'Mark Leave'!$B:$B,$B39,'Mark Leave'!$E:$E,G$7)/2</f>
        <v>0</v>
      </c>
      <c r="H39" s="76">
        <f>COUNTIFS('Mark Leave'!$D:$D,"&gt;="&amp;$D$2,'Mark Leave'!$D:$D,"&lt;="&amp;$F$2,'Mark Leave'!$B:$B,$B39,'Mark Leave'!$E:$E,H$7)/2</f>
        <v>0</v>
      </c>
      <c r="I39" s="29">
        <f>COUNTIFS('Mark Leave'!$D:$D,"&gt;="&amp;$D$2,'Mark Leave'!$D:$D,"&lt;="&amp;$F$2,'Mark Leave'!$B:$B,$B39,'Mark Leave'!$E:$E,I$7)</f>
        <v>0</v>
      </c>
      <c r="J39" s="21">
        <f t="shared" si="3"/>
        <v>0</v>
      </c>
    </row>
    <row r="40" spans="2:10" ht="15.6" thickTop="1" thickBot="1">
      <c r="B40" s="34">
        <v>202320010</v>
      </c>
      <c r="C40" s="34" t="s">
        <v>49</v>
      </c>
      <c r="D40" s="22">
        <f>COUNTIFS('Mark Leave'!$D:$D,"&gt;="&amp;$D$2,'Mark Leave'!$D:$D,"&lt;="&amp;$F$2,'Mark Leave'!$B:$B,$B40,'Mark Leave'!$E:$E,D$7)</f>
        <v>0</v>
      </c>
      <c r="E40" s="22">
        <f>COUNTIFS('Mark Leave'!$D:$D,"&gt;="&amp;$D$2,'Mark Leave'!$D:$D,"&lt;="&amp;$F$2,'Mark Leave'!$B:$B,$B40,'Mark Leave'!$E:$E,E$7)</f>
        <v>0</v>
      </c>
      <c r="F40" s="22">
        <f>COUNTIFS('Mark Leave'!$D:$D,"&gt;="&amp;$D$2,'Mark Leave'!$D:$D,"&lt;="&amp;$F$2,'Mark Leave'!$B:$B,$B40,'Mark Leave'!$E:$E,F$7)</f>
        <v>0</v>
      </c>
      <c r="G40" s="29">
        <f>COUNTIFS('Mark Leave'!$D:$D,"&gt;="&amp;$D$2,'Mark Leave'!$D:$D,"&lt;="&amp;$F$2,'Mark Leave'!$B:$B,$B40,'Mark Leave'!$E:$E,G$7)/2</f>
        <v>0</v>
      </c>
      <c r="H40" s="76">
        <f>COUNTIFS('Mark Leave'!$D:$D,"&gt;="&amp;$D$2,'Mark Leave'!$D:$D,"&lt;="&amp;$F$2,'Mark Leave'!$B:$B,$B40,'Mark Leave'!$E:$E,H$7)/2</f>
        <v>0</v>
      </c>
      <c r="I40" s="29">
        <f>COUNTIFS('Mark Leave'!$D:$D,"&gt;="&amp;$D$2,'Mark Leave'!$D:$D,"&lt;="&amp;$F$2,'Mark Leave'!$B:$B,$B40,'Mark Leave'!$E:$E,I$7)</f>
        <v>0</v>
      </c>
      <c r="J40" s="21">
        <f t="shared" si="3"/>
        <v>0</v>
      </c>
    </row>
    <row r="41" spans="2:10" ht="15.6" thickTop="1" thickBot="1">
      <c r="B41" s="34">
        <v>202318024</v>
      </c>
      <c r="C41" s="34" t="s">
        <v>50</v>
      </c>
      <c r="D41" s="22">
        <f>COUNTIFS('Mark Leave'!$D:$D,"&gt;="&amp;$D$2,'Mark Leave'!$D:$D,"&lt;="&amp;$F$2,'Mark Leave'!$B:$B,$B41,'Mark Leave'!$E:$E,D$7)</f>
        <v>0</v>
      </c>
      <c r="E41" s="22">
        <f>COUNTIFS('Mark Leave'!$D:$D,"&gt;="&amp;$D$2,'Mark Leave'!$D:$D,"&lt;="&amp;$F$2,'Mark Leave'!$B:$B,$B41,'Mark Leave'!$E:$E,E$7)</f>
        <v>0</v>
      </c>
      <c r="F41" s="22">
        <f>COUNTIFS('Mark Leave'!$D:$D,"&gt;="&amp;$D$2,'Mark Leave'!$D:$D,"&lt;="&amp;$F$2,'Mark Leave'!$B:$B,$B41,'Mark Leave'!$E:$E,F$7)</f>
        <v>0</v>
      </c>
      <c r="G41" s="29">
        <f>COUNTIFS('Mark Leave'!$D:$D,"&gt;="&amp;$D$2,'Mark Leave'!$D:$D,"&lt;="&amp;$F$2,'Mark Leave'!$B:$B,$B41,'Mark Leave'!$E:$E,G$7)/2</f>
        <v>0</v>
      </c>
      <c r="H41" s="76">
        <f>COUNTIFS('Mark Leave'!$D:$D,"&gt;="&amp;$D$2,'Mark Leave'!$D:$D,"&lt;="&amp;$F$2,'Mark Leave'!$B:$B,$B41,'Mark Leave'!$E:$E,H$7)/2</f>
        <v>0</v>
      </c>
      <c r="I41" s="29">
        <f>COUNTIFS('Mark Leave'!$D:$D,"&gt;="&amp;$D$2,'Mark Leave'!$D:$D,"&lt;="&amp;$F$2,'Mark Leave'!$B:$B,$B41,'Mark Leave'!$E:$E,I$7)</f>
        <v>0</v>
      </c>
      <c r="J41" s="21">
        <f t="shared" si="3"/>
        <v>0</v>
      </c>
    </row>
    <row r="42" spans="2:10" ht="15.6" thickTop="1" thickBot="1">
      <c r="B42" s="34">
        <v>202318025</v>
      </c>
      <c r="C42" s="34" t="s">
        <v>51</v>
      </c>
      <c r="D42" s="22">
        <f>COUNTIFS('Mark Leave'!$D:$D,"&gt;="&amp;$D$2,'Mark Leave'!$D:$D,"&lt;="&amp;$F$2,'Mark Leave'!$B:$B,$B42,'Mark Leave'!$E:$E,D$7)</f>
        <v>0</v>
      </c>
      <c r="E42" s="22">
        <f>COUNTIFS('Mark Leave'!$D:$D,"&gt;="&amp;$D$2,'Mark Leave'!$D:$D,"&lt;="&amp;$F$2,'Mark Leave'!$B:$B,$B42,'Mark Leave'!$E:$E,E$7)</f>
        <v>0</v>
      </c>
      <c r="F42" s="22">
        <f>COUNTIFS('Mark Leave'!$D:$D,"&gt;="&amp;$D$2,'Mark Leave'!$D:$D,"&lt;="&amp;$F$2,'Mark Leave'!$B:$B,$B42,'Mark Leave'!$E:$E,F$7)</f>
        <v>0</v>
      </c>
      <c r="G42" s="29">
        <f>COUNTIFS('Mark Leave'!$D:$D,"&gt;="&amp;$D$2,'Mark Leave'!$D:$D,"&lt;="&amp;$F$2,'Mark Leave'!$B:$B,$B42,'Mark Leave'!$E:$E,G$7)/2</f>
        <v>0</v>
      </c>
      <c r="H42" s="76">
        <f>COUNTIFS('Mark Leave'!$D:$D,"&gt;="&amp;$D$2,'Mark Leave'!$D:$D,"&lt;="&amp;$F$2,'Mark Leave'!$B:$B,$B42,'Mark Leave'!$E:$E,H$7)/2</f>
        <v>0</v>
      </c>
      <c r="I42" s="29">
        <f>COUNTIFS('Mark Leave'!$D:$D,"&gt;="&amp;$D$2,'Mark Leave'!$D:$D,"&lt;="&amp;$F$2,'Mark Leave'!$B:$B,$B42,'Mark Leave'!$E:$E,I$7)</f>
        <v>0</v>
      </c>
      <c r="J42" s="21">
        <f t="shared" si="3"/>
        <v>0</v>
      </c>
    </row>
    <row r="43" spans="2:10" ht="15.6" thickTop="1" thickBot="1">
      <c r="B43" s="34">
        <v>202320011</v>
      </c>
      <c r="C43" s="34" t="s">
        <v>52</v>
      </c>
      <c r="D43" s="22">
        <f>COUNTIFS('Mark Leave'!$D:$D,"&gt;="&amp;$D$2,'Mark Leave'!$D:$D,"&lt;="&amp;$F$2,'Mark Leave'!$B:$B,$B43,'Mark Leave'!$E:$E,D$7)</f>
        <v>0</v>
      </c>
      <c r="E43" s="22">
        <f>COUNTIFS('Mark Leave'!$D:$D,"&gt;="&amp;$D$2,'Mark Leave'!$D:$D,"&lt;="&amp;$F$2,'Mark Leave'!$B:$B,$B43,'Mark Leave'!$E:$E,E$7)</f>
        <v>0</v>
      </c>
      <c r="F43" s="22">
        <f>COUNTIFS('Mark Leave'!$D:$D,"&gt;="&amp;$D$2,'Mark Leave'!$D:$D,"&lt;="&amp;$F$2,'Mark Leave'!$B:$B,$B43,'Mark Leave'!$E:$E,F$7)</f>
        <v>0</v>
      </c>
      <c r="G43" s="29">
        <f>COUNTIFS('Mark Leave'!$D:$D,"&gt;="&amp;$D$2,'Mark Leave'!$D:$D,"&lt;="&amp;$F$2,'Mark Leave'!$B:$B,$B43,'Mark Leave'!$E:$E,G$7)/2</f>
        <v>0</v>
      </c>
      <c r="H43" s="76">
        <f>COUNTIFS('Mark Leave'!$D:$D,"&gt;="&amp;$D$2,'Mark Leave'!$D:$D,"&lt;="&amp;$F$2,'Mark Leave'!$B:$B,$B43,'Mark Leave'!$E:$E,H$7)/2</f>
        <v>0</v>
      </c>
      <c r="I43" s="29">
        <f>COUNTIFS('Mark Leave'!$D:$D,"&gt;="&amp;$D$2,'Mark Leave'!$D:$D,"&lt;="&amp;$F$2,'Mark Leave'!$B:$B,$B43,'Mark Leave'!$E:$E,I$7)</f>
        <v>0</v>
      </c>
      <c r="J43" s="21">
        <f t="shared" si="3"/>
        <v>0</v>
      </c>
    </row>
    <row r="44" spans="2:10" ht="15.6" thickTop="1" thickBot="1">
      <c r="B44" s="34">
        <v>202318026</v>
      </c>
      <c r="C44" s="34" t="s">
        <v>53</v>
      </c>
      <c r="D44" s="22">
        <f>COUNTIFS('Mark Leave'!$D:$D,"&gt;="&amp;$D$2,'Mark Leave'!$D:$D,"&lt;="&amp;$F$2,'Mark Leave'!$B:$B,$B44,'Mark Leave'!$E:$E,D$7)</f>
        <v>0</v>
      </c>
      <c r="E44" s="22">
        <f>COUNTIFS('Mark Leave'!$D:$D,"&gt;="&amp;$D$2,'Mark Leave'!$D:$D,"&lt;="&amp;$F$2,'Mark Leave'!$B:$B,$B44,'Mark Leave'!$E:$E,E$7)</f>
        <v>0</v>
      </c>
      <c r="F44" s="22">
        <f>COUNTIFS('Mark Leave'!$D:$D,"&gt;="&amp;$D$2,'Mark Leave'!$D:$D,"&lt;="&amp;$F$2,'Mark Leave'!$B:$B,$B44,'Mark Leave'!$E:$E,F$7)</f>
        <v>0</v>
      </c>
      <c r="G44" s="29">
        <f>COUNTIFS('Mark Leave'!$D:$D,"&gt;="&amp;$D$2,'Mark Leave'!$D:$D,"&lt;="&amp;$F$2,'Mark Leave'!$B:$B,$B44,'Mark Leave'!$E:$E,G$7)/2</f>
        <v>0</v>
      </c>
      <c r="H44" s="76">
        <f>COUNTIFS('Mark Leave'!$D:$D,"&gt;="&amp;$D$2,'Mark Leave'!$D:$D,"&lt;="&amp;$F$2,'Mark Leave'!$B:$B,$B44,'Mark Leave'!$E:$E,H$7)/2</f>
        <v>0</v>
      </c>
      <c r="I44" s="29">
        <f>COUNTIFS('Mark Leave'!$D:$D,"&gt;="&amp;$D$2,'Mark Leave'!$D:$D,"&lt;="&amp;$F$2,'Mark Leave'!$B:$B,$B44,'Mark Leave'!$E:$E,I$7)</f>
        <v>0</v>
      </c>
      <c r="J44" s="21">
        <f t="shared" si="3"/>
        <v>0</v>
      </c>
    </row>
    <row r="45" spans="2:10" ht="15.6" thickTop="1" thickBot="1">
      <c r="B45" s="34">
        <v>202318027</v>
      </c>
      <c r="C45" s="34" t="s">
        <v>54</v>
      </c>
      <c r="D45" s="22">
        <f>COUNTIFS('Mark Leave'!$D:$D,"&gt;="&amp;$D$2,'Mark Leave'!$D:$D,"&lt;="&amp;$F$2,'Mark Leave'!$B:$B,$B45,'Mark Leave'!$E:$E,D$7)</f>
        <v>0</v>
      </c>
      <c r="E45" s="22">
        <f>COUNTIFS('Mark Leave'!$D:$D,"&gt;="&amp;$D$2,'Mark Leave'!$D:$D,"&lt;="&amp;$F$2,'Mark Leave'!$B:$B,$B45,'Mark Leave'!$E:$E,E$7)</f>
        <v>0</v>
      </c>
      <c r="F45" s="22">
        <f>COUNTIFS('Mark Leave'!$D:$D,"&gt;="&amp;$D$2,'Mark Leave'!$D:$D,"&lt;="&amp;$F$2,'Mark Leave'!$B:$B,$B45,'Mark Leave'!$E:$E,F$7)</f>
        <v>4</v>
      </c>
      <c r="G45" s="29">
        <f>COUNTIFS('Mark Leave'!$D:$D,"&gt;="&amp;$D$2,'Mark Leave'!$D:$D,"&lt;="&amp;$F$2,'Mark Leave'!$B:$B,$B45,'Mark Leave'!$E:$E,G$7)/2</f>
        <v>0</v>
      </c>
      <c r="H45" s="76">
        <f>COUNTIFS('Mark Leave'!$D:$D,"&gt;="&amp;$D$2,'Mark Leave'!$D:$D,"&lt;="&amp;$F$2,'Mark Leave'!$B:$B,$B45,'Mark Leave'!$E:$E,H$7)/2</f>
        <v>0</v>
      </c>
      <c r="I45" s="29">
        <f>COUNTIFS('Mark Leave'!$D:$D,"&gt;="&amp;$D$2,'Mark Leave'!$D:$D,"&lt;="&amp;$F$2,'Mark Leave'!$B:$B,$B45,'Mark Leave'!$E:$E,I$7)</f>
        <v>0</v>
      </c>
      <c r="J45" s="21">
        <f t="shared" si="3"/>
        <v>4</v>
      </c>
    </row>
    <row r="46" spans="2:10" ht="15.6" thickTop="1" thickBot="1">
      <c r="B46" s="34">
        <v>202320012</v>
      </c>
      <c r="C46" s="34" t="s">
        <v>55</v>
      </c>
      <c r="D46" s="22">
        <f>COUNTIFS('Mark Leave'!$D:$D,"&gt;="&amp;$D$2,'Mark Leave'!$D:$D,"&lt;="&amp;$F$2,'Mark Leave'!$B:$B,$B46,'Mark Leave'!$E:$E,D$7)</f>
        <v>0</v>
      </c>
      <c r="E46" s="22">
        <f>COUNTIFS('Mark Leave'!$D:$D,"&gt;="&amp;$D$2,'Mark Leave'!$D:$D,"&lt;="&amp;$F$2,'Mark Leave'!$B:$B,$B46,'Mark Leave'!$E:$E,E$7)</f>
        <v>0</v>
      </c>
      <c r="F46" s="22">
        <f>COUNTIFS('Mark Leave'!$D:$D,"&gt;="&amp;$D$2,'Mark Leave'!$D:$D,"&lt;="&amp;$F$2,'Mark Leave'!$B:$B,$B46,'Mark Leave'!$E:$E,F$7)</f>
        <v>0</v>
      </c>
      <c r="G46" s="29">
        <f>COUNTIFS('Mark Leave'!$D:$D,"&gt;="&amp;$D$2,'Mark Leave'!$D:$D,"&lt;="&amp;$F$2,'Mark Leave'!$B:$B,$B46,'Mark Leave'!$E:$E,G$7)/2</f>
        <v>0</v>
      </c>
      <c r="H46" s="76">
        <f>COUNTIFS('Mark Leave'!$D:$D,"&gt;="&amp;$D$2,'Mark Leave'!$D:$D,"&lt;="&amp;$F$2,'Mark Leave'!$B:$B,$B46,'Mark Leave'!$E:$E,H$7)/2</f>
        <v>0</v>
      </c>
      <c r="I46" s="29">
        <f>COUNTIFS('Mark Leave'!$D:$D,"&gt;="&amp;$D$2,'Mark Leave'!$D:$D,"&lt;="&amp;$F$2,'Mark Leave'!$B:$B,$B46,'Mark Leave'!$E:$E,I$7)</f>
        <v>0</v>
      </c>
      <c r="J46" s="21">
        <f t="shared" si="3"/>
        <v>0</v>
      </c>
    </row>
    <row r="47" spans="2:10" ht="15.6" thickTop="1" thickBot="1">
      <c r="B47" s="34">
        <v>202320013</v>
      </c>
      <c r="C47" s="34" t="s">
        <v>56</v>
      </c>
      <c r="D47" s="22">
        <f>COUNTIFS('Mark Leave'!$D:$D,"&gt;="&amp;$D$2,'Mark Leave'!$D:$D,"&lt;="&amp;$F$2,'Mark Leave'!$B:$B,$B47,'Mark Leave'!$E:$E,D$7)</f>
        <v>0</v>
      </c>
      <c r="E47" s="22">
        <f>COUNTIFS('Mark Leave'!$D:$D,"&gt;="&amp;$D$2,'Mark Leave'!$D:$D,"&lt;="&amp;$F$2,'Mark Leave'!$B:$B,$B47,'Mark Leave'!$E:$E,E$7)</f>
        <v>0</v>
      </c>
      <c r="F47" s="22">
        <f>COUNTIFS('Mark Leave'!$D:$D,"&gt;="&amp;$D$2,'Mark Leave'!$D:$D,"&lt;="&amp;$F$2,'Mark Leave'!$B:$B,$B47,'Mark Leave'!$E:$E,F$7)</f>
        <v>0</v>
      </c>
      <c r="G47" s="29">
        <f>COUNTIFS('Mark Leave'!$D:$D,"&gt;="&amp;$D$2,'Mark Leave'!$D:$D,"&lt;="&amp;$F$2,'Mark Leave'!$B:$B,$B47,'Mark Leave'!$E:$E,G$7)/2</f>
        <v>0</v>
      </c>
      <c r="H47" s="76">
        <f>COUNTIFS('Mark Leave'!$D:$D,"&gt;="&amp;$D$2,'Mark Leave'!$D:$D,"&lt;="&amp;$F$2,'Mark Leave'!$B:$B,$B47,'Mark Leave'!$E:$E,H$7)/2</f>
        <v>0</v>
      </c>
      <c r="I47" s="29">
        <f>COUNTIFS('Mark Leave'!$D:$D,"&gt;="&amp;$D$2,'Mark Leave'!$D:$D,"&lt;="&amp;$F$2,'Mark Leave'!$B:$B,$B47,'Mark Leave'!$E:$E,I$7)</f>
        <v>0</v>
      </c>
      <c r="J47" s="21">
        <f t="shared" si="3"/>
        <v>0</v>
      </c>
    </row>
    <row r="48" spans="2:10" ht="15.6" thickTop="1" thickBot="1">
      <c r="B48" s="34">
        <v>202318028</v>
      </c>
      <c r="C48" s="34" t="s">
        <v>57</v>
      </c>
      <c r="D48" s="22">
        <f>COUNTIFS('Mark Leave'!$D:$D,"&gt;="&amp;$D$2,'Mark Leave'!$D:$D,"&lt;="&amp;$F$2,'Mark Leave'!$B:$B,$B48,'Mark Leave'!$E:$E,D$7)</f>
        <v>0</v>
      </c>
      <c r="E48" s="22">
        <f>COUNTIFS('Mark Leave'!$D:$D,"&gt;="&amp;$D$2,'Mark Leave'!$D:$D,"&lt;="&amp;$F$2,'Mark Leave'!$B:$B,$B48,'Mark Leave'!$E:$E,E$7)</f>
        <v>0</v>
      </c>
      <c r="F48" s="22">
        <f>COUNTIFS('Mark Leave'!$D:$D,"&gt;="&amp;$D$2,'Mark Leave'!$D:$D,"&lt;="&amp;$F$2,'Mark Leave'!$B:$B,$B48,'Mark Leave'!$E:$E,F$7)</f>
        <v>0</v>
      </c>
      <c r="G48" s="29">
        <f>COUNTIFS('Mark Leave'!$D:$D,"&gt;="&amp;$D$2,'Mark Leave'!$D:$D,"&lt;="&amp;$F$2,'Mark Leave'!$B:$B,$B48,'Mark Leave'!$E:$E,G$7)/2</f>
        <v>0</v>
      </c>
      <c r="H48" s="76">
        <f>COUNTIFS('Mark Leave'!$D:$D,"&gt;="&amp;$D$2,'Mark Leave'!$D:$D,"&lt;="&amp;$F$2,'Mark Leave'!$B:$B,$B48,'Mark Leave'!$E:$E,H$7)/2</f>
        <v>0</v>
      </c>
      <c r="I48" s="29">
        <f>COUNTIFS('Mark Leave'!$D:$D,"&gt;="&amp;$D$2,'Mark Leave'!$D:$D,"&lt;="&amp;$F$2,'Mark Leave'!$B:$B,$B48,'Mark Leave'!$E:$E,I$7)</f>
        <v>0</v>
      </c>
      <c r="J48" s="21">
        <f t="shared" si="3"/>
        <v>0</v>
      </c>
    </row>
    <row r="49" spans="2:10" ht="15.6" thickTop="1" thickBot="1">
      <c r="B49" s="34">
        <v>202320014</v>
      </c>
      <c r="C49" s="34" t="s">
        <v>58</v>
      </c>
      <c r="D49" s="22">
        <f>COUNTIFS('Mark Leave'!$D:$D,"&gt;="&amp;$D$2,'Mark Leave'!$D:$D,"&lt;="&amp;$F$2,'Mark Leave'!$B:$B,$B49,'Mark Leave'!$E:$E,D$7)</f>
        <v>0</v>
      </c>
      <c r="E49" s="22">
        <f>COUNTIFS('Mark Leave'!$D:$D,"&gt;="&amp;$D$2,'Mark Leave'!$D:$D,"&lt;="&amp;$F$2,'Mark Leave'!$B:$B,$B49,'Mark Leave'!$E:$E,E$7)</f>
        <v>0</v>
      </c>
      <c r="F49" s="22">
        <f>COUNTIFS('Mark Leave'!$D:$D,"&gt;="&amp;$D$2,'Mark Leave'!$D:$D,"&lt;="&amp;$F$2,'Mark Leave'!$B:$B,$B49,'Mark Leave'!$E:$E,F$7)</f>
        <v>0</v>
      </c>
      <c r="G49" s="29">
        <f>COUNTIFS('Mark Leave'!$D:$D,"&gt;="&amp;$D$2,'Mark Leave'!$D:$D,"&lt;="&amp;$F$2,'Mark Leave'!$B:$B,$B49,'Mark Leave'!$E:$E,G$7)/2</f>
        <v>0</v>
      </c>
      <c r="H49" s="76">
        <f>COUNTIFS('Mark Leave'!$D:$D,"&gt;="&amp;$D$2,'Mark Leave'!$D:$D,"&lt;="&amp;$F$2,'Mark Leave'!$B:$B,$B49,'Mark Leave'!$E:$E,H$7)/2</f>
        <v>0</v>
      </c>
      <c r="I49" s="29">
        <f>COUNTIFS('Mark Leave'!$D:$D,"&gt;="&amp;$D$2,'Mark Leave'!$D:$D,"&lt;="&amp;$F$2,'Mark Leave'!$B:$B,$B49,'Mark Leave'!$E:$E,I$7)</f>
        <v>0</v>
      </c>
      <c r="J49" s="21">
        <f t="shared" si="3"/>
        <v>0</v>
      </c>
    </row>
    <row r="50" spans="2:10" ht="15.6" thickTop="1" thickBot="1">
      <c r="B50" s="34">
        <v>202318029</v>
      </c>
      <c r="C50" s="34" t="s">
        <v>59</v>
      </c>
      <c r="D50" s="22">
        <f>COUNTIFS('Mark Leave'!$D:$D,"&gt;="&amp;$D$2,'Mark Leave'!$D:$D,"&lt;="&amp;$F$2,'Mark Leave'!$B:$B,$B50,'Mark Leave'!$E:$E,D$7)</f>
        <v>0</v>
      </c>
      <c r="E50" s="22">
        <f>COUNTIFS('Mark Leave'!$D:$D,"&gt;="&amp;$D$2,'Mark Leave'!$D:$D,"&lt;="&amp;$F$2,'Mark Leave'!$B:$B,$B50,'Mark Leave'!$E:$E,E$7)</f>
        <v>0</v>
      </c>
      <c r="F50" s="22">
        <f>COUNTIFS('Mark Leave'!$D:$D,"&gt;="&amp;$D$2,'Mark Leave'!$D:$D,"&lt;="&amp;$F$2,'Mark Leave'!$B:$B,$B50,'Mark Leave'!$E:$E,F$7)</f>
        <v>0</v>
      </c>
      <c r="G50" s="29">
        <f>COUNTIFS('Mark Leave'!$D:$D,"&gt;="&amp;$D$2,'Mark Leave'!$D:$D,"&lt;="&amp;$F$2,'Mark Leave'!$B:$B,$B50,'Mark Leave'!$E:$E,G$7)/2</f>
        <v>0</v>
      </c>
      <c r="H50" s="76">
        <f>COUNTIFS('Mark Leave'!$D:$D,"&gt;="&amp;$D$2,'Mark Leave'!$D:$D,"&lt;="&amp;$F$2,'Mark Leave'!$B:$B,$B50,'Mark Leave'!$E:$E,H$7)/2</f>
        <v>0</v>
      </c>
      <c r="I50" s="29">
        <f>COUNTIFS('Mark Leave'!$D:$D,"&gt;="&amp;$D$2,'Mark Leave'!$D:$D,"&lt;="&amp;$F$2,'Mark Leave'!$B:$B,$B50,'Mark Leave'!$E:$E,I$7)</f>
        <v>0</v>
      </c>
      <c r="J50" s="21">
        <f t="shared" si="3"/>
        <v>0</v>
      </c>
    </row>
    <row r="51" spans="2:10" ht="15.6" thickTop="1" thickBot="1">
      <c r="B51" s="34">
        <v>202418030</v>
      </c>
      <c r="C51" s="34" t="s">
        <v>60</v>
      </c>
      <c r="D51" s="22">
        <f>COUNTIFS('Mark Leave'!$D:$D,"&gt;="&amp;$D$2,'Mark Leave'!$D:$D,"&lt;="&amp;$F$2,'Mark Leave'!$B:$B,$B51,'Mark Leave'!$E:$E,D$7)</f>
        <v>0</v>
      </c>
      <c r="E51" s="22">
        <f>COUNTIFS('Mark Leave'!$D:$D,"&gt;="&amp;$D$2,'Mark Leave'!$D:$D,"&lt;="&amp;$F$2,'Mark Leave'!$B:$B,$B51,'Mark Leave'!$E:$E,E$7)</f>
        <v>0</v>
      </c>
      <c r="F51" s="22">
        <f>COUNTIFS('Mark Leave'!$D:$D,"&gt;="&amp;$D$2,'Mark Leave'!$D:$D,"&lt;="&amp;$F$2,'Mark Leave'!$B:$B,$B51,'Mark Leave'!$E:$E,F$7)</f>
        <v>0</v>
      </c>
      <c r="G51" s="29">
        <f>COUNTIFS('Mark Leave'!$D:$D,"&gt;="&amp;$D$2,'Mark Leave'!$D:$D,"&lt;="&amp;$F$2,'Mark Leave'!$B:$B,$B51,'Mark Leave'!$E:$E,G$7)/2</f>
        <v>0</v>
      </c>
      <c r="H51" s="76">
        <f>COUNTIFS('Mark Leave'!$D:$D,"&gt;="&amp;$D$2,'Mark Leave'!$D:$D,"&lt;="&amp;$F$2,'Mark Leave'!$B:$B,$B51,'Mark Leave'!$E:$E,H$7)/2</f>
        <v>0</v>
      </c>
      <c r="I51" s="29">
        <f>COUNTIFS('Mark Leave'!$D:$D,"&gt;="&amp;$D$2,'Mark Leave'!$D:$D,"&lt;="&amp;$F$2,'Mark Leave'!$B:$B,$B51,'Mark Leave'!$E:$E,I$7)</f>
        <v>0</v>
      </c>
      <c r="J51" s="21">
        <f t="shared" si="3"/>
        <v>0</v>
      </c>
    </row>
    <row r="52" spans="2:10" ht="15.6" thickTop="1" thickBot="1">
      <c r="B52" s="34">
        <v>202401001</v>
      </c>
      <c r="C52" s="34" t="s">
        <v>61</v>
      </c>
      <c r="D52" s="22">
        <f>COUNTIFS('Mark Leave'!$D:$D,"&gt;="&amp;$D$2,'Mark Leave'!$D:$D,"&lt;="&amp;$F$2,'Mark Leave'!$B:$B,$B52,'Mark Leave'!$E:$E,D$7)</f>
        <v>0</v>
      </c>
      <c r="E52" s="22">
        <f>COUNTIFS('Mark Leave'!$D:$D,"&gt;="&amp;$D$2,'Mark Leave'!$D:$D,"&lt;="&amp;$F$2,'Mark Leave'!$B:$B,$B52,'Mark Leave'!$E:$E,E$7)</f>
        <v>0</v>
      </c>
      <c r="F52" s="22">
        <f>COUNTIFS('Mark Leave'!$D:$D,"&gt;="&amp;$D$2,'Mark Leave'!$D:$D,"&lt;="&amp;$F$2,'Mark Leave'!$B:$B,$B52,'Mark Leave'!$E:$E,F$7)</f>
        <v>0</v>
      </c>
      <c r="G52" s="29">
        <f>COUNTIFS('Mark Leave'!$D:$D,"&gt;="&amp;$D$2,'Mark Leave'!$D:$D,"&lt;="&amp;$F$2,'Mark Leave'!$B:$B,$B52,'Mark Leave'!$E:$E,G$7)/2</f>
        <v>0</v>
      </c>
      <c r="H52" s="76">
        <f>COUNTIFS('Mark Leave'!$D:$D,"&gt;="&amp;$D$2,'Mark Leave'!$D:$D,"&lt;="&amp;$F$2,'Mark Leave'!$B:$B,$B52,'Mark Leave'!$E:$E,H$7)/2</f>
        <v>0</v>
      </c>
      <c r="I52" s="29">
        <f>COUNTIFS('Mark Leave'!$D:$D,"&gt;="&amp;$D$2,'Mark Leave'!$D:$D,"&lt;="&amp;$F$2,'Mark Leave'!$B:$B,$B52,'Mark Leave'!$E:$E,I$7)</f>
        <v>0</v>
      </c>
      <c r="J52" s="21">
        <f t="shared" si="3"/>
        <v>0</v>
      </c>
    </row>
    <row r="53" spans="2:10" ht="15.6" thickTop="1" thickBot="1">
      <c r="B53" s="34">
        <v>202418031</v>
      </c>
      <c r="C53" s="34" t="s">
        <v>62</v>
      </c>
      <c r="D53" s="22">
        <f>COUNTIFS('Mark Leave'!$D:$D,"&gt;="&amp;$D$2,'Mark Leave'!$D:$D,"&lt;="&amp;$F$2,'Mark Leave'!$B:$B,$B53,'Mark Leave'!$E:$E,D$7)</f>
        <v>0</v>
      </c>
      <c r="E53" s="22">
        <f>COUNTIFS('Mark Leave'!$D:$D,"&gt;="&amp;$D$2,'Mark Leave'!$D:$D,"&lt;="&amp;$F$2,'Mark Leave'!$B:$B,$B53,'Mark Leave'!$E:$E,E$7)</f>
        <v>0</v>
      </c>
      <c r="F53" s="22">
        <f>COUNTIFS('Mark Leave'!$D:$D,"&gt;="&amp;$D$2,'Mark Leave'!$D:$D,"&lt;="&amp;$F$2,'Mark Leave'!$B:$B,$B53,'Mark Leave'!$E:$E,F$7)</f>
        <v>0</v>
      </c>
      <c r="G53" s="29">
        <f>COUNTIFS('Mark Leave'!$D:$D,"&gt;="&amp;$D$2,'Mark Leave'!$D:$D,"&lt;="&amp;$F$2,'Mark Leave'!$B:$B,$B53,'Mark Leave'!$E:$E,G$7)/2</f>
        <v>0</v>
      </c>
      <c r="H53" s="76">
        <f>COUNTIFS('Mark Leave'!$D:$D,"&gt;="&amp;$D$2,'Mark Leave'!$D:$D,"&lt;="&amp;$F$2,'Mark Leave'!$B:$B,$B53,'Mark Leave'!$E:$E,H$7)/2</f>
        <v>0</v>
      </c>
      <c r="I53" s="29">
        <f>COUNTIFS('Mark Leave'!$D:$D,"&gt;="&amp;$D$2,'Mark Leave'!$D:$D,"&lt;="&amp;$F$2,'Mark Leave'!$B:$B,$B53,'Mark Leave'!$E:$E,I$7)</f>
        <v>0</v>
      </c>
      <c r="J53" s="21">
        <f t="shared" si="3"/>
        <v>0</v>
      </c>
    </row>
    <row r="54" spans="2:10" ht="15.6" thickTop="1" thickBot="1">
      <c r="B54" s="34">
        <v>202418032</v>
      </c>
      <c r="C54" s="34" t="s">
        <v>63</v>
      </c>
      <c r="D54" s="22">
        <f>COUNTIFS('Mark Leave'!$D:$D,"&gt;="&amp;$D$2,'Mark Leave'!$D:$D,"&lt;="&amp;$F$2,'Mark Leave'!$B:$B,$B54,'Mark Leave'!$E:$E,D$7)</f>
        <v>0</v>
      </c>
      <c r="E54" s="22">
        <f>COUNTIFS('Mark Leave'!$D:$D,"&gt;="&amp;$D$2,'Mark Leave'!$D:$D,"&lt;="&amp;$F$2,'Mark Leave'!$B:$B,$B54,'Mark Leave'!$E:$E,E$7)</f>
        <v>0</v>
      </c>
      <c r="F54" s="22">
        <f>COUNTIFS('Mark Leave'!$D:$D,"&gt;="&amp;$D$2,'Mark Leave'!$D:$D,"&lt;="&amp;$F$2,'Mark Leave'!$B:$B,$B54,'Mark Leave'!$E:$E,F$7)</f>
        <v>0</v>
      </c>
      <c r="G54" s="29">
        <f>COUNTIFS('Mark Leave'!$D:$D,"&gt;="&amp;$D$2,'Mark Leave'!$D:$D,"&lt;="&amp;$F$2,'Mark Leave'!$B:$B,$B54,'Mark Leave'!$E:$E,G$7)/2</f>
        <v>0</v>
      </c>
      <c r="H54" s="76">
        <f>COUNTIFS('Mark Leave'!$D:$D,"&gt;="&amp;$D$2,'Mark Leave'!$D:$D,"&lt;="&amp;$F$2,'Mark Leave'!$B:$B,$B54,'Mark Leave'!$E:$E,H$7)/2</f>
        <v>0</v>
      </c>
      <c r="I54" s="29">
        <f>COUNTIFS('Mark Leave'!$D:$D,"&gt;="&amp;$D$2,'Mark Leave'!$D:$D,"&lt;="&amp;$F$2,'Mark Leave'!$B:$B,$B54,'Mark Leave'!$E:$E,I$7)</f>
        <v>0</v>
      </c>
      <c r="J54" s="21">
        <f t="shared" si="3"/>
        <v>0</v>
      </c>
    </row>
    <row r="55" spans="2:10" ht="15.6" thickTop="1" thickBot="1">
      <c r="B55" s="34">
        <v>202420015</v>
      </c>
      <c r="C55" s="34" t="s">
        <v>64</v>
      </c>
      <c r="D55" s="22">
        <f>COUNTIFS('Mark Leave'!$D:$D,"&gt;="&amp;$D$2,'Mark Leave'!$D:$D,"&lt;="&amp;$F$2,'Mark Leave'!$B:$B,$B55,'Mark Leave'!$E:$E,D$7)</f>
        <v>0</v>
      </c>
      <c r="E55" s="22">
        <f>COUNTIFS('Mark Leave'!$D:$D,"&gt;="&amp;$D$2,'Mark Leave'!$D:$D,"&lt;="&amp;$F$2,'Mark Leave'!$B:$B,$B55,'Mark Leave'!$E:$E,E$7)</f>
        <v>0</v>
      </c>
      <c r="F55" s="22">
        <f>COUNTIFS('Mark Leave'!$D:$D,"&gt;="&amp;$D$2,'Mark Leave'!$D:$D,"&lt;="&amp;$F$2,'Mark Leave'!$B:$B,$B55,'Mark Leave'!$E:$E,F$7)</f>
        <v>0</v>
      </c>
      <c r="G55" s="29">
        <f>COUNTIFS('Mark Leave'!$D:$D,"&gt;="&amp;$D$2,'Mark Leave'!$D:$D,"&lt;="&amp;$F$2,'Mark Leave'!$B:$B,$B55,'Mark Leave'!$E:$E,G$7)/2</f>
        <v>0</v>
      </c>
      <c r="H55" s="76">
        <f>COUNTIFS('Mark Leave'!$D:$D,"&gt;="&amp;$D$2,'Mark Leave'!$D:$D,"&lt;="&amp;$F$2,'Mark Leave'!$B:$B,$B55,'Mark Leave'!$E:$E,H$7)/2</f>
        <v>0</v>
      </c>
      <c r="I55" s="29">
        <f>COUNTIFS('Mark Leave'!$D:$D,"&gt;="&amp;$D$2,'Mark Leave'!$D:$D,"&lt;="&amp;$F$2,'Mark Leave'!$B:$B,$B55,'Mark Leave'!$E:$E,I$7)</f>
        <v>0</v>
      </c>
      <c r="J55" s="21">
        <f t="shared" si="3"/>
        <v>0</v>
      </c>
    </row>
    <row r="56" spans="2:10" ht="15.6" thickTop="1" thickBot="1">
      <c r="B56" s="34">
        <v>202418033</v>
      </c>
      <c r="C56" s="34" t="s">
        <v>65</v>
      </c>
      <c r="D56" s="22">
        <f>COUNTIFS('Mark Leave'!$D:$D,"&gt;="&amp;$D$2,'Mark Leave'!$D:$D,"&lt;="&amp;$F$2,'Mark Leave'!$B:$B,$B56,'Mark Leave'!$E:$E,D$7)</f>
        <v>0</v>
      </c>
      <c r="E56" s="22">
        <f>COUNTIFS('Mark Leave'!$D:$D,"&gt;="&amp;$D$2,'Mark Leave'!$D:$D,"&lt;="&amp;$F$2,'Mark Leave'!$B:$B,$B56,'Mark Leave'!$E:$E,E$7)</f>
        <v>0</v>
      </c>
      <c r="F56" s="22">
        <f>COUNTIFS('Mark Leave'!$D:$D,"&gt;="&amp;$D$2,'Mark Leave'!$D:$D,"&lt;="&amp;$F$2,'Mark Leave'!$B:$B,$B56,'Mark Leave'!$E:$E,F$7)</f>
        <v>0</v>
      </c>
      <c r="G56" s="29">
        <f>COUNTIFS('Mark Leave'!$D:$D,"&gt;="&amp;$D$2,'Mark Leave'!$D:$D,"&lt;="&amp;$F$2,'Mark Leave'!$B:$B,$B56,'Mark Leave'!$E:$E,G$7)/2</f>
        <v>0</v>
      </c>
      <c r="H56" s="76">
        <f>COUNTIFS('Mark Leave'!$D:$D,"&gt;="&amp;$D$2,'Mark Leave'!$D:$D,"&lt;="&amp;$F$2,'Mark Leave'!$B:$B,$B56,'Mark Leave'!$E:$E,H$7)/2</f>
        <v>0</v>
      </c>
      <c r="I56" s="29">
        <f>COUNTIFS('Mark Leave'!$D:$D,"&gt;="&amp;$D$2,'Mark Leave'!$D:$D,"&lt;="&amp;$F$2,'Mark Leave'!$B:$B,$B56,'Mark Leave'!$E:$E,I$7)</f>
        <v>0</v>
      </c>
      <c r="J56" s="21">
        <f t="shared" si="3"/>
        <v>0</v>
      </c>
    </row>
    <row r="57" spans="2:10" ht="15.6" thickTop="1" thickBot="1">
      <c r="B57" s="34">
        <v>202218034</v>
      </c>
      <c r="C57" s="34" t="s">
        <v>66</v>
      </c>
      <c r="D57" s="22">
        <f>COUNTIFS('Mark Leave'!$D:$D,"&gt;="&amp;$D$2,'Mark Leave'!$D:$D,"&lt;="&amp;$F$2,'Mark Leave'!$B:$B,$B57,'Mark Leave'!$E:$E,D$7)</f>
        <v>0</v>
      </c>
      <c r="E57" s="22">
        <f>COUNTIFS('Mark Leave'!$D:$D,"&gt;="&amp;$D$2,'Mark Leave'!$D:$D,"&lt;="&amp;$F$2,'Mark Leave'!$B:$B,$B57,'Mark Leave'!$E:$E,E$7)</f>
        <v>0</v>
      </c>
      <c r="F57" s="22">
        <f>COUNTIFS('Mark Leave'!$D:$D,"&gt;="&amp;$D$2,'Mark Leave'!$D:$D,"&lt;="&amp;$F$2,'Mark Leave'!$B:$B,$B57,'Mark Leave'!$E:$E,F$7)</f>
        <v>0</v>
      </c>
      <c r="G57" s="29">
        <f>COUNTIFS('Mark Leave'!$D:$D,"&gt;="&amp;$D$2,'Mark Leave'!$D:$D,"&lt;="&amp;$F$2,'Mark Leave'!$B:$B,$B57,'Mark Leave'!$E:$E,G$7)/2</f>
        <v>0</v>
      </c>
      <c r="H57" s="76">
        <f>COUNTIFS('Mark Leave'!$D:$D,"&gt;="&amp;$D$2,'Mark Leave'!$D:$D,"&lt;="&amp;$F$2,'Mark Leave'!$B:$B,$B57,'Mark Leave'!$E:$E,H$7)/2</f>
        <v>0</v>
      </c>
      <c r="I57" s="29">
        <f>COUNTIFS('Mark Leave'!$D:$D,"&gt;="&amp;$D$2,'Mark Leave'!$D:$D,"&lt;="&amp;$F$2,'Mark Leave'!$B:$B,$B57,'Mark Leave'!$E:$E,I$7)</f>
        <v>0</v>
      </c>
      <c r="J57" s="21">
        <f t="shared" si="3"/>
        <v>0</v>
      </c>
    </row>
    <row r="58" spans="2:10" ht="15.6" thickTop="1" thickBot="1">
      <c r="B58" s="34">
        <v>202018035</v>
      </c>
      <c r="C58" s="93" t="s">
        <v>67</v>
      </c>
      <c r="D58" s="22">
        <f>COUNTIFS('Mark Leave'!$D:$D,"&gt;="&amp;$D$2,'Mark Leave'!$D:$D,"&lt;="&amp;$F$2,'Mark Leave'!$B:$B,$B58,'Mark Leave'!$E:$E,D$7)</f>
        <v>0</v>
      </c>
      <c r="E58" s="22">
        <f>COUNTIFS('Mark Leave'!$D:$D,"&gt;="&amp;$D$2,'Mark Leave'!$D:$D,"&lt;="&amp;$F$2,'Mark Leave'!$B:$B,$B58,'Mark Leave'!$E:$E,E$7)</f>
        <v>0</v>
      </c>
      <c r="F58" s="22">
        <f>COUNTIFS('Mark Leave'!$D:$D,"&gt;="&amp;$D$2,'Mark Leave'!$D:$D,"&lt;="&amp;$F$2,'Mark Leave'!$B:$B,$B58,'Mark Leave'!$E:$E,F$7)</f>
        <v>0</v>
      </c>
      <c r="G58" s="29">
        <f>COUNTIFS('Mark Leave'!$D:$D,"&gt;="&amp;$D$2,'Mark Leave'!$D:$D,"&lt;="&amp;$F$2,'Mark Leave'!$B:$B,$B58,'Mark Leave'!$E:$E,G$7)/2</f>
        <v>0</v>
      </c>
      <c r="H58" s="76">
        <f>COUNTIFS('Mark Leave'!$D:$D,"&gt;="&amp;$D$2,'Mark Leave'!$D:$D,"&lt;="&amp;$F$2,'Mark Leave'!$B:$B,$B58,'Mark Leave'!$E:$E,H$7)/2</f>
        <v>0</v>
      </c>
      <c r="I58" s="29">
        <f>COUNTIFS('Mark Leave'!$D:$D,"&gt;="&amp;$D$2,'Mark Leave'!$D:$D,"&lt;="&amp;$F$2,'Mark Leave'!$B:$B,$B58,'Mark Leave'!$E:$E,I$7)</f>
        <v>0</v>
      </c>
      <c r="J58" s="21">
        <f t="shared" si="3"/>
        <v>0</v>
      </c>
    </row>
    <row r="59" spans="2:10">
      <c r="B59" s="34"/>
      <c r="C59" s="95"/>
    </row>
    <row r="60" spans="2:10">
      <c r="B60" s="34"/>
      <c r="C60" s="95"/>
    </row>
    <row r="61" spans="2:10">
      <c r="B61" s="34"/>
      <c r="C61" s="95"/>
    </row>
    <row r="62" spans="2:10">
      <c r="B62" s="34"/>
      <c r="C62" s="95"/>
    </row>
    <row r="63" spans="2:10">
      <c r="B63" s="34"/>
      <c r="C63" s="96"/>
    </row>
  </sheetData>
  <autoFilter ref="B4:C63" xr:uid="{9E49DA7B-670A-493B-8119-70A5485B206C}"/>
  <mergeCells count="3">
    <mergeCell ref="B4:B7"/>
    <mergeCell ref="C4:C7"/>
    <mergeCell ref="J6:J7"/>
  </mergeCells>
  <conditionalFormatting sqref="D8:J58">
    <cfRule type="cellIs" dxfId="93" priority="1" operator="equal">
      <formula>0</formula>
    </cfRule>
  </conditionalFormatting>
  <pageMargins left="0.7" right="0.7" top="0.75" bottom="0.75" header="0.3" footer="0.3"/>
  <ignoredErrors>
    <ignoredError sqref="G8:G27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F60FD8-41A3-4D55-9358-952797BD6F3B}">
  <sheetPr codeName="Sheet2"/>
  <dimension ref="A1:AT56"/>
  <sheetViews>
    <sheetView showGridLines="0" workbookViewId="0">
      <pane xSplit="1" ySplit="4" topLeftCell="B46" activePane="bottomRight" state="frozen"/>
      <selection pane="topRight" activeCell="K24" sqref="K24"/>
      <selection pane="bottomLeft" activeCell="K24" sqref="K24"/>
      <selection pane="bottomRight" activeCell="I20" sqref="I20"/>
    </sheetView>
  </sheetViews>
  <sheetFormatPr defaultColWidth="8.77734375" defaultRowHeight="13.8"/>
  <cols>
    <col min="1" max="1" width="10" style="4" bestFit="1" customWidth="1"/>
    <col min="2" max="2" width="28.44140625" style="4" bestFit="1" customWidth="1"/>
    <col min="3" max="32" width="3.77734375" style="4" customWidth="1"/>
    <col min="33" max="33" width="10.21875" style="4" customWidth="1"/>
    <col min="34" max="38" width="10.21875" style="14" customWidth="1"/>
    <col min="39" max="39" width="6" style="14" bestFit="1" customWidth="1"/>
    <col min="40" max="40" width="6" style="14" customWidth="1"/>
    <col min="41" max="44" width="10.21875" style="14" customWidth="1"/>
    <col min="45" max="45" width="7.21875" style="14" customWidth="1"/>
    <col min="46" max="46" width="8.77734375" style="14"/>
    <col min="47" max="16384" width="8.77734375" style="4"/>
  </cols>
  <sheetData>
    <row r="1" spans="1:46" ht="16.95" customHeight="1" thickBot="1">
      <c r="N1" s="5" t="s">
        <v>68</v>
      </c>
      <c r="O1" s="141"/>
      <c r="P1" s="141"/>
      <c r="Q1" s="141"/>
      <c r="R1" s="141"/>
      <c r="S1" s="141"/>
      <c r="T1" s="141"/>
      <c r="V1" s="15">
        <v>9</v>
      </c>
      <c r="W1" s="6">
        <v>1</v>
      </c>
      <c r="AH1" s="73" t="s">
        <v>3</v>
      </c>
      <c r="AI1" s="73"/>
      <c r="AJ1" s="73"/>
      <c r="AK1" s="73"/>
      <c r="AL1" s="73"/>
      <c r="AM1" s="73"/>
      <c r="AN1" s="73"/>
      <c r="AO1" s="73"/>
      <c r="AP1" s="73"/>
      <c r="AQ1" s="73"/>
      <c r="AR1" s="73"/>
      <c r="AS1" s="73"/>
      <c r="AT1" s="73"/>
    </row>
    <row r="2" spans="1:46" ht="19.2" customHeight="1" thickTop="1" thickBot="1">
      <c r="AH2" s="7">
        <f t="shared" ref="AH2:AO2" si="0">SUM(AH5:AH1048576)</f>
        <v>0</v>
      </c>
      <c r="AI2" s="7">
        <f t="shared" si="0"/>
        <v>0</v>
      </c>
      <c r="AJ2" s="7">
        <f t="shared" si="0"/>
        <v>0</v>
      </c>
      <c r="AK2" s="7">
        <f t="shared" si="0"/>
        <v>0</v>
      </c>
      <c r="AL2" s="7">
        <f t="shared" si="0"/>
        <v>0</v>
      </c>
      <c r="AM2" s="7">
        <f t="shared" si="0"/>
        <v>0</v>
      </c>
      <c r="AN2" s="7">
        <f t="shared" si="0"/>
        <v>0</v>
      </c>
      <c r="AO2" s="7">
        <f t="shared" si="0"/>
        <v>0</v>
      </c>
      <c r="AP2" s="7">
        <v>0</v>
      </c>
      <c r="AQ2" s="7">
        <v>0</v>
      </c>
      <c r="AR2" s="7">
        <v>0</v>
      </c>
      <c r="AS2" s="7">
        <v>0</v>
      </c>
      <c r="AT2" s="8">
        <f>SUM(AT5:AT1048576)</f>
        <v>0</v>
      </c>
    </row>
    <row r="3" spans="1:46" ht="37.200000000000003" thickTop="1" thickBot="1">
      <c r="A3" s="142" t="s">
        <v>1</v>
      </c>
      <c r="B3" s="142" t="s">
        <v>2</v>
      </c>
      <c r="C3" s="23">
        <f>W1</f>
        <v>1</v>
      </c>
      <c r="D3" s="23">
        <f>IF(C3="","",IF(EOMONTH($W$1,0)&gt;=C3+1,C3+1,""))</f>
        <v>2</v>
      </c>
      <c r="E3" s="23">
        <f t="shared" ref="E3:AG3" si="1">IF(D3="","",IF(EOMONTH($V$1,0)&gt;=D3+1,D3+1,""))</f>
        <v>3</v>
      </c>
      <c r="F3" s="23">
        <f t="shared" si="1"/>
        <v>4</v>
      </c>
      <c r="G3" s="23">
        <f t="shared" si="1"/>
        <v>5</v>
      </c>
      <c r="H3" s="23">
        <f t="shared" si="1"/>
        <v>6</v>
      </c>
      <c r="I3" s="23">
        <f t="shared" si="1"/>
        <v>7</v>
      </c>
      <c r="J3" s="23">
        <f t="shared" si="1"/>
        <v>8</v>
      </c>
      <c r="K3" s="23">
        <f t="shared" si="1"/>
        <v>9</v>
      </c>
      <c r="L3" s="23">
        <f t="shared" si="1"/>
        <v>10</v>
      </c>
      <c r="M3" s="23">
        <f t="shared" si="1"/>
        <v>11</v>
      </c>
      <c r="N3" s="23">
        <f t="shared" si="1"/>
        <v>12</v>
      </c>
      <c r="O3" s="23">
        <f t="shared" si="1"/>
        <v>13</v>
      </c>
      <c r="P3" s="23">
        <f t="shared" si="1"/>
        <v>14</v>
      </c>
      <c r="Q3" s="23">
        <f t="shared" si="1"/>
        <v>15</v>
      </c>
      <c r="R3" s="23">
        <f t="shared" si="1"/>
        <v>16</v>
      </c>
      <c r="S3" s="23">
        <f t="shared" si="1"/>
        <v>17</v>
      </c>
      <c r="T3" s="23">
        <f t="shared" si="1"/>
        <v>18</v>
      </c>
      <c r="U3" s="23">
        <f t="shared" si="1"/>
        <v>19</v>
      </c>
      <c r="V3" s="23">
        <f t="shared" si="1"/>
        <v>20</v>
      </c>
      <c r="W3" s="23">
        <f t="shared" si="1"/>
        <v>21</v>
      </c>
      <c r="X3" s="23">
        <f t="shared" si="1"/>
        <v>22</v>
      </c>
      <c r="Y3" s="23">
        <f t="shared" si="1"/>
        <v>23</v>
      </c>
      <c r="Z3" s="23">
        <f t="shared" si="1"/>
        <v>24</v>
      </c>
      <c r="AA3" s="23">
        <f t="shared" si="1"/>
        <v>25</v>
      </c>
      <c r="AB3" s="23">
        <f t="shared" si="1"/>
        <v>26</v>
      </c>
      <c r="AC3" s="23">
        <f t="shared" si="1"/>
        <v>27</v>
      </c>
      <c r="AD3" s="23">
        <f t="shared" si="1"/>
        <v>28</v>
      </c>
      <c r="AE3" s="23">
        <f t="shared" si="1"/>
        <v>29</v>
      </c>
      <c r="AF3" s="23">
        <f t="shared" si="1"/>
        <v>30</v>
      </c>
      <c r="AG3" s="23">
        <f t="shared" si="1"/>
        <v>31</v>
      </c>
      <c r="AH3" s="9" t="s">
        <v>4</v>
      </c>
      <c r="AI3" s="9" t="s">
        <v>69</v>
      </c>
      <c r="AJ3" s="9" t="s">
        <v>5</v>
      </c>
      <c r="AK3" s="9" t="s">
        <v>6</v>
      </c>
      <c r="AL3" s="9" t="s">
        <v>70</v>
      </c>
      <c r="AM3" s="9" t="s">
        <v>71</v>
      </c>
      <c r="AN3" s="9" t="s">
        <v>7</v>
      </c>
      <c r="AO3" s="9" t="s">
        <v>72</v>
      </c>
      <c r="AP3" s="9" t="s">
        <v>73</v>
      </c>
      <c r="AQ3" s="9" t="s">
        <v>74</v>
      </c>
      <c r="AR3" s="9" t="s">
        <v>75</v>
      </c>
      <c r="AS3" s="9" t="s">
        <v>16</v>
      </c>
      <c r="AT3" s="72" t="s">
        <v>10</v>
      </c>
    </row>
    <row r="4" spans="1:46" ht="24" customHeight="1" thickTop="1" thickBot="1">
      <c r="A4" s="142"/>
      <c r="B4" s="142"/>
      <c r="C4" s="24" t="str">
        <f>TEXT(C3,"DDD")</f>
        <v>Sun</v>
      </c>
      <c r="D4" s="24" t="str">
        <f t="shared" ref="D4:AG4" si="2">TEXT(D3,"DDD")</f>
        <v>Mon</v>
      </c>
      <c r="E4" s="24" t="str">
        <f t="shared" si="2"/>
        <v>Tue</v>
      </c>
      <c r="F4" s="24" t="str">
        <f t="shared" si="2"/>
        <v>Wed</v>
      </c>
      <c r="G4" s="24" t="str">
        <f t="shared" si="2"/>
        <v>Thu</v>
      </c>
      <c r="H4" s="24" t="str">
        <f t="shared" si="2"/>
        <v>Fri</v>
      </c>
      <c r="I4" s="24" t="str">
        <f t="shared" si="2"/>
        <v>Sat</v>
      </c>
      <c r="J4" s="24" t="str">
        <f t="shared" si="2"/>
        <v>Sun</v>
      </c>
      <c r="K4" s="24" t="str">
        <f t="shared" si="2"/>
        <v>Mon</v>
      </c>
      <c r="L4" s="24" t="str">
        <f t="shared" si="2"/>
        <v>Tue</v>
      </c>
      <c r="M4" s="24" t="str">
        <f t="shared" si="2"/>
        <v>Wed</v>
      </c>
      <c r="N4" s="24" t="str">
        <f t="shared" si="2"/>
        <v>Thu</v>
      </c>
      <c r="O4" s="24" t="str">
        <f t="shared" si="2"/>
        <v>Fri</v>
      </c>
      <c r="P4" s="24" t="str">
        <f t="shared" si="2"/>
        <v>Sat</v>
      </c>
      <c r="Q4" s="24" t="str">
        <f t="shared" si="2"/>
        <v>Sun</v>
      </c>
      <c r="R4" s="24" t="str">
        <f t="shared" si="2"/>
        <v>Mon</v>
      </c>
      <c r="S4" s="24" t="str">
        <f t="shared" si="2"/>
        <v>Tue</v>
      </c>
      <c r="T4" s="24" t="str">
        <f t="shared" si="2"/>
        <v>Wed</v>
      </c>
      <c r="U4" s="24" t="str">
        <f t="shared" si="2"/>
        <v>Thu</v>
      </c>
      <c r="V4" s="24" t="str">
        <f t="shared" si="2"/>
        <v>Fri</v>
      </c>
      <c r="W4" s="24" t="str">
        <f t="shared" si="2"/>
        <v>Sat</v>
      </c>
      <c r="X4" s="24" t="str">
        <f t="shared" si="2"/>
        <v>Sun</v>
      </c>
      <c r="Y4" s="24" t="str">
        <f t="shared" si="2"/>
        <v>Mon</v>
      </c>
      <c r="Z4" s="24" t="str">
        <f t="shared" si="2"/>
        <v>Tue</v>
      </c>
      <c r="AA4" s="24" t="str">
        <f t="shared" si="2"/>
        <v>Wed</v>
      </c>
      <c r="AB4" s="24" t="str">
        <f t="shared" si="2"/>
        <v>Thu</v>
      </c>
      <c r="AC4" s="24" t="str">
        <f t="shared" si="2"/>
        <v>Fri</v>
      </c>
      <c r="AD4" s="24" t="str">
        <f t="shared" si="2"/>
        <v>Sat</v>
      </c>
      <c r="AE4" s="24" t="str">
        <f t="shared" si="2"/>
        <v>Sun</v>
      </c>
      <c r="AF4" s="24" t="str">
        <f t="shared" si="2"/>
        <v>Mon</v>
      </c>
      <c r="AG4" s="24" t="str">
        <f t="shared" si="2"/>
        <v>Tue</v>
      </c>
      <c r="AH4" s="10" t="s">
        <v>11</v>
      </c>
      <c r="AI4" s="10" t="s">
        <v>76</v>
      </c>
      <c r="AJ4" s="10" t="s">
        <v>12</v>
      </c>
      <c r="AK4" s="10" t="s">
        <v>13</v>
      </c>
      <c r="AL4" s="10" t="s">
        <v>77</v>
      </c>
      <c r="AM4" s="10" t="s">
        <v>78</v>
      </c>
      <c r="AN4" s="10" t="s">
        <v>14</v>
      </c>
      <c r="AO4" s="10" t="s">
        <v>15</v>
      </c>
      <c r="AP4" s="10" t="s">
        <v>79</v>
      </c>
      <c r="AQ4" s="10" t="s">
        <v>80</v>
      </c>
      <c r="AR4" s="10" t="s">
        <v>81</v>
      </c>
      <c r="AS4" s="10" t="s">
        <v>16</v>
      </c>
      <c r="AT4" s="72"/>
    </row>
    <row r="5" spans="1:46" ht="15.6" thickTop="1" thickBot="1">
      <c r="A5" s="34">
        <v>201718001</v>
      </c>
      <c r="B5" s="34" t="s">
        <v>17</v>
      </c>
      <c r="C5" s="11" t="str">
        <f>IFERROR(VLOOKUP($A5&amp;C$3,'Mark Leave'!$A:$E,5,0),"")</f>
        <v/>
      </c>
      <c r="D5" s="11" t="str">
        <f>IFERROR(VLOOKUP($A5&amp;D$3,'Mark Leave'!$A:$E,5,0),"")</f>
        <v/>
      </c>
      <c r="E5" s="11" t="str">
        <f>IFERROR(VLOOKUP($A5&amp;E$3,'Mark Leave'!$A:$E,5,0),"")</f>
        <v/>
      </c>
      <c r="F5" s="11" t="str">
        <f>IFERROR(VLOOKUP($A5&amp;F$3,'Mark Leave'!$A:$E,5,0),"")</f>
        <v/>
      </c>
      <c r="G5" s="11" t="str">
        <f>IFERROR(VLOOKUP($A5&amp;G$3,'Mark Leave'!$A:$E,5,0),"")</f>
        <v/>
      </c>
      <c r="H5" s="11" t="str">
        <f>IFERROR(VLOOKUP($A5&amp;H$3,'Mark Leave'!$A:$E,5,0),"")</f>
        <v/>
      </c>
      <c r="I5" s="11" t="str">
        <f>IFERROR(VLOOKUP($A5&amp;I$3,'Mark Leave'!$A:$E,5,0),"")</f>
        <v/>
      </c>
      <c r="J5" s="11" t="str">
        <f>IFERROR(VLOOKUP($A5&amp;J$3,'Mark Leave'!$A:$E,5,0),"")</f>
        <v/>
      </c>
      <c r="K5" s="11" t="str">
        <f>IFERROR(VLOOKUP($A5&amp;K$3,'Mark Leave'!$A:$E,5,0),"")</f>
        <v/>
      </c>
      <c r="L5" s="11" t="str">
        <f>IFERROR(VLOOKUP($A5&amp;L$3,'Mark Leave'!$A:$E,5,0),"")</f>
        <v/>
      </c>
      <c r="M5" s="11" t="str">
        <f>IFERROR(VLOOKUP($A5&amp;M$3,'Mark Leave'!$A:$E,5,0),"")</f>
        <v/>
      </c>
      <c r="N5" s="11" t="str">
        <f>IFERROR(VLOOKUP($A5&amp;N$3,'Mark Leave'!$A:$E,5,0),"")</f>
        <v/>
      </c>
      <c r="O5" s="11" t="str">
        <f>IFERROR(VLOOKUP($A5&amp;O$3,'Mark Leave'!$A:$E,5,0),"")</f>
        <v/>
      </c>
      <c r="P5" s="11" t="str">
        <f>IFERROR(VLOOKUP($A5&amp;P$3,'Mark Leave'!$A:$E,5,0),"")</f>
        <v/>
      </c>
      <c r="Q5" s="11" t="str">
        <f>IFERROR(VLOOKUP($A5&amp;Q$3,'Mark Leave'!$A:$E,5,0),"")</f>
        <v/>
      </c>
      <c r="R5" s="11" t="str">
        <f>IFERROR(VLOOKUP($A5&amp;R$3,'Mark Leave'!$A:$E,5,0),"")</f>
        <v/>
      </c>
      <c r="S5" s="11" t="str">
        <f>IFERROR(VLOOKUP($A5&amp;S$3,'Mark Leave'!$A:$E,5,0),"")</f>
        <v/>
      </c>
      <c r="T5" s="11" t="str">
        <f>IFERROR(VLOOKUP($A5&amp;T$3,'Mark Leave'!$A:$E,5,0),"")</f>
        <v/>
      </c>
      <c r="U5" s="11" t="str">
        <f>IFERROR(VLOOKUP($A5&amp;U$3,'Mark Leave'!$A:$E,5,0),"")</f>
        <v/>
      </c>
      <c r="V5" s="11" t="str">
        <f>IFERROR(VLOOKUP($A5&amp;V$3,'Mark Leave'!$A:$E,5,0),"")</f>
        <v/>
      </c>
      <c r="W5" s="11" t="str">
        <f>IFERROR(VLOOKUP($A5&amp;W$3,'Mark Leave'!$A:$E,5,0),"")</f>
        <v/>
      </c>
      <c r="X5" s="11" t="str">
        <f>IFERROR(VLOOKUP($A5&amp;X$3,'Mark Leave'!$A:$E,5,0),"")</f>
        <v/>
      </c>
      <c r="Y5" s="11" t="str">
        <f>IFERROR(VLOOKUP($A5&amp;Y$3,'Mark Leave'!$A:$E,5,0),"")</f>
        <v/>
      </c>
      <c r="Z5" s="11" t="str">
        <f>IFERROR(VLOOKUP($A5&amp;Z$3,'Mark Leave'!$A:$E,5,0),"")</f>
        <v/>
      </c>
      <c r="AA5" s="11" t="str">
        <f>IFERROR(VLOOKUP($A5&amp;AA$3,'Mark Leave'!$A:$E,5,0),"")</f>
        <v/>
      </c>
      <c r="AB5" s="11" t="str">
        <f>IFERROR(VLOOKUP($A5&amp;AB$3,'Mark Leave'!$A:$E,5,0),"")</f>
        <v/>
      </c>
      <c r="AC5" s="11" t="str">
        <f>IFERROR(VLOOKUP($A5&amp;AC$3,'Mark Leave'!$A:$E,5,0),"")</f>
        <v/>
      </c>
      <c r="AD5" s="11" t="str">
        <f>IFERROR(VLOOKUP($A5&amp;AD$3,'Mark Leave'!$A:$E,5,0),"")</f>
        <v/>
      </c>
      <c r="AE5" s="11" t="str">
        <f>IFERROR(VLOOKUP($A5&amp;AE$3,'Mark Leave'!$A:$E,5,0),"")</f>
        <v/>
      </c>
      <c r="AF5" s="11" t="str">
        <f>IFERROR(VLOOKUP($A5&amp;AF$3,'Mark Leave'!$A:$E,5,0),"")</f>
        <v/>
      </c>
      <c r="AG5" s="11" t="str">
        <f>IFERROR(VLOOKUP($A5&amp;AG$3,'Mark Leave'!$A:$E,5,0),"")</f>
        <v/>
      </c>
      <c r="AH5" s="12">
        <f>COUNTIF($C5:$AG5,AH$4)</f>
        <v>0</v>
      </c>
      <c r="AI5" s="12">
        <f t="shared" ref="AI5:AM20" si="3">COUNTIF($B5:$AF5,AI$4)</f>
        <v>0</v>
      </c>
      <c r="AJ5" s="12">
        <f t="shared" si="3"/>
        <v>0</v>
      </c>
      <c r="AK5" s="12">
        <f t="shared" si="3"/>
        <v>0</v>
      </c>
      <c r="AL5" s="12">
        <f t="shared" si="3"/>
        <v>0</v>
      </c>
      <c r="AM5" s="12">
        <f t="shared" si="3"/>
        <v>0</v>
      </c>
      <c r="AN5" s="12">
        <f t="shared" ref="AN5:AP24" si="4">COUNTIF($C5:$AG5,AN$4)/2</f>
        <v>0</v>
      </c>
      <c r="AO5" s="12">
        <f t="shared" si="4"/>
        <v>0</v>
      </c>
      <c r="AP5" s="12">
        <f t="shared" si="4"/>
        <v>0</v>
      </c>
      <c r="AQ5" s="12">
        <f t="shared" ref="AQ5:AR20" si="5">COUNTIF($B5:$AF5,AQ$4)/2</f>
        <v>0</v>
      </c>
      <c r="AR5" s="12">
        <f t="shared" si="5"/>
        <v>0</v>
      </c>
      <c r="AS5" s="12">
        <f>COUNTIF($C5:$AG5,AS$4)/2</f>
        <v>0</v>
      </c>
      <c r="AT5" s="13">
        <f>SUM(AH5:AN5)</f>
        <v>0</v>
      </c>
    </row>
    <row r="6" spans="1:46" ht="15.6" thickTop="1" thickBot="1">
      <c r="A6" s="34">
        <v>201820001</v>
      </c>
      <c r="B6" s="34" t="s">
        <v>82</v>
      </c>
      <c r="C6" s="34" t="str">
        <f>IFERROR(VLOOKUP($A6&amp;C$3,'Mark Leave'!$A:$E,5,0),"")</f>
        <v/>
      </c>
      <c r="D6" s="11" t="str">
        <f>IFERROR(VLOOKUP($A6&amp;D$3,'Mark Leave'!$A:$E,5,0),"")</f>
        <v/>
      </c>
      <c r="E6" s="11" t="str">
        <f>IFERROR(VLOOKUP($A6&amp;E$3,'Mark Leave'!$A:$E,5,0),"")</f>
        <v/>
      </c>
      <c r="F6" s="11" t="str">
        <f>IFERROR(VLOOKUP($A6&amp;F$3,'Mark Leave'!$A:$E,5,0),"")</f>
        <v/>
      </c>
      <c r="G6" s="11" t="str">
        <f>IFERROR(VLOOKUP($A6&amp;G$3,'Mark Leave'!$A:$E,5,0),"")</f>
        <v/>
      </c>
      <c r="H6" s="11" t="str">
        <f>IFERROR(VLOOKUP($A6&amp;H$3,'Mark Leave'!$A:$E,5,0),"")</f>
        <v/>
      </c>
      <c r="I6" s="11" t="str">
        <f>IFERROR(VLOOKUP($A6&amp;I$3,'Mark Leave'!$A:$E,5,0),"")</f>
        <v/>
      </c>
      <c r="J6" s="11" t="str">
        <f>IFERROR(VLOOKUP($A6&amp;J$3,'Mark Leave'!$A:$E,5,0),"")</f>
        <v/>
      </c>
      <c r="K6" s="11" t="str">
        <f>IFERROR(VLOOKUP($A6&amp;K$3,'Mark Leave'!$A:$E,5,0),"")</f>
        <v/>
      </c>
      <c r="L6" s="11" t="str">
        <f>IFERROR(VLOOKUP($A6&amp;L$3,'Mark Leave'!$A:$E,5,0),"")</f>
        <v/>
      </c>
      <c r="M6" s="11" t="str">
        <f>IFERROR(VLOOKUP($A6&amp;M$3,'Mark Leave'!$A:$E,5,0),"")</f>
        <v/>
      </c>
      <c r="N6" s="11" t="str">
        <f>IFERROR(VLOOKUP($A6&amp;N$3,'Mark Leave'!$A:$E,5,0),"")</f>
        <v/>
      </c>
      <c r="O6" s="11" t="str">
        <f>IFERROR(VLOOKUP($A6&amp;O$3,'Mark Leave'!$A:$E,5,0),"")</f>
        <v/>
      </c>
      <c r="P6" s="11" t="str">
        <f>IFERROR(VLOOKUP($A6&amp;P$3,'Mark Leave'!$A:$E,5,0),"")</f>
        <v/>
      </c>
      <c r="Q6" s="11" t="str">
        <f>IFERROR(VLOOKUP($A6&amp;Q$3,'Mark Leave'!$A:$E,5,0),"")</f>
        <v/>
      </c>
      <c r="R6" s="11" t="str">
        <f>IFERROR(VLOOKUP($A6&amp;R$3,'Mark Leave'!$A:$E,5,0),"")</f>
        <v/>
      </c>
      <c r="S6" s="11" t="str">
        <f>IFERROR(VLOOKUP($A6&amp;S$3,'Mark Leave'!$A:$E,5,0),"")</f>
        <v/>
      </c>
      <c r="T6" s="11" t="str">
        <f>IFERROR(VLOOKUP($A6&amp;T$3,'Mark Leave'!$A:$E,5,0),"")</f>
        <v/>
      </c>
      <c r="U6" s="11" t="str">
        <f>IFERROR(VLOOKUP($A6&amp;U$3,'Mark Leave'!$A:$E,5,0),"")</f>
        <v/>
      </c>
      <c r="V6" s="11" t="str">
        <f>IFERROR(VLOOKUP($A6&amp;V$3,'Mark Leave'!$A:$E,5,0),"")</f>
        <v/>
      </c>
      <c r="W6" s="11" t="str">
        <f>IFERROR(VLOOKUP($A6&amp;W$3,'Mark Leave'!$A:$E,5,0),"")</f>
        <v/>
      </c>
      <c r="X6" s="11" t="str">
        <f>IFERROR(VLOOKUP($A6&amp;X$3,'Mark Leave'!$A:$E,5,0),"")</f>
        <v/>
      </c>
      <c r="Y6" s="11" t="str">
        <f>IFERROR(VLOOKUP($A6&amp;Y$3,'Mark Leave'!$A:$E,5,0),"")</f>
        <v/>
      </c>
      <c r="Z6" s="11" t="str">
        <f>IFERROR(VLOOKUP($A6&amp;Z$3,'Mark Leave'!$A:$E,5,0),"")</f>
        <v/>
      </c>
      <c r="AA6" s="11" t="str">
        <f>IFERROR(VLOOKUP($A6&amp;AA$3,'Mark Leave'!$A:$E,5,0),"")</f>
        <v/>
      </c>
      <c r="AB6" s="11" t="str">
        <f>IFERROR(VLOOKUP($A6&amp;AB$3,'Mark Leave'!$A:$E,5,0),"")</f>
        <v/>
      </c>
      <c r="AC6" s="11" t="str">
        <f>IFERROR(VLOOKUP($A6&amp;AC$3,'Mark Leave'!$A:$E,5,0),"")</f>
        <v/>
      </c>
      <c r="AD6" s="11" t="str">
        <f>IFERROR(VLOOKUP($A6&amp;AD$3,'Mark Leave'!$A:$E,5,0),"")</f>
        <v/>
      </c>
      <c r="AE6" s="11" t="str">
        <f>IFERROR(VLOOKUP($A6&amp;AE$3,'Mark Leave'!$A:$E,5,0),"")</f>
        <v/>
      </c>
      <c r="AF6" s="11" t="str">
        <f>IFERROR(VLOOKUP($A6&amp;AF$3,'Mark Leave'!$A:$E,5,0),"")</f>
        <v/>
      </c>
      <c r="AG6" s="11" t="str">
        <f>IFERROR(VLOOKUP($A6&amp;AG$3,'Mark Leave'!$A:$E,5,0),"")</f>
        <v/>
      </c>
      <c r="AH6" s="12">
        <f t="shared" ref="AH6:AM25" si="6">COUNTIF($B6:$AF6,AH$4)</f>
        <v>0</v>
      </c>
      <c r="AI6" s="12">
        <f t="shared" si="3"/>
        <v>0</v>
      </c>
      <c r="AJ6" s="12">
        <f t="shared" si="3"/>
        <v>0</v>
      </c>
      <c r="AK6" s="12">
        <f t="shared" si="3"/>
        <v>0</v>
      </c>
      <c r="AL6" s="12">
        <f t="shared" si="3"/>
        <v>0</v>
      </c>
      <c r="AM6" s="12">
        <f t="shared" si="3"/>
        <v>0</v>
      </c>
      <c r="AN6" s="12">
        <f t="shared" si="4"/>
        <v>0</v>
      </c>
      <c r="AO6" s="12">
        <f t="shared" si="4"/>
        <v>0</v>
      </c>
      <c r="AP6" s="12">
        <f t="shared" si="4"/>
        <v>0</v>
      </c>
      <c r="AQ6" s="12">
        <f t="shared" si="5"/>
        <v>0</v>
      </c>
      <c r="AR6" s="12">
        <f t="shared" si="5"/>
        <v>0</v>
      </c>
      <c r="AS6" s="12">
        <f t="shared" ref="AS6:AS55" si="7">COUNTIF($C6:$AG6,AS$4)</f>
        <v>0</v>
      </c>
      <c r="AT6" s="13">
        <f>SUM(AH6:AN6)</f>
        <v>0</v>
      </c>
    </row>
    <row r="7" spans="1:46" ht="15.6" thickTop="1" thickBot="1">
      <c r="A7" s="34">
        <v>201818002</v>
      </c>
      <c r="B7" s="34" t="s">
        <v>83</v>
      </c>
      <c r="C7" s="11" t="str">
        <f>IFERROR(VLOOKUP($A7&amp;C$3,'Mark Leave'!$A:$E,5,0),"")</f>
        <v/>
      </c>
      <c r="D7" s="11" t="str">
        <f>IFERROR(VLOOKUP($A7&amp;D$3,'Mark Leave'!$A:$E,5,0),"")</f>
        <v/>
      </c>
      <c r="E7" s="11" t="str">
        <f>IFERROR(VLOOKUP($A7&amp;E$3,'Mark Leave'!$A:$E,5,0),"")</f>
        <v/>
      </c>
      <c r="F7" s="11" t="str">
        <f>IFERROR(VLOOKUP($A7&amp;F$3,'Mark Leave'!$A:$E,5,0),"")</f>
        <v/>
      </c>
      <c r="G7" s="11" t="str">
        <f>IFERROR(VLOOKUP($A7&amp;G$3,'Mark Leave'!$A:$E,5,0),"")</f>
        <v/>
      </c>
      <c r="H7" s="11" t="str">
        <f>IFERROR(VLOOKUP($A7&amp;H$3,'Mark Leave'!$A:$E,5,0),"")</f>
        <v/>
      </c>
      <c r="I7" s="11" t="str">
        <f>IFERROR(VLOOKUP($A7&amp;I$3,'Mark Leave'!$A:$E,5,0),"")</f>
        <v/>
      </c>
      <c r="J7" s="11" t="str">
        <f>IFERROR(VLOOKUP($A7&amp;J$3,'Mark Leave'!$A:$E,5,0),"")</f>
        <v/>
      </c>
      <c r="K7" s="11" t="str">
        <f>IFERROR(VLOOKUP($A7&amp;K$3,'Mark Leave'!$A:$E,5,0),"")</f>
        <v/>
      </c>
      <c r="L7" s="11" t="str">
        <f>IFERROR(VLOOKUP($A7&amp;L$3,'Mark Leave'!$A:$E,5,0),"")</f>
        <v/>
      </c>
      <c r="M7" s="11" t="str">
        <f>IFERROR(VLOOKUP($A7&amp;M$3,'Mark Leave'!$A:$E,5,0),"")</f>
        <v/>
      </c>
      <c r="N7" s="11" t="str">
        <f>IFERROR(VLOOKUP($A7&amp;N$3,'Mark Leave'!$A:$E,5,0),"")</f>
        <v/>
      </c>
      <c r="O7" s="11" t="str">
        <f>IFERROR(VLOOKUP($A7&amp;O$3,'Mark Leave'!$A:$E,5,0),"")</f>
        <v/>
      </c>
      <c r="P7" s="11" t="str">
        <f>IFERROR(VLOOKUP($A7&amp;P$3,'Mark Leave'!$A:$E,5,0),"")</f>
        <v/>
      </c>
      <c r="Q7" s="11" t="str">
        <f>IFERROR(VLOOKUP($A7&amp;Q$3,'Mark Leave'!$A:$E,5,0),"")</f>
        <v/>
      </c>
      <c r="R7" s="11" t="str">
        <f>IFERROR(VLOOKUP($A7&amp;R$3,'Mark Leave'!$A:$E,5,0),"")</f>
        <v/>
      </c>
      <c r="S7" s="11" t="str">
        <f>IFERROR(VLOOKUP($A7&amp;S$3,'Mark Leave'!$A:$E,5,0),"")</f>
        <v/>
      </c>
      <c r="T7" s="11" t="str">
        <f>IFERROR(VLOOKUP($A7&amp;T$3,'Mark Leave'!$A:$E,5,0),"")</f>
        <v/>
      </c>
      <c r="U7" s="11" t="str">
        <f>IFERROR(VLOOKUP($A7&amp;U$3,'Mark Leave'!$A:$E,5,0),"")</f>
        <v/>
      </c>
      <c r="V7" s="11" t="str">
        <f>IFERROR(VLOOKUP($A7&amp;V$3,'Mark Leave'!$A:$E,5,0),"")</f>
        <v/>
      </c>
      <c r="W7" s="11" t="str">
        <f>IFERROR(VLOOKUP($A7&amp;W$3,'Mark Leave'!$A:$E,5,0),"")</f>
        <v/>
      </c>
      <c r="X7" s="11" t="str">
        <f>IFERROR(VLOOKUP($A7&amp;X$3,'Mark Leave'!$A:$E,5,0),"")</f>
        <v/>
      </c>
      <c r="Y7" s="11" t="str">
        <f>IFERROR(VLOOKUP($A7&amp;Y$3,'Mark Leave'!$A:$E,5,0),"")</f>
        <v/>
      </c>
      <c r="Z7" s="11" t="str">
        <f>IFERROR(VLOOKUP($A7&amp;Z$3,'Mark Leave'!$A:$E,5,0),"")</f>
        <v/>
      </c>
      <c r="AA7" s="11" t="str">
        <f>IFERROR(VLOOKUP($A7&amp;AA$3,'Mark Leave'!$A:$E,5,0),"")</f>
        <v/>
      </c>
      <c r="AB7" s="11" t="str">
        <f>IFERROR(VLOOKUP($A7&amp;AB$3,'Mark Leave'!$A:$E,5,0),"")</f>
        <v/>
      </c>
      <c r="AC7" s="11" t="str">
        <f>IFERROR(VLOOKUP($A7&amp;AC$3,'Mark Leave'!$A:$E,5,0),"")</f>
        <v/>
      </c>
      <c r="AD7" s="11" t="str">
        <f>IFERROR(VLOOKUP($A7&amp;AD$3,'Mark Leave'!$A:$E,5,0),"")</f>
        <v/>
      </c>
      <c r="AE7" s="11" t="str">
        <f>IFERROR(VLOOKUP($A7&amp;AE$3,'Mark Leave'!$A:$E,5,0),"")</f>
        <v/>
      </c>
      <c r="AF7" s="11" t="str">
        <f>IFERROR(VLOOKUP($A7&amp;AF$3,'Mark Leave'!$A:$E,5,0),"")</f>
        <v/>
      </c>
      <c r="AG7" s="11" t="str">
        <f>IFERROR(VLOOKUP($A7&amp;AG$3,'Mark Leave'!$A:$E,5,0),"")</f>
        <v/>
      </c>
      <c r="AH7" s="12">
        <f t="shared" si="6"/>
        <v>0</v>
      </c>
      <c r="AI7" s="12">
        <f>COUNTIF($C7:$AG7,AI$4)</f>
        <v>0</v>
      </c>
      <c r="AJ7" s="12">
        <f t="shared" si="3"/>
        <v>0</v>
      </c>
      <c r="AK7" s="12">
        <f t="shared" si="3"/>
        <v>0</v>
      </c>
      <c r="AL7" s="12">
        <f t="shared" si="3"/>
        <v>0</v>
      </c>
      <c r="AM7" s="12">
        <f t="shared" si="3"/>
        <v>0</v>
      </c>
      <c r="AN7" s="12">
        <f t="shared" si="4"/>
        <v>0</v>
      </c>
      <c r="AO7" s="12">
        <f t="shared" si="4"/>
        <v>0</v>
      </c>
      <c r="AP7" s="12">
        <f t="shared" si="4"/>
        <v>0</v>
      </c>
      <c r="AQ7" s="12">
        <f t="shared" si="5"/>
        <v>0</v>
      </c>
      <c r="AR7" s="12">
        <f t="shared" si="5"/>
        <v>0</v>
      </c>
      <c r="AS7" s="12">
        <f t="shared" si="7"/>
        <v>0</v>
      </c>
      <c r="AT7" s="13">
        <f>SUM(AH7:AN7)</f>
        <v>0</v>
      </c>
    </row>
    <row r="8" spans="1:46" ht="15.6" thickTop="1" thickBot="1">
      <c r="A8" s="34">
        <v>201918003</v>
      </c>
      <c r="B8" s="34" t="s">
        <v>20</v>
      </c>
      <c r="C8" s="11" t="str">
        <f>IFERROR(VLOOKUP($A8&amp;C$3,'Mark Leave'!$A:$E,5,0),"")</f>
        <v/>
      </c>
      <c r="D8" s="11" t="str">
        <f>IFERROR(VLOOKUP($A8&amp;D$3,'Mark Leave'!$A:$E,5,0),"")</f>
        <v/>
      </c>
      <c r="E8" s="11" t="str">
        <f>IFERROR(VLOOKUP($A8&amp;E$3,'Mark Leave'!$A:$E,5,0),"")</f>
        <v/>
      </c>
      <c r="F8" s="11" t="str">
        <f>IFERROR(VLOOKUP($A8&amp;F$3,'Mark Leave'!$A:$E,5,0),"")</f>
        <v/>
      </c>
      <c r="G8" s="11" t="str">
        <f>IFERROR(VLOOKUP($A8&amp;G$3,'Mark Leave'!$A:$E,5,0),"")</f>
        <v/>
      </c>
      <c r="H8" s="11" t="str">
        <f>IFERROR(VLOOKUP($A8&amp;H$3,'Mark Leave'!$A:$E,5,0),"")</f>
        <v/>
      </c>
      <c r="I8" s="11" t="str">
        <f>IFERROR(VLOOKUP($A8&amp;I$3,'Mark Leave'!$A:$E,5,0),"")</f>
        <v/>
      </c>
      <c r="J8" s="11" t="str">
        <f>IFERROR(VLOOKUP($A8&amp;J$3,'Mark Leave'!$A:$E,5,0),"")</f>
        <v/>
      </c>
      <c r="K8" s="11" t="str">
        <f>IFERROR(VLOOKUP($A8&amp;K$3,'Mark Leave'!$A:$E,5,0),"")</f>
        <v/>
      </c>
      <c r="L8" s="11" t="str">
        <f>IFERROR(VLOOKUP($A8&amp;L$3,'Mark Leave'!$A:$E,5,0),"")</f>
        <v/>
      </c>
      <c r="M8" s="11" t="str">
        <f>IFERROR(VLOOKUP($A8&amp;M$3,'Mark Leave'!$A:$E,5,0),"")</f>
        <v/>
      </c>
      <c r="N8" s="11" t="str">
        <f>IFERROR(VLOOKUP($A8&amp;N$3,'Mark Leave'!$A:$E,5,0),"")</f>
        <v/>
      </c>
      <c r="O8" s="11" t="str">
        <f>IFERROR(VLOOKUP($A8&amp;O$3,'Mark Leave'!$A:$E,5,0),"")</f>
        <v/>
      </c>
      <c r="P8" s="11" t="str">
        <f>IFERROR(VLOOKUP($A8&amp;P$3,'Mark Leave'!$A:$E,5,0),"")</f>
        <v/>
      </c>
      <c r="Q8" s="11" t="str">
        <f>IFERROR(VLOOKUP($A8&amp;Q$3,'Mark Leave'!$A:$E,5,0),"")</f>
        <v/>
      </c>
      <c r="R8" s="11" t="str">
        <f>IFERROR(VLOOKUP($A8&amp;R$3,'Mark Leave'!$A:$E,5,0),"")</f>
        <v/>
      </c>
      <c r="S8" s="11" t="str">
        <f>IFERROR(VLOOKUP($A8&amp;S$3,'Mark Leave'!$A:$E,5,0),"")</f>
        <v/>
      </c>
      <c r="T8" s="11" t="str">
        <f>IFERROR(VLOOKUP($A8&amp;T$3,'Mark Leave'!$A:$E,5,0),"")</f>
        <v/>
      </c>
      <c r="U8" s="11" t="str">
        <f>IFERROR(VLOOKUP($A8&amp;U$3,'Mark Leave'!$A:$E,5,0),"")</f>
        <v/>
      </c>
      <c r="V8" s="11" t="str">
        <f>IFERROR(VLOOKUP($A8&amp;V$3,'Mark Leave'!$A:$E,5,0),"")</f>
        <v/>
      </c>
      <c r="W8" s="11" t="str">
        <f>IFERROR(VLOOKUP($A8&amp;W$3,'Mark Leave'!$A:$E,5,0),"")</f>
        <v/>
      </c>
      <c r="X8" s="11" t="str">
        <f>IFERROR(VLOOKUP($A8&amp;X$3,'Mark Leave'!$A:$E,5,0),"")</f>
        <v/>
      </c>
      <c r="Y8" s="11" t="str">
        <f>IFERROR(VLOOKUP($A8&amp;Y$3,'Mark Leave'!$A:$E,5,0),"")</f>
        <v/>
      </c>
      <c r="Z8" s="11" t="str">
        <f>IFERROR(VLOOKUP($A8&amp;Z$3,'Mark Leave'!$A:$E,5,0),"")</f>
        <v/>
      </c>
      <c r="AA8" s="11" t="str">
        <f>IFERROR(VLOOKUP($A8&amp;AA$3,'Mark Leave'!$A:$E,5,0),"")</f>
        <v/>
      </c>
      <c r="AB8" s="11" t="str">
        <f>IFERROR(VLOOKUP($A8&amp;AB$3,'Mark Leave'!$A:$E,5,0),"")</f>
        <v/>
      </c>
      <c r="AC8" s="11" t="str">
        <f>IFERROR(VLOOKUP($A8&amp;AC$3,'Mark Leave'!$A:$E,5,0),"")</f>
        <v/>
      </c>
      <c r="AD8" s="11" t="str">
        <f>IFERROR(VLOOKUP($A8&amp;AD$3,'Mark Leave'!$A:$E,5,0),"")</f>
        <v/>
      </c>
      <c r="AE8" s="11" t="str">
        <f>IFERROR(VLOOKUP($A8&amp;AE$3,'Mark Leave'!$A:$E,5,0),"")</f>
        <v/>
      </c>
      <c r="AF8" s="11" t="str">
        <f>IFERROR(VLOOKUP($A8&amp;AF$3,'Mark Leave'!$A:$E,5,0),"")</f>
        <v/>
      </c>
      <c r="AG8" s="11" t="str">
        <f>IFERROR(VLOOKUP($A8&amp;AG$3,'Mark Leave'!$A:$E,5,0),"")</f>
        <v/>
      </c>
      <c r="AH8" s="12">
        <f t="shared" si="6"/>
        <v>0</v>
      </c>
      <c r="AI8" s="12">
        <f t="shared" si="3"/>
        <v>0</v>
      </c>
      <c r="AJ8" s="12">
        <f t="shared" si="3"/>
        <v>0</v>
      </c>
      <c r="AK8" s="12">
        <f t="shared" si="3"/>
        <v>0</v>
      </c>
      <c r="AL8" s="12">
        <f t="shared" si="3"/>
        <v>0</v>
      </c>
      <c r="AM8" s="12">
        <f t="shared" si="3"/>
        <v>0</v>
      </c>
      <c r="AN8" s="12">
        <f t="shared" si="4"/>
        <v>0</v>
      </c>
      <c r="AO8" s="12">
        <f t="shared" si="4"/>
        <v>0</v>
      </c>
      <c r="AP8" s="12">
        <f t="shared" si="4"/>
        <v>0</v>
      </c>
      <c r="AQ8" s="12">
        <f t="shared" si="5"/>
        <v>0</v>
      </c>
      <c r="AR8" s="12">
        <f t="shared" si="5"/>
        <v>0</v>
      </c>
      <c r="AS8" s="12">
        <f t="shared" si="7"/>
        <v>0</v>
      </c>
      <c r="AT8" s="13">
        <f t="shared" ref="AT8:AT11" si="8">SUM(AH8:AN8)</f>
        <v>0</v>
      </c>
    </row>
    <row r="9" spans="1:46" ht="15.6" thickTop="1" thickBot="1">
      <c r="A9" s="34">
        <v>201918004</v>
      </c>
      <c r="B9" s="34" t="s">
        <v>21</v>
      </c>
      <c r="C9" s="11" t="str">
        <f>IFERROR(VLOOKUP($A9&amp;C$3,'Mark Leave'!$A:$E,5,0),"")</f>
        <v/>
      </c>
      <c r="D9" s="11" t="str">
        <f>IFERROR(VLOOKUP($A9&amp;D$3,'Mark Leave'!$A:$E,5,0),"")</f>
        <v/>
      </c>
      <c r="E9" s="11" t="str">
        <f>IFERROR(VLOOKUP($A9&amp;E$3,'Mark Leave'!$A:$E,5,0),"")</f>
        <v/>
      </c>
      <c r="F9" s="11" t="str">
        <f>IFERROR(VLOOKUP($A9&amp;F$3,'Mark Leave'!$A:$E,5,0),"")</f>
        <v/>
      </c>
      <c r="G9" s="11" t="str">
        <f>IFERROR(VLOOKUP($A9&amp;G$3,'Mark Leave'!$A:$E,5,0),"")</f>
        <v/>
      </c>
      <c r="H9" s="11" t="str">
        <f>IFERROR(VLOOKUP($A9&amp;H$3,'Mark Leave'!$A:$E,5,0),"")</f>
        <v/>
      </c>
      <c r="I9" s="11" t="str">
        <f>IFERROR(VLOOKUP($A9&amp;I$3,'Mark Leave'!$A:$E,5,0),"")</f>
        <v/>
      </c>
      <c r="J9" s="11" t="str">
        <f>IFERROR(VLOOKUP($A9&amp;J$3,'Mark Leave'!$A:$E,5,0),"")</f>
        <v/>
      </c>
      <c r="K9" s="11" t="str">
        <f>IFERROR(VLOOKUP($A9&amp;K$3,'Mark Leave'!$A:$E,5,0),"")</f>
        <v/>
      </c>
      <c r="L9" s="11" t="str">
        <f>IFERROR(VLOOKUP($A9&amp;L$3,'Mark Leave'!$A:$E,5,0),"")</f>
        <v/>
      </c>
      <c r="M9" s="11" t="str">
        <f>IFERROR(VLOOKUP($A9&amp;M$3,'Mark Leave'!$A:$E,5,0),"")</f>
        <v/>
      </c>
      <c r="N9" s="11" t="str">
        <f>IFERROR(VLOOKUP($A9&amp;N$3,'Mark Leave'!$A:$E,5,0),"")</f>
        <v/>
      </c>
      <c r="O9" s="11" t="str">
        <f>IFERROR(VLOOKUP($A9&amp;O$3,'Mark Leave'!$A:$E,5,0),"")</f>
        <v/>
      </c>
      <c r="P9" s="11" t="str">
        <f>IFERROR(VLOOKUP($A9&amp;P$3,'Mark Leave'!$A:$E,5,0),"")</f>
        <v/>
      </c>
      <c r="Q9" s="11" t="str">
        <f>IFERROR(VLOOKUP($A9&amp;Q$3,'Mark Leave'!$A:$E,5,0),"")</f>
        <v/>
      </c>
      <c r="R9" s="11" t="str">
        <f>IFERROR(VLOOKUP($A9&amp;R$3,'Mark Leave'!$A:$E,5,0),"")</f>
        <v/>
      </c>
      <c r="S9" s="11" t="str">
        <f>IFERROR(VLOOKUP($A9&amp;S$3,'Mark Leave'!$A:$E,5,0),"")</f>
        <v/>
      </c>
      <c r="T9" s="11" t="str">
        <f>IFERROR(VLOOKUP($A9&amp;T$3,'Mark Leave'!$A:$E,5,0),"")</f>
        <v/>
      </c>
      <c r="U9" s="11" t="str">
        <f>IFERROR(VLOOKUP($A9&amp;U$3,'Mark Leave'!$A:$E,5,0),"")</f>
        <v/>
      </c>
      <c r="V9" s="11" t="str">
        <f>IFERROR(VLOOKUP($A9&amp;V$3,'Mark Leave'!$A:$E,5,0),"")</f>
        <v/>
      </c>
      <c r="W9" s="11" t="str">
        <f>IFERROR(VLOOKUP($A9&amp;W$3,'Mark Leave'!$A:$E,5,0),"")</f>
        <v/>
      </c>
      <c r="X9" s="11" t="str">
        <f>IFERROR(VLOOKUP($A9&amp;X$3,'Mark Leave'!$A:$E,5,0),"")</f>
        <v/>
      </c>
      <c r="Y9" s="11" t="str">
        <f>IFERROR(VLOOKUP($A9&amp;Y$3,'Mark Leave'!$A:$E,5,0),"")</f>
        <v/>
      </c>
      <c r="Z9" s="11" t="str">
        <f>IFERROR(VLOOKUP($A9&amp;Z$3,'Mark Leave'!$A:$E,5,0),"")</f>
        <v/>
      </c>
      <c r="AA9" s="11" t="str">
        <f>IFERROR(VLOOKUP($A9&amp;AA$3,'Mark Leave'!$A:$E,5,0),"")</f>
        <v/>
      </c>
      <c r="AB9" s="11" t="str">
        <f>IFERROR(VLOOKUP($A9&amp;AB$3,'Mark Leave'!$A:$E,5,0),"")</f>
        <v/>
      </c>
      <c r="AC9" s="11" t="str">
        <f>IFERROR(VLOOKUP($A9&amp;AC$3,'Mark Leave'!$A:$E,5,0),"")</f>
        <v/>
      </c>
      <c r="AD9" s="11" t="str">
        <f>IFERROR(VLOOKUP($A9&amp;AD$3,'Mark Leave'!$A:$E,5,0),"")</f>
        <v/>
      </c>
      <c r="AE9" s="11" t="str">
        <f>IFERROR(VLOOKUP($A9&amp;AE$3,'Mark Leave'!$A:$E,5,0),"")</f>
        <v/>
      </c>
      <c r="AF9" s="11" t="str">
        <f>IFERROR(VLOOKUP($A9&amp;AF$3,'Mark Leave'!$A:$E,5,0),"")</f>
        <v/>
      </c>
      <c r="AG9" s="11" t="str">
        <f>IFERROR(VLOOKUP($A9&amp;AG$3,'Mark Leave'!$A:$E,5,0),"")</f>
        <v/>
      </c>
      <c r="AH9" s="12">
        <f t="shared" si="6"/>
        <v>0</v>
      </c>
      <c r="AI9" s="12">
        <f t="shared" si="3"/>
        <v>0</v>
      </c>
      <c r="AJ9" s="12">
        <f t="shared" si="3"/>
        <v>0</v>
      </c>
      <c r="AK9" s="12">
        <f t="shared" si="3"/>
        <v>0</v>
      </c>
      <c r="AL9" s="12">
        <f t="shared" si="3"/>
        <v>0</v>
      </c>
      <c r="AM9" s="12">
        <f t="shared" si="3"/>
        <v>0</v>
      </c>
      <c r="AN9" s="12">
        <f t="shared" si="4"/>
        <v>0</v>
      </c>
      <c r="AO9" s="12">
        <f t="shared" si="4"/>
        <v>0</v>
      </c>
      <c r="AP9" s="12">
        <f t="shared" si="4"/>
        <v>0</v>
      </c>
      <c r="AQ9" s="12">
        <f t="shared" si="5"/>
        <v>0</v>
      </c>
      <c r="AR9" s="12">
        <f t="shared" si="5"/>
        <v>0</v>
      </c>
      <c r="AS9" s="12">
        <f t="shared" si="7"/>
        <v>0</v>
      </c>
      <c r="AT9" s="13">
        <f t="shared" si="8"/>
        <v>0</v>
      </c>
    </row>
    <row r="10" spans="1:46" ht="15.6" thickTop="1" thickBot="1">
      <c r="A10" s="34">
        <v>201918005</v>
      </c>
      <c r="B10" s="34" t="s">
        <v>22</v>
      </c>
      <c r="C10" s="11" t="str">
        <f>IFERROR(VLOOKUP($A10&amp;C$3,'Mark Leave'!$A:$E,5,0),"")</f>
        <v/>
      </c>
      <c r="D10" s="11" t="str">
        <f>IFERROR(VLOOKUP($A10&amp;D$3,'Mark Leave'!$A:$E,5,0),"")</f>
        <v/>
      </c>
      <c r="E10" s="11" t="str">
        <f>IFERROR(VLOOKUP($A10&amp;E$3,'Mark Leave'!$A:$E,5,0),"")</f>
        <v/>
      </c>
      <c r="F10" s="11" t="str">
        <f>IFERROR(VLOOKUP($A10&amp;F$3,'Mark Leave'!$A:$E,5,0),"")</f>
        <v/>
      </c>
      <c r="G10" s="11" t="str">
        <f>IFERROR(VLOOKUP($A10&amp;G$3,'Mark Leave'!$A:$E,5,0),"")</f>
        <v/>
      </c>
      <c r="H10" s="11" t="str">
        <f>IFERROR(VLOOKUP($A10&amp;H$3,'Mark Leave'!$A:$E,5,0),"")</f>
        <v/>
      </c>
      <c r="I10" s="11" t="str">
        <f>IFERROR(VLOOKUP($A10&amp;I$3,'Mark Leave'!$A:$E,5,0),"")</f>
        <v/>
      </c>
      <c r="J10" s="11" t="str">
        <f>IFERROR(VLOOKUP($A10&amp;J$3,'Mark Leave'!$A:$E,5,0),"")</f>
        <v/>
      </c>
      <c r="K10" s="11" t="str">
        <f>IFERROR(VLOOKUP($A10&amp;K$3,'Mark Leave'!$A:$E,5,0),"")</f>
        <v/>
      </c>
      <c r="L10" s="11" t="str">
        <f>IFERROR(VLOOKUP($A10&amp;L$3,'Mark Leave'!$A:$E,5,0),"")</f>
        <v/>
      </c>
      <c r="M10" s="11" t="str">
        <f>IFERROR(VLOOKUP($A10&amp;M$3,'Mark Leave'!$A:$E,5,0),"")</f>
        <v/>
      </c>
      <c r="N10" s="11" t="str">
        <f>IFERROR(VLOOKUP($A10&amp;N$3,'Mark Leave'!$A:$E,5,0),"")</f>
        <v/>
      </c>
      <c r="O10" s="11" t="str">
        <f>IFERROR(VLOOKUP($A10&amp;O$3,'Mark Leave'!$A:$E,5,0),"")</f>
        <v/>
      </c>
      <c r="P10" s="11" t="str">
        <f>IFERROR(VLOOKUP($A10&amp;P$3,'Mark Leave'!$A:$E,5,0),"")</f>
        <v/>
      </c>
      <c r="Q10" s="11" t="str">
        <f>IFERROR(VLOOKUP($A10&amp;Q$3,'Mark Leave'!$A:$E,5,0),"")</f>
        <v/>
      </c>
      <c r="R10" s="11" t="str">
        <f>IFERROR(VLOOKUP($A10&amp;R$3,'Mark Leave'!$A:$E,5,0),"")</f>
        <v/>
      </c>
      <c r="S10" s="11" t="str">
        <f>IFERROR(VLOOKUP($A10&amp;S$3,'Mark Leave'!$A:$E,5,0),"")</f>
        <v/>
      </c>
      <c r="T10" s="11" t="str">
        <f>IFERROR(VLOOKUP($A10&amp;T$3,'Mark Leave'!$A:$E,5,0),"")</f>
        <v/>
      </c>
      <c r="U10" s="11" t="str">
        <f>IFERROR(VLOOKUP($A10&amp;U$3,'Mark Leave'!$A:$E,5,0),"")</f>
        <v/>
      </c>
      <c r="V10" s="11" t="str">
        <f>IFERROR(VLOOKUP($A10&amp;V$3,'Mark Leave'!$A:$E,5,0),"")</f>
        <v/>
      </c>
      <c r="W10" s="11" t="str">
        <f>IFERROR(VLOOKUP($A10&amp;W$3,'Mark Leave'!$A:$E,5,0),"")</f>
        <v/>
      </c>
      <c r="X10" s="11" t="str">
        <f>IFERROR(VLOOKUP($A10&amp;X$3,'Mark Leave'!$A:$E,5,0),"")</f>
        <v/>
      </c>
      <c r="Y10" s="11" t="str">
        <f>IFERROR(VLOOKUP($A10&amp;Y$3,'Mark Leave'!$A:$E,5,0),"")</f>
        <v/>
      </c>
      <c r="Z10" s="11" t="str">
        <f>IFERROR(VLOOKUP($A10&amp;Z$3,'Mark Leave'!$A:$E,5,0),"")</f>
        <v/>
      </c>
      <c r="AA10" s="11" t="str">
        <f>IFERROR(VLOOKUP($A10&amp;AA$3,'Mark Leave'!$A:$E,5,0),"")</f>
        <v/>
      </c>
      <c r="AB10" s="11" t="str">
        <f>IFERROR(VLOOKUP($A10&amp;AB$3,'Mark Leave'!$A:$E,5,0),"")</f>
        <v/>
      </c>
      <c r="AC10" s="11" t="str">
        <f>IFERROR(VLOOKUP($A10&amp;AC$3,'Mark Leave'!$A:$E,5,0),"")</f>
        <v/>
      </c>
      <c r="AD10" s="11" t="str">
        <f>IFERROR(VLOOKUP($A10&amp;AD$3,'Mark Leave'!$A:$E,5,0),"")</f>
        <v/>
      </c>
      <c r="AE10" s="11" t="str">
        <f>IFERROR(VLOOKUP($A10&amp;AE$3,'Mark Leave'!$A:$E,5,0),"")</f>
        <v/>
      </c>
      <c r="AF10" s="11" t="str">
        <f>IFERROR(VLOOKUP($A10&amp;AF$3,'Mark Leave'!$A:$E,5,0),"")</f>
        <v/>
      </c>
      <c r="AG10" s="11" t="str">
        <f>IFERROR(VLOOKUP($A10&amp;AG$3,'Mark Leave'!$A:$E,5,0),"")</f>
        <v/>
      </c>
      <c r="AH10" s="12">
        <f t="shared" si="6"/>
        <v>0</v>
      </c>
      <c r="AI10" s="12">
        <f t="shared" si="3"/>
        <v>0</v>
      </c>
      <c r="AJ10" s="12">
        <f t="shared" si="3"/>
        <v>0</v>
      </c>
      <c r="AK10" s="12">
        <f t="shared" si="3"/>
        <v>0</v>
      </c>
      <c r="AL10" s="12">
        <f t="shared" si="3"/>
        <v>0</v>
      </c>
      <c r="AM10" s="12">
        <f t="shared" si="3"/>
        <v>0</v>
      </c>
      <c r="AN10" s="12">
        <f t="shared" si="4"/>
        <v>0</v>
      </c>
      <c r="AO10" s="12">
        <f t="shared" si="4"/>
        <v>0</v>
      </c>
      <c r="AP10" s="12">
        <f t="shared" si="4"/>
        <v>0</v>
      </c>
      <c r="AQ10" s="12">
        <f t="shared" si="5"/>
        <v>0</v>
      </c>
      <c r="AR10" s="12">
        <f t="shared" si="5"/>
        <v>0</v>
      </c>
      <c r="AS10" s="12">
        <f t="shared" si="7"/>
        <v>0</v>
      </c>
      <c r="AT10" s="13">
        <f t="shared" si="8"/>
        <v>0</v>
      </c>
    </row>
    <row r="11" spans="1:46" ht="15.6" thickTop="1" thickBot="1">
      <c r="A11" s="34">
        <v>202018006</v>
      </c>
      <c r="B11" s="34" t="s">
        <v>23</v>
      </c>
      <c r="C11" s="11" t="str">
        <f>IFERROR(VLOOKUP($A11&amp;C$3,'Mark Leave'!$A:$E,5,0),"")</f>
        <v/>
      </c>
      <c r="D11" s="11" t="str">
        <f>IFERROR(VLOOKUP($A11&amp;D$3,'Mark Leave'!$A:$E,5,0),"")</f>
        <v/>
      </c>
      <c r="E11" s="11" t="str">
        <f>IFERROR(VLOOKUP($A11&amp;E$3,'Mark Leave'!$A:$E,5,0),"")</f>
        <v/>
      </c>
      <c r="F11" s="11" t="str">
        <f>IFERROR(VLOOKUP($A11&amp;F$3,'Mark Leave'!$A:$E,5,0),"")</f>
        <v/>
      </c>
      <c r="G11" s="11" t="str">
        <f>IFERROR(VLOOKUP($A11&amp;G$3,'Mark Leave'!$A:$E,5,0),"")</f>
        <v/>
      </c>
      <c r="H11" s="11" t="str">
        <f>IFERROR(VLOOKUP($A11&amp;H$3,'Mark Leave'!$A:$E,5,0),"")</f>
        <v/>
      </c>
      <c r="I11" s="11" t="str">
        <f>IFERROR(VLOOKUP($A11&amp;I$3,'Mark Leave'!$A:$E,5,0),"")</f>
        <v/>
      </c>
      <c r="J11" s="11" t="str">
        <f>IFERROR(VLOOKUP($A11&amp;J$3,'Mark Leave'!$A:$E,5,0),"")</f>
        <v/>
      </c>
      <c r="K11" s="11" t="str">
        <f>IFERROR(VLOOKUP($A11&amp;K$3,'Mark Leave'!$A:$E,5,0),"")</f>
        <v/>
      </c>
      <c r="L11" s="11" t="str">
        <f>IFERROR(VLOOKUP($A11&amp;L$3,'Mark Leave'!$A:$E,5,0),"")</f>
        <v/>
      </c>
      <c r="M11" s="11" t="str">
        <f>IFERROR(VLOOKUP($A11&amp;M$3,'Mark Leave'!$A:$E,5,0),"")</f>
        <v/>
      </c>
      <c r="N11" s="11" t="str">
        <f>IFERROR(VLOOKUP($A11&amp;N$3,'Mark Leave'!$A:$E,5,0),"")</f>
        <v/>
      </c>
      <c r="O11" s="11" t="str">
        <f>IFERROR(VLOOKUP($A11&amp;O$3,'Mark Leave'!$A:$E,5,0),"")</f>
        <v/>
      </c>
      <c r="P11" s="11" t="str">
        <f>IFERROR(VLOOKUP($A11&amp;P$3,'Mark Leave'!$A:$E,5,0),"")</f>
        <v/>
      </c>
      <c r="Q11" s="11" t="str">
        <f>IFERROR(VLOOKUP($A11&amp;Q$3,'Mark Leave'!$A:$E,5,0),"")</f>
        <v/>
      </c>
      <c r="R11" s="11" t="str">
        <f>IFERROR(VLOOKUP($A11&amp;R$3,'Mark Leave'!$A:$E,5,0),"")</f>
        <v/>
      </c>
      <c r="S11" s="11" t="str">
        <f>IFERROR(VLOOKUP($A11&amp;S$3,'Mark Leave'!$A:$E,5,0),"")</f>
        <v/>
      </c>
      <c r="T11" s="11" t="str">
        <f>IFERROR(VLOOKUP($A11&amp;T$3,'Mark Leave'!$A:$E,5,0),"")</f>
        <v/>
      </c>
      <c r="U11" s="11" t="str">
        <f>IFERROR(VLOOKUP($A11&amp;U$3,'Mark Leave'!$A:$E,5,0),"")</f>
        <v/>
      </c>
      <c r="V11" s="11" t="str">
        <f>IFERROR(VLOOKUP($A11&amp;V$3,'Mark Leave'!$A:$E,5,0),"")</f>
        <v/>
      </c>
      <c r="W11" s="11" t="str">
        <f>IFERROR(VLOOKUP($A11&amp;W$3,'Mark Leave'!$A:$E,5,0),"")</f>
        <v/>
      </c>
      <c r="X11" s="11" t="str">
        <f>IFERROR(VLOOKUP($A11&amp;X$3,'Mark Leave'!$A:$E,5,0),"")</f>
        <v/>
      </c>
      <c r="Y11" s="11" t="str">
        <f>IFERROR(VLOOKUP($A11&amp;Y$3,'Mark Leave'!$A:$E,5,0),"")</f>
        <v/>
      </c>
      <c r="Z11" s="11" t="str">
        <f>IFERROR(VLOOKUP($A11&amp;Z$3,'Mark Leave'!$A:$E,5,0),"")</f>
        <v/>
      </c>
      <c r="AA11" s="11" t="str">
        <f>IFERROR(VLOOKUP($A11&amp;AA$3,'Mark Leave'!$A:$E,5,0),"")</f>
        <v/>
      </c>
      <c r="AB11" s="11" t="str">
        <f>IFERROR(VLOOKUP($A11&amp;AB$3,'Mark Leave'!$A:$E,5,0),"")</f>
        <v/>
      </c>
      <c r="AC11" s="11" t="str">
        <f>IFERROR(VLOOKUP($A11&amp;AC$3,'Mark Leave'!$A:$E,5,0),"")</f>
        <v/>
      </c>
      <c r="AD11" s="11" t="str">
        <f>IFERROR(VLOOKUP($A11&amp;AD$3,'Mark Leave'!$A:$E,5,0),"")</f>
        <v/>
      </c>
      <c r="AE11" s="11" t="str">
        <f>IFERROR(VLOOKUP($A11&amp;AE$3,'Mark Leave'!$A:$E,5,0),"")</f>
        <v/>
      </c>
      <c r="AF11" s="11" t="str">
        <f>IFERROR(VLOOKUP($A11&amp;AF$3,'Mark Leave'!$A:$E,5,0),"")</f>
        <v/>
      </c>
      <c r="AG11" s="11" t="str">
        <f>IFERROR(VLOOKUP($A11&amp;AG$3,'Mark Leave'!$A:$E,5,0),"")</f>
        <v/>
      </c>
      <c r="AH11" s="12">
        <f t="shared" si="6"/>
        <v>0</v>
      </c>
      <c r="AI11" s="12">
        <f t="shared" si="3"/>
        <v>0</v>
      </c>
      <c r="AJ11" s="12">
        <f t="shared" si="3"/>
        <v>0</v>
      </c>
      <c r="AK11" s="12">
        <f t="shared" si="3"/>
        <v>0</v>
      </c>
      <c r="AL11" s="12">
        <f t="shared" si="3"/>
        <v>0</v>
      </c>
      <c r="AM11" s="12">
        <f t="shared" si="3"/>
        <v>0</v>
      </c>
      <c r="AN11" s="12">
        <f t="shared" si="4"/>
        <v>0</v>
      </c>
      <c r="AO11" s="12">
        <f t="shared" si="4"/>
        <v>0</v>
      </c>
      <c r="AP11" s="12">
        <f t="shared" si="4"/>
        <v>0</v>
      </c>
      <c r="AQ11" s="12">
        <f t="shared" si="5"/>
        <v>0</v>
      </c>
      <c r="AR11" s="12">
        <f t="shared" si="5"/>
        <v>0</v>
      </c>
      <c r="AS11" s="12">
        <f t="shared" si="7"/>
        <v>0</v>
      </c>
      <c r="AT11" s="13">
        <f t="shared" si="8"/>
        <v>0</v>
      </c>
    </row>
    <row r="12" spans="1:46" ht="15.6" thickTop="1" thickBot="1">
      <c r="A12" s="34">
        <v>202118007</v>
      </c>
      <c r="B12" s="34" t="s">
        <v>84</v>
      </c>
      <c r="C12" s="11" t="str">
        <f>IFERROR(VLOOKUP($A12&amp;C$3,'Mark Leave'!$A:$E,5,0),"")</f>
        <v/>
      </c>
      <c r="D12" s="11" t="str">
        <f>IFERROR(VLOOKUP($A12&amp;D$3,'Mark Leave'!$A:$E,5,0),"")</f>
        <v/>
      </c>
      <c r="E12" s="11" t="str">
        <f>IFERROR(VLOOKUP($A12&amp;E$3,'Mark Leave'!$A:$E,5,0),"")</f>
        <v/>
      </c>
      <c r="F12" s="11" t="str">
        <f>IFERROR(VLOOKUP($A12&amp;F$3,'Mark Leave'!$A:$E,5,0),"")</f>
        <v/>
      </c>
      <c r="G12" s="11" t="str">
        <f>IFERROR(VLOOKUP($A12&amp;G$3,'Mark Leave'!$A:$E,5,0),"")</f>
        <v/>
      </c>
      <c r="H12" s="11" t="str">
        <f>IFERROR(VLOOKUP($A12&amp;H$3,'Mark Leave'!$A:$E,5,0),"")</f>
        <v/>
      </c>
      <c r="I12" s="11" t="str">
        <f>IFERROR(VLOOKUP($A12&amp;I$3,'Mark Leave'!$A:$E,5,0),"")</f>
        <v/>
      </c>
      <c r="J12" s="11" t="str">
        <f>IFERROR(VLOOKUP($A12&amp;J$3,'Mark Leave'!$A:$E,5,0),"")</f>
        <v/>
      </c>
      <c r="K12" s="11" t="str">
        <f>IFERROR(VLOOKUP($A12&amp;K$3,'Mark Leave'!$A:$E,5,0),"")</f>
        <v/>
      </c>
      <c r="L12" s="11" t="str">
        <f>IFERROR(VLOOKUP($A12&amp;L$3,'Mark Leave'!$A:$E,5,0),"")</f>
        <v/>
      </c>
      <c r="M12" s="11" t="str">
        <f>IFERROR(VLOOKUP($A12&amp;M$3,'Mark Leave'!$A:$E,5,0),"")</f>
        <v/>
      </c>
      <c r="N12" s="11" t="str">
        <f>IFERROR(VLOOKUP($A12&amp;N$3,'Mark Leave'!$A:$E,5,0),"")</f>
        <v/>
      </c>
      <c r="O12" s="11" t="str">
        <f>IFERROR(VLOOKUP($A12&amp;O$3,'Mark Leave'!$A:$E,5,0),"")</f>
        <v/>
      </c>
      <c r="P12" s="11" t="str">
        <f>IFERROR(VLOOKUP($A12&amp;P$3,'Mark Leave'!$A:$E,5,0),"")</f>
        <v/>
      </c>
      <c r="Q12" s="11" t="str">
        <f>IFERROR(VLOOKUP($A12&amp;Q$3,'Mark Leave'!$A:$E,5,0),"")</f>
        <v/>
      </c>
      <c r="R12" s="11" t="str">
        <f>IFERROR(VLOOKUP($A12&amp;R$3,'Mark Leave'!$A:$E,5,0),"")</f>
        <v/>
      </c>
      <c r="S12" s="11" t="str">
        <f>IFERROR(VLOOKUP($A12&amp;S$3,'Mark Leave'!$A:$E,5,0),"")</f>
        <v/>
      </c>
      <c r="T12" s="11" t="str">
        <f>IFERROR(VLOOKUP($A12&amp;T$3,'Mark Leave'!$A:$E,5,0),"")</f>
        <v/>
      </c>
      <c r="U12" s="11" t="str">
        <f>IFERROR(VLOOKUP($A12&amp;U$3,'Mark Leave'!$A:$E,5,0),"")</f>
        <v/>
      </c>
      <c r="V12" s="11" t="str">
        <f>IFERROR(VLOOKUP($A12&amp;V$3,'Mark Leave'!$A:$E,5,0),"")</f>
        <v/>
      </c>
      <c r="W12" s="11" t="str">
        <f>IFERROR(VLOOKUP($A12&amp;W$3,'Mark Leave'!$A:$E,5,0),"")</f>
        <v/>
      </c>
      <c r="X12" s="11" t="str">
        <f>IFERROR(VLOOKUP($A12&amp;X$3,'Mark Leave'!$A:$E,5,0),"")</f>
        <v/>
      </c>
      <c r="Y12" s="11" t="str">
        <f>IFERROR(VLOOKUP($A12&amp;Y$3,'Mark Leave'!$A:$E,5,0),"")</f>
        <v/>
      </c>
      <c r="Z12" s="11" t="str">
        <f>IFERROR(VLOOKUP($A12&amp;Z$3,'Mark Leave'!$A:$E,5,0),"")</f>
        <v/>
      </c>
      <c r="AA12" s="11" t="str">
        <f>IFERROR(VLOOKUP($A12&amp;AA$3,'Mark Leave'!$A:$E,5,0),"")</f>
        <v/>
      </c>
      <c r="AB12" s="11" t="str">
        <f>IFERROR(VLOOKUP($A12&amp;AB$3,'Mark Leave'!$A:$E,5,0),"")</f>
        <v/>
      </c>
      <c r="AC12" s="11" t="str">
        <f>IFERROR(VLOOKUP($A12&amp;AC$3,'Mark Leave'!$A:$E,5,0),"")</f>
        <v/>
      </c>
      <c r="AD12" s="11" t="str">
        <f>IFERROR(VLOOKUP($A12&amp;AD$3,'Mark Leave'!$A:$E,5,0),"")</f>
        <v/>
      </c>
      <c r="AE12" s="11" t="str">
        <f>IFERROR(VLOOKUP($A12&amp;AE$3,'Mark Leave'!$A:$E,5,0),"")</f>
        <v/>
      </c>
      <c r="AF12" s="11" t="str">
        <f>IFERROR(VLOOKUP($A12&amp;AF$3,'Mark Leave'!$A:$E,5,0),"")</f>
        <v/>
      </c>
      <c r="AG12" s="11" t="str">
        <f>IFERROR(VLOOKUP($A12&amp;AG$3,'Mark Leave'!$A:$E,5,0),"")</f>
        <v/>
      </c>
      <c r="AH12" s="12">
        <f t="shared" si="6"/>
        <v>0</v>
      </c>
      <c r="AI12" s="12">
        <f t="shared" si="3"/>
        <v>0</v>
      </c>
      <c r="AJ12" s="12">
        <f t="shared" si="3"/>
        <v>0</v>
      </c>
      <c r="AK12" s="12">
        <f t="shared" si="3"/>
        <v>0</v>
      </c>
      <c r="AL12" s="12">
        <f t="shared" si="3"/>
        <v>0</v>
      </c>
      <c r="AM12" s="12">
        <f t="shared" si="3"/>
        <v>0</v>
      </c>
      <c r="AN12" s="12">
        <f t="shared" si="4"/>
        <v>0</v>
      </c>
      <c r="AO12" s="12">
        <f t="shared" si="4"/>
        <v>0</v>
      </c>
      <c r="AP12" s="12">
        <f t="shared" si="4"/>
        <v>0</v>
      </c>
      <c r="AQ12" s="12">
        <f t="shared" si="5"/>
        <v>0</v>
      </c>
      <c r="AR12" s="12">
        <f t="shared" si="5"/>
        <v>0</v>
      </c>
      <c r="AS12" s="12">
        <f t="shared" si="7"/>
        <v>0</v>
      </c>
      <c r="AT12" s="13">
        <f t="shared" ref="AT12:AT24" si="9">SUM(AH12:AN12)</f>
        <v>0</v>
      </c>
    </row>
    <row r="13" spans="1:46" ht="15.6" thickTop="1" thickBot="1">
      <c r="A13" s="34">
        <v>202118008</v>
      </c>
      <c r="B13" s="34" t="s">
        <v>25</v>
      </c>
      <c r="C13" s="11" t="str">
        <f>IFERROR(VLOOKUP($A13&amp;C$3,'Mark Leave'!$A:$E,5,0),"")</f>
        <v/>
      </c>
      <c r="D13" s="11" t="str">
        <f>IFERROR(VLOOKUP($A13&amp;D$3,'Mark Leave'!$A:$E,5,0),"")</f>
        <v/>
      </c>
      <c r="E13" s="11" t="str">
        <f>IFERROR(VLOOKUP($A13&amp;E$3,'Mark Leave'!$A:$E,5,0),"")</f>
        <v/>
      </c>
      <c r="F13" s="11" t="str">
        <f>IFERROR(VLOOKUP($A13&amp;F$3,'Mark Leave'!$A:$E,5,0),"")</f>
        <v/>
      </c>
      <c r="G13" s="11" t="str">
        <f>IFERROR(VLOOKUP($A13&amp;G$3,'Mark Leave'!$A:$E,5,0),"")</f>
        <v/>
      </c>
      <c r="H13" s="11" t="str">
        <f>IFERROR(VLOOKUP($A13&amp;H$3,'Mark Leave'!$A:$E,5,0),"")</f>
        <v/>
      </c>
      <c r="I13" s="11" t="str">
        <f>IFERROR(VLOOKUP($A13&amp;I$3,'Mark Leave'!$A:$E,5,0),"")</f>
        <v/>
      </c>
      <c r="J13" s="11" t="str">
        <f>IFERROR(VLOOKUP($A13&amp;J$3,'Mark Leave'!$A:$E,5,0),"")</f>
        <v/>
      </c>
      <c r="K13" s="11" t="str">
        <f>IFERROR(VLOOKUP($A13&amp;K$3,'Mark Leave'!$A:$E,5,0),"")</f>
        <v/>
      </c>
      <c r="L13" s="11" t="str">
        <f>IFERROR(VLOOKUP($A13&amp;L$3,'Mark Leave'!$A:$E,5,0),"")</f>
        <v/>
      </c>
      <c r="M13" s="11" t="str">
        <f>IFERROR(VLOOKUP($A13&amp;M$3,'Mark Leave'!$A:$E,5,0),"")</f>
        <v/>
      </c>
      <c r="N13" s="11" t="str">
        <f>IFERROR(VLOOKUP($A13&amp;N$3,'Mark Leave'!$A:$E,5,0),"")</f>
        <v/>
      </c>
      <c r="O13" s="11" t="str">
        <f>IFERROR(VLOOKUP($A13&amp;O$3,'Mark Leave'!$A:$E,5,0),"")</f>
        <v/>
      </c>
      <c r="P13" s="11" t="str">
        <f>IFERROR(VLOOKUP($A13&amp;P$3,'Mark Leave'!$A:$E,5,0),"")</f>
        <v/>
      </c>
      <c r="Q13" s="11" t="str">
        <f>IFERROR(VLOOKUP($A13&amp;Q$3,'Mark Leave'!$A:$E,5,0),"")</f>
        <v/>
      </c>
      <c r="R13" s="11" t="str">
        <f>IFERROR(VLOOKUP($A13&amp;R$3,'Mark Leave'!$A:$E,5,0),"")</f>
        <v/>
      </c>
      <c r="S13" s="11" t="str">
        <f>IFERROR(VLOOKUP($A13&amp;S$3,'Mark Leave'!$A:$E,5,0),"")</f>
        <v/>
      </c>
      <c r="T13" s="11" t="str">
        <f>IFERROR(VLOOKUP($A13&amp;T$3,'Mark Leave'!$A:$E,5,0),"")</f>
        <v/>
      </c>
      <c r="U13" s="11" t="str">
        <f>IFERROR(VLOOKUP($A13&amp;U$3,'Mark Leave'!$A:$E,5,0),"")</f>
        <v/>
      </c>
      <c r="V13" s="11" t="str">
        <f>IFERROR(VLOOKUP($A13&amp;V$3,'Mark Leave'!$A:$E,5,0),"")</f>
        <v/>
      </c>
      <c r="W13" s="11" t="str">
        <f>IFERROR(VLOOKUP($A13&amp;W$3,'Mark Leave'!$A:$E,5,0),"")</f>
        <v/>
      </c>
      <c r="X13" s="11" t="str">
        <f>IFERROR(VLOOKUP($A13&amp;X$3,'Mark Leave'!$A:$E,5,0),"")</f>
        <v/>
      </c>
      <c r="Y13" s="11" t="str">
        <f>IFERROR(VLOOKUP($A13&amp;Y$3,'Mark Leave'!$A:$E,5,0),"")</f>
        <v/>
      </c>
      <c r="Z13" s="11" t="str">
        <f>IFERROR(VLOOKUP($A13&amp;Z$3,'Mark Leave'!$A:$E,5,0),"")</f>
        <v/>
      </c>
      <c r="AA13" s="11" t="str">
        <f>IFERROR(VLOOKUP($A13&amp;AA$3,'Mark Leave'!$A:$E,5,0),"")</f>
        <v/>
      </c>
      <c r="AB13" s="11" t="str">
        <f>IFERROR(VLOOKUP($A13&amp;AB$3,'Mark Leave'!$A:$E,5,0),"")</f>
        <v/>
      </c>
      <c r="AC13" s="11" t="str">
        <f>IFERROR(VLOOKUP($A13&amp;AC$3,'Mark Leave'!$A:$E,5,0),"")</f>
        <v/>
      </c>
      <c r="AD13" s="11" t="str">
        <f>IFERROR(VLOOKUP($A13&amp;AD$3,'Mark Leave'!$A:$E,5,0),"")</f>
        <v/>
      </c>
      <c r="AE13" s="11" t="str">
        <f>IFERROR(VLOOKUP($A13&amp;AE$3,'Mark Leave'!$A:$E,5,0),"")</f>
        <v/>
      </c>
      <c r="AF13" s="11" t="str">
        <f>IFERROR(VLOOKUP($A13&amp;AF$3,'Mark Leave'!$A:$E,5,0),"")</f>
        <v/>
      </c>
      <c r="AG13" s="11" t="str">
        <f>IFERROR(VLOOKUP($A13&amp;AG$3,'Mark Leave'!$A:$E,5,0),"")</f>
        <v/>
      </c>
      <c r="AH13" s="12">
        <f t="shared" si="6"/>
        <v>0</v>
      </c>
      <c r="AI13" s="12">
        <f t="shared" si="3"/>
        <v>0</v>
      </c>
      <c r="AJ13" s="12">
        <f t="shared" si="3"/>
        <v>0</v>
      </c>
      <c r="AK13" s="12">
        <f t="shared" si="3"/>
        <v>0</v>
      </c>
      <c r="AL13" s="12">
        <f t="shared" si="3"/>
        <v>0</v>
      </c>
      <c r="AM13" s="12">
        <f t="shared" si="3"/>
        <v>0</v>
      </c>
      <c r="AN13" s="12">
        <f t="shared" si="4"/>
        <v>0</v>
      </c>
      <c r="AO13" s="12">
        <f t="shared" si="4"/>
        <v>0</v>
      </c>
      <c r="AP13" s="12">
        <f t="shared" si="4"/>
        <v>0</v>
      </c>
      <c r="AQ13" s="12">
        <f t="shared" si="5"/>
        <v>0</v>
      </c>
      <c r="AR13" s="12">
        <f t="shared" si="5"/>
        <v>0</v>
      </c>
      <c r="AS13" s="12">
        <f t="shared" si="7"/>
        <v>0</v>
      </c>
      <c r="AT13" s="13">
        <f t="shared" si="9"/>
        <v>0</v>
      </c>
    </row>
    <row r="14" spans="1:46" ht="15.6" thickTop="1" thickBot="1">
      <c r="A14" s="34">
        <v>202218009</v>
      </c>
      <c r="B14" s="34" t="s">
        <v>26</v>
      </c>
      <c r="C14" s="11" t="str">
        <f>IFERROR(VLOOKUP($A14&amp;C$3,'Mark Leave'!$A:$E,5,0),"")</f>
        <v/>
      </c>
      <c r="D14" s="11" t="str">
        <f>IFERROR(VLOOKUP($A14&amp;D$3,'Mark Leave'!$A:$E,5,0),"")</f>
        <v/>
      </c>
      <c r="E14" s="11" t="str">
        <f>IFERROR(VLOOKUP($A14&amp;E$3,'Mark Leave'!$A:$E,5,0),"")</f>
        <v/>
      </c>
      <c r="F14" s="11" t="str">
        <f>IFERROR(VLOOKUP($A14&amp;F$3,'Mark Leave'!$A:$E,5,0),"")</f>
        <v/>
      </c>
      <c r="G14" s="11" t="str">
        <f>IFERROR(VLOOKUP($A14&amp;G$3,'Mark Leave'!$A:$E,5,0),"")</f>
        <v/>
      </c>
      <c r="H14" s="11" t="str">
        <f>IFERROR(VLOOKUP($A14&amp;H$3,'Mark Leave'!$A:$E,5,0),"")</f>
        <v/>
      </c>
      <c r="I14" s="11" t="str">
        <f>IFERROR(VLOOKUP($A14&amp;I$3,'Mark Leave'!$A:$E,5,0),"")</f>
        <v/>
      </c>
      <c r="J14" s="11" t="str">
        <f>IFERROR(VLOOKUP($A14&amp;J$3,'Mark Leave'!$A:$E,5,0),"")</f>
        <v/>
      </c>
      <c r="K14" s="11" t="str">
        <f>IFERROR(VLOOKUP($A14&amp;K$3,'Mark Leave'!$A:$E,5,0),"")</f>
        <v/>
      </c>
      <c r="L14" s="11" t="str">
        <f>IFERROR(VLOOKUP($A14&amp;L$3,'Mark Leave'!$A:$E,5,0),"")</f>
        <v/>
      </c>
      <c r="M14" s="11" t="str">
        <f>IFERROR(VLOOKUP($A14&amp;M$3,'Mark Leave'!$A:$E,5,0),"")</f>
        <v/>
      </c>
      <c r="N14" s="11" t="str">
        <f>IFERROR(VLOOKUP($A14&amp;N$3,'Mark Leave'!$A:$E,5,0),"")</f>
        <v/>
      </c>
      <c r="O14" s="11" t="str">
        <f>IFERROR(VLOOKUP($A14&amp;O$3,'Mark Leave'!$A:$E,5,0),"")</f>
        <v/>
      </c>
      <c r="P14" s="11" t="str">
        <f>IFERROR(VLOOKUP($A14&amp;P$3,'Mark Leave'!$A:$E,5,0),"")</f>
        <v/>
      </c>
      <c r="Q14" s="11" t="str">
        <f>IFERROR(VLOOKUP($A14&amp;Q$3,'Mark Leave'!$A:$E,5,0),"")</f>
        <v/>
      </c>
      <c r="R14" s="11" t="str">
        <f>IFERROR(VLOOKUP($A14&amp;R$3,'Mark Leave'!$A:$E,5,0),"")</f>
        <v/>
      </c>
      <c r="S14" s="11" t="str">
        <f>IFERROR(VLOOKUP($A14&amp;S$3,'Mark Leave'!$A:$E,5,0),"")</f>
        <v/>
      </c>
      <c r="T14" s="11" t="str">
        <f>IFERROR(VLOOKUP($A14&amp;T$3,'Mark Leave'!$A:$E,5,0),"")</f>
        <v/>
      </c>
      <c r="U14" s="11" t="str">
        <f>IFERROR(VLOOKUP($A14&amp;U$3,'Mark Leave'!$A:$E,5,0),"")</f>
        <v/>
      </c>
      <c r="V14" s="11" t="str">
        <f>IFERROR(VLOOKUP($A14&amp;V$3,'Mark Leave'!$A:$E,5,0),"")</f>
        <v/>
      </c>
      <c r="W14" s="11" t="str">
        <f>IFERROR(VLOOKUP($A14&amp;W$3,'Mark Leave'!$A:$E,5,0),"")</f>
        <v/>
      </c>
      <c r="X14" s="11" t="str">
        <f>IFERROR(VLOOKUP($A14&amp;X$3,'Mark Leave'!$A:$E,5,0),"")</f>
        <v/>
      </c>
      <c r="Y14" s="11" t="str">
        <f>IFERROR(VLOOKUP($A14&amp;Y$3,'Mark Leave'!$A:$E,5,0),"")</f>
        <v/>
      </c>
      <c r="Z14" s="11" t="str">
        <f>IFERROR(VLOOKUP($A14&amp;Z$3,'Mark Leave'!$A:$E,5,0),"")</f>
        <v/>
      </c>
      <c r="AA14" s="11" t="str">
        <f>IFERROR(VLOOKUP($A14&amp;AA$3,'Mark Leave'!$A:$E,5,0),"")</f>
        <v/>
      </c>
      <c r="AB14" s="11" t="str">
        <f>IFERROR(VLOOKUP($A14&amp;AB$3,'Mark Leave'!$A:$E,5,0),"")</f>
        <v/>
      </c>
      <c r="AC14" s="11" t="str">
        <f>IFERROR(VLOOKUP($A14&amp;AC$3,'Mark Leave'!$A:$E,5,0),"")</f>
        <v/>
      </c>
      <c r="AD14" s="11" t="str">
        <f>IFERROR(VLOOKUP($A14&amp;AD$3,'Mark Leave'!$A:$E,5,0),"")</f>
        <v/>
      </c>
      <c r="AE14" s="11" t="str">
        <f>IFERROR(VLOOKUP($A14&amp;AE$3,'Mark Leave'!$A:$E,5,0),"")</f>
        <v/>
      </c>
      <c r="AF14" s="11" t="str">
        <f>IFERROR(VLOOKUP($A14&amp;AF$3,'Mark Leave'!$A:$E,5,0),"")</f>
        <v/>
      </c>
      <c r="AG14" s="11" t="str">
        <f>IFERROR(VLOOKUP($A14&amp;AG$3,'Mark Leave'!$A:$E,5,0),"")</f>
        <v/>
      </c>
      <c r="AH14" s="12">
        <f t="shared" si="6"/>
        <v>0</v>
      </c>
      <c r="AI14" s="12">
        <f t="shared" si="3"/>
        <v>0</v>
      </c>
      <c r="AJ14" s="12">
        <f t="shared" si="3"/>
        <v>0</v>
      </c>
      <c r="AK14" s="12">
        <f t="shared" si="3"/>
        <v>0</v>
      </c>
      <c r="AL14" s="12">
        <f t="shared" si="3"/>
        <v>0</v>
      </c>
      <c r="AM14" s="12">
        <f t="shared" si="3"/>
        <v>0</v>
      </c>
      <c r="AN14" s="12">
        <f t="shared" si="4"/>
        <v>0</v>
      </c>
      <c r="AO14" s="12">
        <f t="shared" si="4"/>
        <v>0</v>
      </c>
      <c r="AP14" s="12">
        <f t="shared" si="4"/>
        <v>0</v>
      </c>
      <c r="AQ14" s="12">
        <f t="shared" si="5"/>
        <v>0</v>
      </c>
      <c r="AR14" s="12">
        <f t="shared" si="5"/>
        <v>0</v>
      </c>
      <c r="AS14" s="12">
        <f t="shared" si="7"/>
        <v>0</v>
      </c>
      <c r="AT14" s="13">
        <f t="shared" si="9"/>
        <v>0</v>
      </c>
    </row>
    <row r="15" spans="1:46" ht="15.6" thickTop="1" thickBot="1">
      <c r="A15" s="34">
        <v>202218010</v>
      </c>
      <c r="B15" s="34" t="s">
        <v>27</v>
      </c>
      <c r="C15" s="11" t="str">
        <f>IFERROR(VLOOKUP($A15&amp;C$3,'Mark Leave'!$A:$E,5,0),"")</f>
        <v/>
      </c>
      <c r="D15" s="11" t="str">
        <f>IFERROR(VLOOKUP($A15&amp;D$3,'Mark Leave'!$A:$E,5,0),"")</f>
        <v/>
      </c>
      <c r="E15" s="11" t="str">
        <f>IFERROR(VLOOKUP($A15&amp;E$3,'Mark Leave'!$A:$E,5,0),"")</f>
        <v/>
      </c>
      <c r="F15" s="11" t="str">
        <f>IFERROR(VLOOKUP($A15&amp;F$3,'Mark Leave'!$A:$E,5,0),"")</f>
        <v/>
      </c>
      <c r="G15" s="11" t="str">
        <f>IFERROR(VLOOKUP($A15&amp;G$3,'Mark Leave'!$A:$E,5,0),"")</f>
        <v/>
      </c>
      <c r="H15" s="11" t="str">
        <f>IFERROR(VLOOKUP($A15&amp;H$3,'Mark Leave'!$A:$E,5,0),"")</f>
        <v/>
      </c>
      <c r="I15" s="11" t="str">
        <f>IFERROR(VLOOKUP($A15&amp;I$3,'Mark Leave'!$A:$E,5,0),"")</f>
        <v/>
      </c>
      <c r="J15" s="11" t="str">
        <f>IFERROR(VLOOKUP($A15&amp;J$3,'Mark Leave'!$A:$E,5,0),"")</f>
        <v/>
      </c>
      <c r="K15" s="11" t="str">
        <f>IFERROR(VLOOKUP($A15&amp;K$3,'Mark Leave'!$A:$E,5,0),"")</f>
        <v/>
      </c>
      <c r="L15" s="11" t="str">
        <f>IFERROR(VLOOKUP($A15&amp;L$3,'Mark Leave'!$A:$E,5,0),"")</f>
        <v/>
      </c>
      <c r="M15" s="11" t="str">
        <f>IFERROR(VLOOKUP($A15&amp;M$3,'Mark Leave'!$A:$E,5,0),"")</f>
        <v/>
      </c>
      <c r="N15" s="11" t="str">
        <f>IFERROR(VLOOKUP($A15&amp;N$3,'Mark Leave'!$A:$E,5,0),"")</f>
        <v/>
      </c>
      <c r="O15" s="11" t="str">
        <f>IFERROR(VLOOKUP($A15&amp;O$3,'Mark Leave'!$A:$E,5,0),"")</f>
        <v/>
      </c>
      <c r="P15" s="11" t="str">
        <f>IFERROR(VLOOKUP($A15&amp;P$3,'Mark Leave'!$A:$E,5,0),"")</f>
        <v/>
      </c>
      <c r="Q15" s="11" t="str">
        <f>IFERROR(VLOOKUP($A15&amp;Q$3,'Mark Leave'!$A:$E,5,0),"")</f>
        <v/>
      </c>
      <c r="R15" s="11" t="str">
        <f>IFERROR(VLOOKUP($A15&amp;R$3,'Mark Leave'!$A:$E,5,0),"")</f>
        <v/>
      </c>
      <c r="S15" s="11" t="str">
        <f>IFERROR(VLOOKUP($A15&amp;S$3,'Mark Leave'!$A:$E,5,0),"")</f>
        <v/>
      </c>
      <c r="T15" s="11" t="str">
        <f>IFERROR(VLOOKUP($A15&amp;T$3,'Mark Leave'!$A:$E,5,0),"")</f>
        <v/>
      </c>
      <c r="U15" s="11" t="str">
        <f>IFERROR(VLOOKUP($A15&amp;U$3,'Mark Leave'!$A:$E,5,0),"")</f>
        <v/>
      </c>
      <c r="V15" s="11" t="str">
        <f>IFERROR(VLOOKUP($A15&amp;V$3,'Mark Leave'!$A:$E,5,0),"")</f>
        <v/>
      </c>
      <c r="W15" s="11" t="str">
        <f>IFERROR(VLOOKUP($A15&amp;W$3,'Mark Leave'!$A:$E,5,0),"")</f>
        <v/>
      </c>
      <c r="X15" s="11" t="str">
        <f>IFERROR(VLOOKUP($A15&amp;X$3,'Mark Leave'!$A:$E,5,0),"")</f>
        <v/>
      </c>
      <c r="Y15" s="11" t="str">
        <f>IFERROR(VLOOKUP($A15&amp;Y$3,'Mark Leave'!$A:$E,5,0),"")</f>
        <v/>
      </c>
      <c r="Z15" s="11" t="str">
        <f>IFERROR(VLOOKUP($A15&amp;Z$3,'Mark Leave'!$A:$E,5,0),"")</f>
        <v/>
      </c>
      <c r="AA15" s="11" t="str">
        <f>IFERROR(VLOOKUP($A15&amp;AA$3,'Mark Leave'!$A:$E,5,0),"")</f>
        <v/>
      </c>
      <c r="AB15" s="11" t="str">
        <f>IFERROR(VLOOKUP($A15&amp;AB$3,'Mark Leave'!$A:$E,5,0),"")</f>
        <v/>
      </c>
      <c r="AC15" s="11" t="str">
        <f>IFERROR(VLOOKUP($A15&amp;AC$3,'Mark Leave'!$A:$E,5,0),"")</f>
        <v/>
      </c>
      <c r="AD15" s="11" t="str">
        <f>IFERROR(VLOOKUP($A15&amp;AD$3,'Mark Leave'!$A:$E,5,0),"")</f>
        <v/>
      </c>
      <c r="AE15" s="11" t="str">
        <f>IFERROR(VLOOKUP($A15&amp;AE$3,'Mark Leave'!$A:$E,5,0),"")</f>
        <v/>
      </c>
      <c r="AF15" s="11" t="str">
        <f>IFERROR(VLOOKUP($A15&amp;AF$3,'Mark Leave'!$A:$E,5,0),"")</f>
        <v/>
      </c>
      <c r="AG15" s="11" t="str">
        <f>IFERROR(VLOOKUP($A15&amp;AG$3,'Mark Leave'!$A:$E,5,0),"")</f>
        <v/>
      </c>
      <c r="AH15" s="12">
        <f t="shared" si="6"/>
        <v>0</v>
      </c>
      <c r="AI15" s="12">
        <f t="shared" si="3"/>
        <v>0</v>
      </c>
      <c r="AJ15" s="12">
        <f t="shared" si="3"/>
        <v>0</v>
      </c>
      <c r="AK15" s="12">
        <f t="shared" si="3"/>
        <v>0</v>
      </c>
      <c r="AL15" s="12">
        <f t="shared" si="3"/>
        <v>0</v>
      </c>
      <c r="AM15" s="12">
        <f t="shared" si="3"/>
        <v>0</v>
      </c>
      <c r="AN15" s="12">
        <f t="shared" si="4"/>
        <v>0</v>
      </c>
      <c r="AO15" s="12">
        <f t="shared" si="4"/>
        <v>0</v>
      </c>
      <c r="AP15" s="12">
        <f t="shared" si="4"/>
        <v>0</v>
      </c>
      <c r="AQ15" s="12">
        <f t="shared" si="5"/>
        <v>0</v>
      </c>
      <c r="AR15" s="12">
        <f t="shared" si="5"/>
        <v>0</v>
      </c>
      <c r="AS15" s="12">
        <f t="shared" si="7"/>
        <v>0</v>
      </c>
      <c r="AT15" s="13">
        <f t="shared" si="9"/>
        <v>0</v>
      </c>
    </row>
    <row r="16" spans="1:46" ht="15.6" thickTop="1" thickBot="1">
      <c r="A16" s="34">
        <v>202218011</v>
      </c>
      <c r="B16" s="34" t="s">
        <v>28</v>
      </c>
      <c r="C16" s="11" t="str">
        <f>IFERROR(VLOOKUP($A16&amp;C$3,'Mark Leave'!$A:$E,5,0),"")</f>
        <v/>
      </c>
      <c r="D16" s="11" t="str">
        <f>IFERROR(VLOOKUP($A16&amp;D$3,'Mark Leave'!$A:$E,5,0),"")</f>
        <v/>
      </c>
      <c r="E16" s="11" t="str">
        <f>IFERROR(VLOOKUP($A16&amp;E$3,'Mark Leave'!$A:$E,5,0),"")</f>
        <v/>
      </c>
      <c r="F16" s="11" t="str">
        <f>IFERROR(VLOOKUP($A16&amp;F$3,'Mark Leave'!$A:$E,5,0),"")</f>
        <v/>
      </c>
      <c r="G16" s="11" t="str">
        <f>IFERROR(VLOOKUP($A16&amp;G$3,'Mark Leave'!$A:$E,5,0),"")</f>
        <v/>
      </c>
      <c r="H16" s="11" t="str">
        <f>IFERROR(VLOOKUP($A16&amp;H$3,'Mark Leave'!$A:$E,5,0),"")</f>
        <v/>
      </c>
      <c r="I16" s="11" t="str">
        <f>IFERROR(VLOOKUP($A16&amp;I$3,'Mark Leave'!$A:$E,5,0),"")</f>
        <v/>
      </c>
      <c r="J16" s="11" t="str">
        <f>IFERROR(VLOOKUP($A16&amp;J$3,'Mark Leave'!$A:$E,5,0),"")</f>
        <v/>
      </c>
      <c r="K16" s="11" t="str">
        <f>IFERROR(VLOOKUP($A16&amp;K$3,'Mark Leave'!$A:$E,5,0),"")</f>
        <v/>
      </c>
      <c r="L16" s="11" t="str">
        <f>IFERROR(VLOOKUP($A16&amp;L$3,'Mark Leave'!$A:$E,5,0),"")</f>
        <v/>
      </c>
      <c r="M16" s="11" t="str">
        <f>IFERROR(VLOOKUP($A16&amp;M$3,'Mark Leave'!$A:$E,5,0),"")</f>
        <v/>
      </c>
      <c r="N16" s="11" t="str">
        <f>IFERROR(VLOOKUP($A16&amp;N$3,'Mark Leave'!$A:$E,5,0),"")</f>
        <v/>
      </c>
      <c r="O16" s="11" t="str">
        <f>IFERROR(VLOOKUP($A16&amp;O$3,'Mark Leave'!$A:$E,5,0),"")</f>
        <v/>
      </c>
      <c r="P16" s="11" t="str">
        <f>IFERROR(VLOOKUP($A16&amp;P$3,'Mark Leave'!$A:$E,5,0),"")</f>
        <v/>
      </c>
      <c r="Q16" s="11" t="str">
        <f>IFERROR(VLOOKUP($A16&amp;Q$3,'Mark Leave'!$A:$E,5,0),"")</f>
        <v/>
      </c>
      <c r="R16" s="11" t="str">
        <f>IFERROR(VLOOKUP($A16&amp;R$3,'Mark Leave'!$A:$E,5,0),"")</f>
        <v/>
      </c>
      <c r="S16" s="11" t="str">
        <f>IFERROR(VLOOKUP($A16&amp;S$3,'Mark Leave'!$A:$E,5,0),"")</f>
        <v/>
      </c>
      <c r="T16" s="11" t="str">
        <f>IFERROR(VLOOKUP($A16&amp;T$3,'Mark Leave'!$A:$E,5,0),"")</f>
        <v/>
      </c>
      <c r="U16" s="11" t="str">
        <f>IFERROR(VLOOKUP($A16&amp;U$3,'Mark Leave'!$A:$E,5,0),"")</f>
        <v/>
      </c>
      <c r="V16" s="11" t="str">
        <f>IFERROR(VLOOKUP($A16&amp;V$3,'Mark Leave'!$A:$E,5,0),"")</f>
        <v/>
      </c>
      <c r="W16" s="11" t="str">
        <f>IFERROR(VLOOKUP($A16&amp;W$3,'Mark Leave'!$A:$E,5,0),"")</f>
        <v/>
      </c>
      <c r="X16" s="11" t="str">
        <f>IFERROR(VLOOKUP($A16&amp;X$3,'Mark Leave'!$A:$E,5,0),"")</f>
        <v/>
      </c>
      <c r="Y16" s="11" t="str">
        <f>IFERROR(VLOOKUP($A16&amp;Y$3,'Mark Leave'!$A:$E,5,0),"")</f>
        <v/>
      </c>
      <c r="Z16" s="11" t="str">
        <f>IFERROR(VLOOKUP($A16&amp;Z$3,'Mark Leave'!$A:$E,5,0),"")</f>
        <v/>
      </c>
      <c r="AA16" s="11" t="str">
        <f>IFERROR(VLOOKUP($A16&amp;AA$3,'Mark Leave'!$A:$E,5,0),"")</f>
        <v/>
      </c>
      <c r="AB16" s="11" t="str">
        <f>IFERROR(VLOOKUP($A16&amp;AB$3,'Mark Leave'!$A:$E,5,0),"")</f>
        <v/>
      </c>
      <c r="AC16" s="11" t="str">
        <f>IFERROR(VLOOKUP($A16&amp;AC$3,'Mark Leave'!$A:$E,5,0),"")</f>
        <v/>
      </c>
      <c r="AD16" s="11" t="str">
        <f>IFERROR(VLOOKUP($A16&amp;AD$3,'Mark Leave'!$A:$E,5,0),"")</f>
        <v/>
      </c>
      <c r="AE16" s="11" t="str">
        <f>IFERROR(VLOOKUP($A16&amp;AE$3,'Mark Leave'!$A:$E,5,0),"")</f>
        <v/>
      </c>
      <c r="AF16" s="11" t="str">
        <f>IFERROR(VLOOKUP($A16&amp;AF$3,'Mark Leave'!$A:$E,5,0),"")</f>
        <v/>
      </c>
      <c r="AG16" s="11" t="str">
        <f>IFERROR(VLOOKUP($A16&amp;AG$3,'Mark Leave'!$A:$E,5,0),"")</f>
        <v/>
      </c>
      <c r="AH16" s="12">
        <f t="shared" si="6"/>
        <v>0</v>
      </c>
      <c r="AI16" s="12">
        <f t="shared" si="3"/>
        <v>0</v>
      </c>
      <c r="AJ16" s="12">
        <f t="shared" si="3"/>
        <v>0</v>
      </c>
      <c r="AK16" s="12">
        <f t="shared" si="3"/>
        <v>0</v>
      </c>
      <c r="AL16" s="12">
        <f t="shared" si="3"/>
        <v>0</v>
      </c>
      <c r="AM16" s="12">
        <f t="shared" si="3"/>
        <v>0</v>
      </c>
      <c r="AN16" s="12">
        <f t="shared" si="4"/>
        <v>0</v>
      </c>
      <c r="AO16" s="12">
        <f t="shared" si="4"/>
        <v>0</v>
      </c>
      <c r="AP16" s="12">
        <f t="shared" si="4"/>
        <v>0</v>
      </c>
      <c r="AQ16" s="12">
        <f t="shared" si="5"/>
        <v>0</v>
      </c>
      <c r="AR16" s="12">
        <f t="shared" si="5"/>
        <v>0</v>
      </c>
      <c r="AS16" s="12">
        <f t="shared" si="7"/>
        <v>0</v>
      </c>
      <c r="AT16" s="13">
        <f t="shared" si="9"/>
        <v>0</v>
      </c>
    </row>
    <row r="17" spans="1:46" ht="15.6" thickTop="1" thickBot="1">
      <c r="A17" s="34">
        <v>202218012</v>
      </c>
      <c r="B17" s="34" t="s">
        <v>29</v>
      </c>
      <c r="C17" s="11" t="str">
        <f>IFERROR(VLOOKUP($A17&amp;C$3,'Mark Leave'!$A:$E,5,0),"")</f>
        <v/>
      </c>
      <c r="D17" s="11" t="str">
        <f>IFERROR(VLOOKUP($A17&amp;D$3,'Mark Leave'!$A:$E,5,0),"")</f>
        <v/>
      </c>
      <c r="E17" s="11" t="str">
        <f>IFERROR(VLOOKUP($A17&amp;E$3,'Mark Leave'!$A:$E,5,0),"")</f>
        <v/>
      </c>
      <c r="F17" s="11" t="str">
        <f>IFERROR(VLOOKUP($A17&amp;F$3,'Mark Leave'!$A:$E,5,0),"")</f>
        <v/>
      </c>
      <c r="G17" s="11" t="str">
        <f>IFERROR(VLOOKUP($A17&amp;G$3,'Mark Leave'!$A:$E,5,0),"")</f>
        <v/>
      </c>
      <c r="H17" s="11" t="str">
        <f>IFERROR(VLOOKUP($A17&amp;H$3,'Mark Leave'!$A:$E,5,0),"")</f>
        <v/>
      </c>
      <c r="I17" s="11" t="str">
        <f>IFERROR(VLOOKUP($A17&amp;I$3,'Mark Leave'!$A:$E,5,0),"")</f>
        <v/>
      </c>
      <c r="J17" s="11" t="str">
        <f>IFERROR(VLOOKUP($A17&amp;J$3,'Mark Leave'!$A:$E,5,0),"")</f>
        <v/>
      </c>
      <c r="K17" s="11" t="str">
        <f>IFERROR(VLOOKUP($A17&amp;K$3,'Mark Leave'!$A:$E,5,0),"")</f>
        <v/>
      </c>
      <c r="L17" s="11" t="str">
        <f>IFERROR(VLOOKUP($A17&amp;L$3,'Mark Leave'!$A:$E,5,0),"")</f>
        <v/>
      </c>
      <c r="M17" s="11" t="str">
        <f>IFERROR(VLOOKUP($A17&amp;M$3,'Mark Leave'!$A:$E,5,0),"")</f>
        <v/>
      </c>
      <c r="N17" s="11" t="str">
        <f>IFERROR(VLOOKUP($A17&amp;N$3,'Mark Leave'!$A:$E,5,0),"")</f>
        <v/>
      </c>
      <c r="O17" s="11" t="str">
        <f>IFERROR(VLOOKUP($A17&amp;O$3,'Mark Leave'!$A:$E,5,0),"")</f>
        <v/>
      </c>
      <c r="P17" s="11" t="str">
        <f>IFERROR(VLOOKUP($A17&amp;P$3,'Mark Leave'!$A:$E,5,0),"")</f>
        <v/>
      </c>
      <c r="Q17" s="11" t="str">
        <f>IFERROR(VLOOKUP($A17&amp;Q$3,'Mark Leave'!$A:$E,5,0),"")</f>
        <v/>
      </c>
      <c r="R17" s="11" t="str">
        <f>IFERROR(VLOOKUP($A17&amp;R$3,'Mark Leave'!$A:$E,5,0),"")</f>
        <v/>
      </c>
      <c r="S17" s="11" t="str">
        <f>IFERROR(VLOOKUP($A17&amp;S$3,'Mark Leave'!$A:$E,5,0),"")</f>
        <v/>
      </c>
      <c r="T17" s="11" t="str">
        <f>IFERROR(VLOOKUP($A17&amp;T$3,'Mark Leave'!$A:$E,5,0),"")</f>
        <v/>
      </c>
      <c r="U17" s="11" t="str">
        <f>IFERROR(VLOOKUP($A17&amp;U$3,'Mark Leave'!$A:$E,5,0),"")</f>
        <v/>
      </c>
      <c r="V17" s="11" t="str">
        <f>IFERROR(VLOOKUP($A17&amp;V$3,'Mark Leave'!$A:$E,5,0),"")</f>
        <v/>
      </c>
      <c r="W17" s="11" t="str">
        <f>IFERROR(VLOOKUP($A17&amp;W$3,'Mark Leave'!$A:$E,5,0),"")</f>
        <v/>
      </c>
      <c r="X17" s="11" t="str">
        <f>IFERROR(VLOOKUP($A17&amp;X$3,'Mark Leave'!$A:$E,5,0),"")</f>
        <v/>
      </c>
      <c r="Y17" s="11" t="str">
        <f>IFERROR(VLOOKUP($A17&amp;Y$3,'Mark Leave'!$A:$E,5,0),"")</f>
        <v/>
      </c>
      <c r="Z17" s="11" t="str">
        <f>IFERROR(VLOOKUP($A17&amp;Z$3,'Mark Leave'!$A:$E,5,0),"")</f>
        <v/>
      </c>
      <c r="AA17" s="11" t="str">
        <f>IFERROR(VLOOKUP($A17&amp;AA$3,'Mark Leave'!$A:$E,5,0),"")</f>
        <v/>
      </c>
      <c r="AB17" s="11" t="str">
        <f>IFERROR(VLOOKUP($A17&amp;AB$3,'Mark Leave'!$A:$E,5,0),"")</f>
        <v/>
      </c>
      <c r="AC17" s="11" t="str">
        <f>IFERROR(VLOOKUP($A17&amp;AC$3,'Mark Leave'!$A:$E,5,0),"")</f>
        <v/>
      </c>
      <c r="AD17" s="11" t="str">
        <f>IFERROR(VLOOKUP($A17&amp;AD$3,'Mark Leave'!$A:$E,5,0),"")</f>
        <v/>
      </c>
      <c r="AE17" s="11" t="str">
        <f>IFERROR(VLOOKUP($A17&amp;AE$3,'Mark Leave'!$A:$E,5,0),"")</f>
        <v/>
      </c>
      <c r="AF17" s="11" t="str">
        <f>IFERROR(VLOOKUP($A17&amp;AF$3,'Mark Leave'!$A:$E,5,0),"")</f>
        <v/>
      </c>
      <c r="AG17" s="11" t="str">
        <f>IFERROR(VLOOKUP($A17&amp;AG$3,'Mark Leave'!$A:$E,5,0),"")</f>
        <v/>
      </c>
      <c r="AH17" s="12">
        <f t="shared" si="6"/>
        <v>0</v>
      </c>
      <c r="AI17" s="12">
        <f t="shared" si="3"/>
        <v>0</v>
      </c>
      <c r="AJ17" s="12">
        <f t="shared" si="3"/>
        <v>0</v>
      </c>
      <c r="AK17" s="12">
        <f t="shared" si="3"/>
        <v>0</v>
      </c>
      <c r="AL17" s="12">
        <f t="shared" si="3"/>
        <v>0</v>
      </c>
      <c r="AM17" s="12">
        <f t="shared" si="3"/>
        <v>0</v>
      </c>
      <c r="AN17" s="12">
        <f t="shared" si="4"/>
        <v>0</v>
      </c>
      <c r="AO17" s="12">
        <f t="shared" si="4"/>
        <v>0</v>
      </c>
      <c r="AP17" s="12">
        <f t="shared" si="4"/>
        <v>0</v>
      </c>
      <c r="AQ17" s="12">
        <f t="shared" si="5"/>
        <v>0</v>
      </c>
      <c r="AR17" s="12">
        <f t="shared" si="5"/>
        <v>0</v>
      </c>
      <c r="AS17" s="12">
        <f t="shared" si="7"/>
        <v>0</v>
      </c>
      <c r="AT17" s="13">
        <f t="shared" si="9"/>
        <v>0</v>
      </c>
    </row>
    <row r="18" spans="1:46" ht="15.6" thickTop="1" thickBot="1">
      <c r="A18" s="34">
        <v>202218013</v>
      </c>
      <c r="B18" s="34" t="s">
        <v>85</v>
      </c>
      <c r="C18" s="11" t="str">
        <f>IFERROR(VLOOKUP($A18&amp;C$3,'Mark Leave'!$A:$E,5,0),"")</f>
        <v/>
      </c>
      <c r="D18" s="11" t="str">
        <f>IFERROR(VLOOKUP($A18&amp;D$3,'Mark Leave'!$A:$E,5,0),"")</f>
        <v/>
      </c>
      <c r="E18" s="11" t="str">
        <f>IFERROR(VLOOKUP($A18&amp;E$3,'Mark Leave'!$A:$E,5,0),"")</f>
        <v/>
      </c>
      <c r="F18" s="11" t="str">
        <f>IFERROR(VLOOKUP($A18&amp;F$3,'Mark Leave'!$A:$E,5,0),"")</f>
        <v/>
      </c>
      <c r="G18" s="11" t="str">
        <f>IFERROR(VLOOKUP($A18&amp;G$3,'Mark Leave'!$A:$E,5,0),"")</f>
        <v/>
      </c>
      <c r="H18" s="11" t="str">
        <f>IFERROR(VLOOKUP($A18&amp;H$3,'Mark Leave'!$A:$E,5,0),"")</f>
        <v/>
      </c>
      <c r="I18" s="11" t="str">
        <f>IFERROR(VLOOKUP($A18&amp;I$3,'Mark Leave'!$A:$E,5,0),"")</f>
        <v/>
      </c>
      <c r="J18" s="11" t="str">
        <f>IFERROR(VLOOKUP($A18&amp;J$3,'Mark Leave'!$A:$E,5,0),"")</f>
        <v/>
      </c>
      <c r="K18" s="11" t="str">
        <f>IFERROR(VLOOKUP($A18&amp;K$3,'Mark Leave'!$A:$E,5,0),"")</f>
        <v/>
      </c>
      <c r="L18" s="11" t="str">
        <f>IFERROR(VLOOKUP($A18&amp;L$3,'Mark Leave'!$A:$E,5,0),"")</f>
        <v/>
      </c>
      <c r="M18" s="11" t="str">
        <f>IFERROR(VLOOKUP($A18&amp;M$3,'Mark Leave'!$A:$E,5,0),"")</f>
        <v/>
      </c>
      <c r="N18" s="11" t="str">
        <f>IFERROR(VLOOKUP($A18&amp;N$3,'Mark Leave'!$A:$E,5,0),"")</f>
        <v/>
      </c>
      <c r="O18" s="11" t="str">
        <f>IFERROR(VLOOKUP($A18&amp;O$3,'Mark Leave'!$A:$E,5,0),"")</f>
        <v/>
      </c>
      <c r="P18" s="11" t="str">
        <f>IFERROR(VLOOKUP($A18&amp;P$3,'Mark Leave'!$A:$E,5,0),"")</f>
        <v/>
      </c>
      <c r="Q18" s="11" t="str">
        <f>IFERROR(VLOOKUP($A18&amp;Q$3,'Mark Leave'!$A:$E,5,0),"")</f>
        <v/>
      </c>
      <c r="R18" s="11" t="str">
        <f>IFERROR(VLOOKUP($A18&amp;R$3,'Mark Leave'!$A:$E,5,0),"")</f>
        <v/>
      </c>
      <c r="S18" s="11" t="str">
        <f>IFERROR(VLOOKUP($A18&amp;S$3,'Mark Leave'!$A:$E,5,0),"")</f>
        <v/>
      </c>
      <c r="T18" s="11" t="str">
        <f>IFERROR(VLOOKUP($A18&amp;T$3,'Mark Leave'!$A:$E,5,0),"")</f>
        <v/>
      </c>
      <c r="U18" s="11" t="str">
        <f>IFERROR(VLOOKUP($A18&amp;U$3,'Mark Leave'!$A:$E,5,0),"")</f>
        <v/>
      </c>
      <c r="V18" s="11" t="str">
        <f>IFERROR(VLOOKUP($A18&amp;V$3,'Mark Leave'!$A:$E,5,0),"")</f>
        <v/>
      </c>
      <c r="W18" s="11" t="str">
        <f>IFERROR(VLOOKUP($A18&amp;W$3,'Mark Leave'!$A:$E,5,0),"")</f>
        <v/>
      </c>
      <c r="X18" s="11" t="str">
        <f>IFERROR(VLOOKUP($A18&amp;X$3,'Mark Leave'!$A:$E,5,0),"")</f>
        <v/>
      </c>
      <c r="Y18" s="11" t="str">
        <f>IFERROR(VLOOKUP($A18&amp;Y$3,'Mark Leave'!$A:$E,5,0),"")</f>
        <v/>
      </c>
      <c r="Z18" s="11" t="str">
        <f>IFERROR(VLOOKUP($A18&amp;Z$3,'Mark Leave'!$A:$E,5,0),"")</f>
        <v/>
      </c>
      <c r="AA18" s="11" t="str">
        <f>IFERROR(VLOOKUP($A18&amp;AA$3,'Mark Leave'!$A:$E,5,0),"")</f>
        <v/>
      </c>
      <c r="AB18" s="11" t="str">
        <f>IFERROR(VLOOKUP($A18&amp;AB$3,'Mark Leave'!$A:$E,5,0),"")</f>
        <v/>
      </c>
      <c r="AC18" s="11" t="str">
        <f>IFERROR(VLOOKUP($A18&amp;AC$3,'Mark Leave'!$A:$E,5,0),"")</f>
        <v/>
      </c>
      <c r="AD18" s="11" t="str">
        <f>IFERROR(VLOOKUP($A18&amp;AD$3,'Mark Leave'!$A:$E,5,0),"")</f>
        <v/>
      </c>
      <c r="AE18" s="11" t="str">
        <f>IFERROR(VLOOKUP($A18&amp;AE$3,'Mark Leave'!$A:$E,5,0),"")</f>
        <v/>
      </c>
      <c r="AF18" s="11" t="str">
        <f>IFERROR(VLOOKUP($A18&amp;AF$3,'Mark Leave'!$A:$E,5,0),"")</f>
        <v/>
      </c>
      <c r="AG18" s="11" t="str">
        <f>IFERROR(VLOOKUP($A18&amp;AG$3,'Mark Leave'!$A:$E,5,0),"")</f>
        <v/>
      </c>
      <c r="AH18" s="12">
        <f t="shared" si="6"/>
        <v>0</v>
      </c>
      <c r="AI18" s="12">
        <f t="shared" si="3"/>
        <v>0</v>
      </c>
      <c r="AJ18" s="12">
        <f t="shared" si="3"/>
        <v>0</v>
      </c>
      <c r="AK18" s="12">
        <f t="shared" si="3"/>
        <v>0</v>
      </c>
      <c r="AL18" s="12">
        <f t="shared" si="3"/>
        <v>0</v>
      </c>
      <c r="AM18" s="12">
        <f t="shared" si="3"/>
        <v>0</v>
      </c>
      <c r="AN18" s="12">
        <f t="shared" si="4"/>
        <v>0</v>
      </c>
      <c r="AO18" s="12">
        <f t="shared" si="4"/>
        <v>0</v>
      </c>
      <c r="AP18" s="12">
        <f t="shared" si="4"/>
        <v>0</v>
      </c>
      <c r="AQ18" s="12">
        <f t="shared" si="5"/>
        <v>0</v>
      </c>
      <c r="AR18" s="12">
        <f t="shared" si="5"/>
        <v>0</v>
      </c>
      <c r="AS18" s="12">
        <f t="shared" si="7"/>
        <v>0</v>
      </c>
      <c r="AT18" s="13">
        <f t="shared" si="9"/>
        <v>0</v>
      </c>
    </row>
    <row r="19" spans="1:46" ht="15.6" thickTop="1" thickBot="1">
      <c r="A19" s="34">
        <v>202220002</v>
      </c>
      <c r="B19" s="34" t="s">
        <v>31</v>
      </c>
      <c r="C19" s="11" t="str">
        <f>IFERROR(VLOOKUP($A19&amp;C$3,'Mark Leave'!$A:$E,5,0),"")</f>
        <v/>
      </c>
      <c r="D19" s="11" t="str">
        <f>IFERROR(VLOOKUP($A19&amp;D$3,'Mark Leave'!$A:$E,5,0),"")</f>
        <v/>
      </c>
      <c r="E19" s="11" t="str">
        <f>IFERROR(VLOOKUP($A19&amp;E$3,'Mark Leave'!$A:$E,5,0),"")</f>
        <v/>
      </c>
      <c r="F19" s="11" t="str">
        <f>IFERROR(VLOOKUP($A19&amp;F$3,'Mark Leave'!$A:$E,5,0),"")</f>
        <v/>
      </c>
      <c r="G19" s="11" t="str">
        <f>IFERROR(VLOOKUP($A19&amp;G$3,'Mark Leave'!$A:$E,5,0),"")</f>
        <v/>
      </c>
      <c r="H19" s="11" t="str">
        <f>IFERROR(VLOOKUP($A19&amp;H$3,'Mark Leave'!$A:$E,5,0),"")</f>
        <v/>
      </c>
      <c r="I19" s="11" t="str">
        <f>IFERROR(VLOOKUP($A19&amp;I$3,'Mark Leave'!$A:$E,5,0),"")</f>
        <v/>
      </c>
      <c r="J19" s="11" t="str">
        <f>IFERROR(VLOOKUP($A19&amp;J$3,'Mark Leave'!$A:$E,5,0),"")</f>
        <v/>
      </c>
      <c r="K19" s="11" t="str">
        <f>IFERROR(VLOOKUP($A19&amp;K$3,'Mark Leave'!$A:$E,5,0),"")</f>
        <v/>
      </c>
      <c r="L19" s="11" t="str">
        <f>IFERROR(VLOOKUP($A19&amp;L$3,'Mark Leave'!$A:$E,5,0),"")</f>
        <v/>
      </c>
      <c r="M19" s="11" t="str">
        <f>IFERROR(VLOOKUP($A19&amp;M$3,'Mark Leave'!$A:$E,5,0),"")</f>
        <v/>
      </c>
      <c r="N19" s="11" t="str">
        <f>IFERROR(VLOOKUP($A19&amp;N$3,'Mark Leave'!$A:$E,5,0),"")</f>
        <v/>
      </c>
      <c r="O19" s="11" t="str">
        <f>IFERROR(VLOOKUP($A19&amp;O$3,'Mark Leave'!$A:$E,5,0),"")</f>
        <v/>
      </c>
      <c r="P19" s="11" t="str">
        <f>IFERROR(VLOOKUP($A19&amp;P$3,'Mark Leave'!$A:$E,5,0),"")</f>
        <v/>
      </c>
      <c r="Q19" s="11" t="str">
        <f>IFERROR(VLOOKUP($A19&amp;Q$3,'Mark Leave'!$A:$E,5,0),"")</f>
        <v/>
      </c>
      <c r="R19" s="11" t="str">
        <f>IFERROR(VLOOKUP($A19&amp;R$3,'Mark Leave'!$A:$E,5,0),"")</f>
        <v/>
      </c>
      <c r="S19" s="11" t="str">
        <f>IFERROR(VLOOKUP($A19&amp;S$3,'Mark Leave'!$A:$E,5,0),"")</f>
        <v/>
      </c>
      <c r="T19" s="11" t="str">
        <f>IFERROR(VLOOKUP($A19&amp;T$3,'Mark Leave'!$A:$E,5,0),"")</f>
        <v/>
      </c>
      <c r="U19" s="11" t="str">
        <f>IFERROR(VLOOKUP($A19&amp;U$3,'Mark Leave'!$A:$E,5,0),"")</f>
        <v/>
      </c>
      <c r="V19" s="11" t="str">
        <f>IFERROR(VLOOKUP($A19&amp;V$3,'Mark Leave'!$A:$E,5,0),"")</f>
        <v/>
      </c>
      <c r="W19" s="11" t="str">
        <f>IFERROR(VLOOKUP($A19&amp;W$3,'Mark Leave'!$A:$E,5,0),"")</f>
        <v/>
      </c>
      <c r="X19" s="11" t="str">
        <f>IFERROR(VLOOKUP($A19&amp;X$3,'Mark Leave'!$A:$E,5,0),"")</f>
        <v/>
      </c>
      <c r="Y19" s="11" t="str">
        <f>IFERROR(VLOOKUP($A19&amp;Y$3,'Mark Leave'!$A:$E,5,0),"")</f>
        <v/>
      </c>
      <c r="Z19" s="11" t="str">
        <f>IFERROR(VLOOKUP($A19&amp;Z$3,'Mark Leave'!$A:$E,5,0),"")</f>
        <v/>
      </c>
      <c r="AA19" s="11" t="str">
        <f>IFERROR(VLOOKUP($A19&amp;AA$3,'Mark Leave'!$A:$E,5,0),"")</f>
        <v/>
      </c>
      <c r="AB19" s="11" t="str">
        <f>IFERROR(VLOOKUP($A19&amp;AB$3,'Mark Leave'!$A:$E,5,0),"")</f>
        <v/>
      </c>
      <c r="AC19" s="11" t="str">
        <f>IFERROR(VLOOKUP($A19&amp;AC$3,'Mark Leave'!$A:$E,5,0),"")</f>
        <v/>
      </c>
      <c r="AD19" s="11" t="str">
        <f>IFERROR(VLOOKUP($A19&amp;AD$3,'Mark Leave'!$A:$E,5,0),"")</f>
        <v/>
      </c>
      <c r="AE19" s="11" t="str">
        <f>IFERROR(VLOOKUP($A19&amp;AE$3,'Mark Leave'!$A:$E,5,0),"")</f>
        <v/>
      </c>
      <c r="AF19" s="11" t="str">
        <f>IFERROR(VLOOKUP($A19&amp;AF$3,'Mark Leave'!$A:$E,5,0),"")</f>
        <v/>
      </c>
      <c r="AG19" s="11" t="str">
        <f>IFERROR(VLOOKUP($A19&amp;AG$3,'Mark Leave'!$A:$E,5,0),"")</f>
        <v/>
      </c>
      <c r="AH19" s="12">
        <f t="shared" si="6"/>
        <v>0</v>
      </c>
      <c r="AI19" s="12">
        <f t="shared" si="3"/>
        <v>0</v>
      </c>
      <c r="AJ19" s="12">
        <f t="shared" si="3"/>
        <v>0</v>
      </c>
      <c r="AK19" s="12">
        <f t="shared" si="3"/>
        <v>0</v>
      </c>
      <c r="AL19" s="12">
        <f t="shared" si="3"/>
        <v>0</v>
      </c>
      <c r="AM19" s="12">
        <f t="shared" si="3"/>
        <v>0</v>
      </c>
      <c r="AN19" s="12">
        <f t="shared" si="4"/>
        <v>0</v>
      </c>
      <c r="AO19" s="12">
        <f t="shared" si="4"/>
        <v>0</v>
      </c>
      <c r="AP19" s="12">
        <f t="shared" si="4"/>
        <v>0</v>
      </c>
      <c r="AQ19" s="12">
        <f t="shared" si="5"/>
        <v>0</v>
      </c>
      <c r="AR19" s="12">
        <f t="shared" si="5"/>
        <v>0</v>
      </c>
      <c r="AS19" s="12">
        <f t="shared" si="7"/>
        <v>0</v>
      </c>
      <c r="AT19" s="13">
        <f t="shared" si="9"/>
        <v>0</v>
      </c>
    </row>
    <row r="20" spans="1:46" ht="15.6" thickTop="1" thickBot="1">
      <c r="A20" s="34">
        <v>202218014</v>
      </c>
      <c r="B20" s="34" t="s">
        <v>32</v>
      </c>
      <c r="C20" s="11" t="str">
        <f>IFERROR(VLOOKUP($A20&amp;C$3,'Mark Leave'!$A:$E,5,0),"")</f>
        <v/>
      </c>
      <c r="D20" s="11" t="str">
        <f>IFERROR(VLOOKUP($A20&amp;D$3,'Mark Leave'!$A:$E,5,0),"")</f>
        <v/>
      </c>
      <c r="E20" s="11" t="str">
        <f>IFERROR(VLOOKUP($A20&amp;E$3,'Mark Leave'!$A:$E,5,0),"")</f>
        <v/>
      </c>
      <c r="F20" s="11" t="str">
        <f>IFERROR(VLOOKUP($A20&amp;F$3,'Mark Leave'!$A:$E,5,0),"")</f>
        <v/>
      </c>
      <c r="G20" s="11" t="str">
        <f>IFERROR(VLOOKUP($A20&amp;G$3,'Mark Leave'!$A:$E,5,0),"")</f>
        <v/>
      </c>
      <c r="H20" s="11" t="str">
        <f>IFERROR(VLOOKUP($A20&amp;H$3,'Mark Leave'!$A:$E,5,0),"")</f>
        <v/>
      </c>
      <c r="I20" s="11" t="str">
        <f>IFERROR(VLOOKUP($A20&amp;I$3,'Mark Leave'!$A:$E,5,0),"")</f>
        <v/>
      </c>
      <c r="J20" s="11" t="str">
        <f>IFERROR(VLOOKUP($A20&amp;J$3,'Mark Leave'!$A:$E,5,0),"")</f>
        <v/>
      </c>
      <c r="K20" s="11" t="str">
        <f>IFERROR(VLOOKUP($A20&amp;K$3,'Mark Leave'!$A:$E,5,0),"")</f>
        <v/>
      </c>
      <c r="L20" s="11" t="str">
        <f>IFERROR(VLOOKUP($A20&amp;L$3,'Mark Leave'!$A:$E,5,0),"")</f>
        <v/>
      </c>
      <c r="M20" s="11" t="str">
        <f>IFERROR(VLOOKUP($A20&amp;M$3,'Mark Leave'!$A:$E,5,0),"")</f>
        <v/>
      </c>
      <c r="N20" s="11" t="str">
        <f>IFERROR(VLOOKUP($A20&amp;N$3,'Mark Leave'!$A:$E,5,0),"")</f>
        <v/>
      </c>
      <c r="O20" s="11" t="str">
        <f>IFERROR(VLOOKUP($A20&amp;O$3,'Mark Leave'!$A:$E,5,0),"")</f>
        <v/>
      </c>
      <c r="P20" s="11" t="str">
        <f>IFERROR(VLOOKUP($A20&amp;P$3,'Mark Leave'!$A:$E,5,0),"")</f>
        <v/>
      </c>
      <c r="Q20" s="11" t="str">
        <f>IFERROR(VLOOKUP($A20&amp;Q$3,'Mark Leave'!$A:$E,5,0),"")</f>
        <v/>
      </c>
      <c r="R20" s="11" t="str">
        <f>IFERROR(VLOOKUP($A20&amp;R$3,'Mark Leave'!$A:$E,5,0),"")</f>
        <v/>
      </c>
      <c r="S20" s="11" t="str">
        <f>IFERROR(VLOOKUP($A20&amp;S$3,'Mark Leave'!$A:$E,5,0),"")</f>
        <v/>
      </c>
      <c r="T20" s="11" t="str">
        <f>IFERROR(VLOOKUP($A20&amp;T$3,'Mark Leave'!$A:$E,5,0),"")</f>
        <v/>
      </c>
      <c r="U20" s="11" t="str">
        <f>IFERROR(VLOOKUP($A20&amp;U$3,'Mark Leave'!$A:$E,5,0),"")</f>
        <v/>
      </c>
      <c r="V20" s="11" t="str">
        <f>IFERROR(VLOOKUP($A20&amp;V$3,'Mark Leave'!$A:$E,5,0),"")</f>
        <v/>
      </c>
      <c r="W20" s="11" t="str">
        <f>IFERROR(VLOOKUP($A20&amp;W$3,'Mark Leave'!$A:$E,5,0),"")</f>
        <v/>
      </c>
      <c r="X20" s="11" t="str">
        <f>IFERROR(VLOOKUP($A20&amp;X$3,'Mark Leave'!$A:$E,5,0),"")</f>
        <v/>
      </c>
      <c r="Y20" s="11" t="str">
        <f>IFERROR(VLOOKUP($A20&amp;Y$3,'Mark Leave'!$A:$E,5,0),"")</f>
        <v/>
      </c>
      <c r="Z20" s="11" t="str">
        <f>IFERROR(VLOOKUP($A20&amp;Z$3,'Mark Leave'!$A:$E,5,0),"")</f>
        <v/>
      </c>
      <c r="AA20" s="11" t="str">
        <f>IFERROR(VLOOKUP($A20&amp;AA$3,'Mark Leave'!$A:$E,5,0),"")</f>
        <v/>
      </c>
      <c r="AB20" s="11" t="str">
        <f>IFERROR(VLOOKUP($A20&amp;AB$3,'Mark Leave'!$A:$E,5,0),"")</f>
        <v/>
      </c>
      <c r="AC20" s="11" t="str">
        <f>IFERROR(VLOOKUP($A20&amp;AC$3,'Mark Leave'!$A:$E,5,0),"")</f>
        <v/>
      </c>
      <c r="AD20" s="11" t="str">
        <f>IFERROR(VLOOKUP($A20&amp;AD$3,'Mark Leave'!$A:$E,5,0),"")</f>
        <v/>
      </c>
      <c r="AE20" s="11" t="str">
        <f>IFERROR(VLOOKUP($A20&amp;AE$3,'Mark Leave'!$A:$E,5,0),"")</f>
        <v/>
      </c>
      <c r="AF20" s="11" t="str">
        <f>IFERROR(VLOOKUP($A20&amp;AF$3,'Mark Leave'!$A:$E,5,0),"")</f>
        <v/>
      </c>
      <c r="AG20" s="11" t="str">
        <f>IFERROR(VLOOKUP($A20&amp;AG$3,'Mark Leave'!$A:$E,5,0),"")</f>
        <v/>
      </c>
      <c r="AH20" s="12">
        <f t="shared" si="6"/>
        <v>0</v>
      </c>
      <c r="AI20" s="12">
        <f t="shared" si="3"/>
        <v>0</v>
      </c>
      <c r="AJ20" s="12">
        <f t="shared" si="3"/>
        <v>0</v>
      </c>
      <c r="AK20" s="12">
        <f t="shared" si="3"/>
        <v>0</v>
      </c>
      <c r="AL20" s="12">
        <f t="shared" si="3"/>
        <v>0</v>
      </c>
      <c r="AM20" s="12">
        <f t="shared" si="3"/>
        <v>0</v>
      </c>
      <c r="AN20" s="12">
        <f t="shared" si="4"/>
        <v>0</v>
      </c>
      <c r="AO20" s="12">
        <f t="shared" si="4"/>
        <v>0</v>
      </c>
      <c r="AP20" s="12">
        <f t="shared" si="4"/>
        <v>0</v>
      </c>
      <c r="AQ20" s="12">
        <f t="shared" si="5"/>
        <v>0</v>
      </c>
      <c r="AR20" s="12">
        <f t="shared" si="5"/>
        <v>0</v>
      </c>
      <c r="AS20" s="12">
        <f t="shared" si="7"/>
        <v>0</v>
      </c>
      <c r="AT20" s="13">
        <f t="shared" si="9"/>
        <v>0</v>
      </c>
    </row>
    <row r="21" spans="1:46" ht="15.6" thickTop="1" thickBot="1">
      <c r="A21" s="34">
        <v>202320003</v>
      </c>
      <c r="B21" s="34" t="s">
        <v>86</v>
      </c>
      <c r="C21" s="11" t="str">
        <f>IFERROR(VLOOKUP($A21&amp;C$3,'Mark Leave'!$A:$E,5,0),"")</f>
        <v/>
      </c>
      <c r="D21" s="11" t="str">
        <f>IFERROR(VLOOKUP($A21&amp;D$3,'Mark Leave'!$A:$E,5,0),"")</f>
        <v/>
      </c>
      <c r="E21" s="11" t="str">
        <f>IFERROR(VLOOKUP($A21&amp;E$3,'Mark Leave'!$A:$E,5,0),"")</f>
        <v/>
      </c>
      <c r="F21" s="11" t="str">
        <f>IFERROR(VLOOKUP($A21&amp;F$3,'Mark Leave'!$A:$E,5,0),"")</f>
        <v/>
      </c>
      <c r="G21" s="11" t="str">
        <f>IFERROR(VLOOKUP($A21&amp;G$3,'Mark Leave'!$A:$E,5,0),"")</f>
        <v/>
      </c>
      <c r="H21" s="11" t="str">
        <f>IFERROR(VLOOKUP($A21&amp;H$3,'Mark Leave'!$A:$E,5,0),"")</f>
        <v/>
      </c>
      <c r="I21" s="11" t="str">
        <f>IFERROR(VLOOKUP($A21&amp;I$3,'Mark Leave'!$A:$E,5,0),"")</f>
        <v/>
      </c>
      <c r="J21" s="11" t="str">
        <f>IFERROR(VLOOKUP($A21&amp;J$3,'Mark Leave'!$A:$E,5,0),"")</f>
        <v/>
      </c>
      <c r="K21" s="11" t="str">
        <f>IFERROR(VLOOKUP($A21&amp;K$3,'Mark Leave'!$A:$E,5,0),"")</f>
        <v/>
      </c>
      <c r="L21" s="11" t="str">
        <f>IFERROR(VLOOKUP($A21&amp;L$3,'Mark Leave'!$A:$E,5,0),"")</f>
        <v/>
      </c>
      <c r="M21" s="11" t="str">
        <f>IFERROR(VLOOKUP($A21&amp;M$3,'Mark Leave'!$A:$E,5,0),"")</f>
        <v/>
      </c>
      <c r="N21" s="11" t="str">
        <f>IFERROR(VLOOKUP($A21&amp;N$3,'Mark Leave'!$A:$E,5,0),"")</f>
        <v/>
      </c>
      <c r="O21" s="11" t="str">
        <f>IFERROR(VLOOKUP($A21&amp;O$3,'Mark Leave'!$A:$E,5,0),"")</f>
        <v/>
      </c>
      <c r="P21" s="11" t="str">
        <f>IFERROR(VLOOKUP($A21&amp;P$3,'Mark Leave'!$A:$E,5,0),"")</f>
        <v/>
      </c>
      <c r="Q21" s="11" t="str">
        <f>IFERROR(VLOOKUP($A21&amp;Q$3,'Mark Leave'!$A:$E,5,0),"")</f>
        <v/>
      </c>
      <c r="R21" s="11" t="str">
        <f>IFERROR(VLOOKUP($A21&amp;R$3,'Mark Leave'!$A:$E,5,0),"")</f>
        <v/>
      </c>
      <c r="S21" s="11" t="str">
        <f>IFERROR(VLOOKUP($A21&amp;S$3,'Mark Leave'!$A:$E,5,0),"")</f>
        <v/>
      </c>
      <c r="T21" s="11" t="str">
        <f>IFERROR(VLOOKUP($A21&amp;T$3,'Mark Leave'!$A:$E,5,0),"")</f>
        <v/>
      </c>
      <c r="U21" s="11" t="str">
        <f>IFERROR(VLOOKUP($A21&amp;U$3,'Mark Leave'!$A:$E,5,0),"")</f>
        <v/>
      </c>
      <c r="V21" s="11" t="str">
        <f>IFERROR(VLOOKUP($A21&amp;V$3,'Mark Leave'!$A:$E,5,0),"")</f>
        <v/>
      </c>
      <c r="W21" s="11" t="str">
        <f>IFERROR(VLOOKUP($A21&amp;W$3,'Mark Leave'!$A:$E,5,0),"")</f>
        <v/>
      </c>
      <c r="X21" s="11" t="str">
        <f>IFERROR(VLOOKUP($A21&amp;X$3,'Mark Leave'!$A:$E,5,0),"")</f>
        <v/>
      </c>
      <c r="Y21" s="11" t="str">
        <f>IFERROR(VLOOKUP($A21&amp;Y$3,'Mark Leave'!$A:$E,5,0),"")</f>
        <v/>
      </c>
      <c r="Z21" s="11" t="str">
        <f>IFERROR(VLOOKUP($A21&amp;Z$3,'Mark Leave'!$A:$E,5,0),"")</f>
        <v/>
      </c>
      <c r="AA21" s="11" t="str">
        <f>IFERROR(VLOOKUP($A21&amp;AA$3,'Mark Leave'!$A:$E,5,0),"")</f>
        <v/>
      </c>
      <c r="AB21" s="11" t="str">
        <f>IFERROR(VLOOKUP($A21&amp;AB$3,'Mark Leave'!$A:$E,5,0),"")</f>
        <v/>
      </c>
      <c r="AC21" s="11" t="str">
        <f>IFERROR(VLOOKUP($A21&amp;AC$3,'Mark Leave'!$A:$E,5,0),"")</f>
        <v/>
      </c>
      <c r="AD21" s="11" t="str">
        <f>IFERROR(VLOOKUP($A21&amp;AD$3,'Mark Leave'!$A:$E,5,0),"")</f>
        <v/>
      </c>
      <c r="AE21" s="11" t="str">
        <f>IFERROR(VLOOKUP($A21&amp;AE$3,'Mark Leave'!$A:$E,5,0),"")</f>
        <v/>
      </c>
      <c r="AF21" s="11" t="str">
        <f>IFERROR(VLOOKUP($A21&amp;AF$3,'Mark Leave'!$A:$E,5,0),"")</f>
        <v/>
      </c>
      <c r="AG21" s="11" t="str">
        <f>IFERROR(VLOOKUP($A21&amp;AG$3,'Mark Leave'!$A:$E,5,0),"")</f>
        <v/>
      </c>
      <c r="AH21" s="12">
        <f t="shared" si="6"/>
        <v>0</v>
      </c>
      <c r="AI21" s="12">
        <f t="shared" si="6"/>
        <v>0</v>
      </c>
      <c r="AJ21" s="12">
        <f t="shared" si="6"/>
        <v>0</v>
      </c>
      <c r="AK21" s="12">
        <f t="shared" si="6"/>
        <v>0</v>
      </c>
      <c r="AL21" s="12">
        <f t="shared" si="6"/>
        <v>0</v>
      </c>
      <c r="AM21" s="12">
        <f t="shared" si="6"/>
        <v>0</v>
      </c>
      <c r="AN21" s="12">
        <f t="shared" si="4"/>
        <v>0</v>
      </c>
      <c r="AO21" s="12">
        <f t="shared" si="4"/>
        <v>0</v>
      </c>
      <c r="AP21" s="12">
        <f t="shared" si="4"/>
        <v>0</v>
      </c>
      <c r="AQ21" s="12">
        <f t="shared" ref="AQ21:AR40" si="10">COUNTIF($C21:$AG21,AQ$4)/2</f>
        <v>0</v>
      </c>
      <c r="AR21" s="12">
        <f t="shared" si="10"/>
        <v>0</v>
      </c>
      <c r="AS21" s="12">
        <f t="shared" si="7"/>
        <v>0</v>
      </c>
      <c r="AT21" s="13">
        <f t="shared" si="9"/>
        <v>0</v>
      </c>
    </row>
    <row r="22" spans="1:46" ht="15.6" thickTop="1" thickBot="1">
      <c r="A22" s="34">
        <v>202318015</v>
      </c>
      <c r="B22" s="34" t="s">
        <v>87</v>
      </c>
      <c r="C22" s="11" t="str">
        <f>IFERROR(VLOOKUP($A22&amp;C$3,'Mark Leave'!$A:$E,5,0),"")</f>
        <v/>
      </c>
      <c r="D22" s="11" t="str">
        <f>IFERROR(VLOOKUP($A22&amp;D$3,'Mark Leave'!$A:$E,5,0),"")</f>
        <v/>
      </c>
      <c r="E22" s="11" t="str">
        <f>IFERROR(VLOOKUP($A22&amp;E$3,'Mark Leave'!$A:$E,5,0),"")</f>
        <v/>
      </c>
      <c r="F22" s="11" t="str">
        <f>IFERROR(VLOOKUP($A22&amp;F$3,'Mark Leave'!$A:$E,5,0),"")</f>
        <v/>
      </c>
      <c r="G22" s="11" t="str">
        <f>IFERROR(VLOOKUP($A22&amp;G$3,'Mark Leave'!$A:$E,5,0),"")</f>
        <v/>
      </c>
      <c r="H22" s="11" t="str">
        <f>IFERROR(VLOOKUP($A22&amp;H$3,'Mark Leave'!$A:$E,5,0),"")</f>
        <v/>
      </c>
      <c r="I22" s="11" t="str">
        <f>IFERROR(VLOOKUP($A22&amp;I$3,'Mark Leave'!$A:$E,5,0),"")</f>
        <v/>
      </c>
      <c r="J22" s="11" t="str">
        <f>IFERROR(VLOOKUP($A22&amp;J$3,'Mark Leave'!$A:$E,5,0),"")</f>
        <v/>
      </c>
      <c r="K22" s="11" t="str">
        <f>IFERROR(VLOOKUP($A22&amp;K$3,'Mark Leave'!$A:$E,5,0),"")</f>
        <v/>
      </c>
      <c r="L22" s="11" t="str">
        <f>IFERROR(VLOOKUP($A22&amp;L$3,'Mark Leave'!$A:$E,5,0),"")</f>
        <v/>
      </c>
      <c r="M22" s="11" t="str">
        <f>IFERROR(VLOOKUP($A22&amp;M$3,'Mark Leave'!$A:$E,5,0),"")</f>
        <v/>
      </c>
      <c r="N22" s="11" t="str">
        <f>IFERROR(VLOOKUP($A22&amp;N$3,'Mark Leave'!$A:$E,5,0),"")</f>
        <v/>
      </c>
      <c r="O22" s="11" t="str">
        <f>IFERROR(VLOOKUP($A22&amp;O$3,'Mark Leave'!$A:$E,5,0),"")</f>
        <v/>
      </c>
      <c r="P22" s="11" t="str">
        <f>IFERROR(VLOOKUP($A22&amp;P$3,'Mark Leave'!$A:$E,5,0),"")</f>
        <v/>
      </c>
      <c r="Q22" s="11" t="str">
        <f>IFERROR(VLOOKUP($A22&amp;Q$3,'Mark Leave'!$A:$E,5,0),"")</f>
        <v/>
      </c>
      <c r="R22" s="11" t="str">
        <f>IFERROR(VLOOKUP($A22&amp;R$3,'Mark Leave'!$A:$E,5,0),"")</f>
        <v/>
      </c>
      <c r="S22" s="11" t="str">
        <f>IFERROR(VLOOKUP($A22&amp;S$3,'Mark Leave'!$A:$E,5,0),"")</f>
        <v/>
      </c>
      <c r="T22" s="11" t="str">
        <f>IFERROR(VLOOKUP($A22&amp;T$3,'Mark Leave'!$A:$E,5,0),"")</f>
        <v/>
      </c>
      <c r="U22" s="11" t="str">
        <f>IFERROR(VLOOKUP($A22&amp;U$3,'Mark Leave'!$A:$E,5,0),"")</f>
        <v/>
      </c>
      <c r="V22" s="11" t="str">
        <f>IFERROR(VLOOKUP($A22&amp;V$3,'Mark Leave'!$A:$E,5,0),"")</f>
        <v/>
      </c>
      <c r="W22" s="11" t="str">
        <f>IFERROR(VLOOKUP($A22&amp;W$3,'Mark Leave'!$A:$E,5,0),"")</f>
        <v/>
      </c>
      <c r="X22" s="11" t="str">
        <f>IFERROR(VLOOKUP($A22&amp;X$3,'Mark Leave'!$A:$E,5,0),"")</f>
        <v/>
      </c>
      <c r="Y22" s="11" t="str">
        <f>IFERROR(VLOOKUP($A22&amp;Y$3,'Mark Leave'!$A:$E,5,0),"")</f>
        <v/>
      </c>
      <c r="Z22" s="11" t="str">
        <f>IFERROR(VLOOKUP($A22&amp;Z$3,'Mark Leave'!$A:$E,5,0),"")</f>
        <v/>
      </c>
      <c r="AA22" s="11" t="str">
        <f>IFERROR(VLOOKUP($A22&amp;AA$3,'Mark Leave'!$A:$E,5,0),"")</f>
        <v/>
      </c>
      <c r="AB22" s="11" t="str">
        <f>IFERROR(VLOOKUP($A22&amp;AB$3,'Mark Leave'!$A:$E,5,0),"")</f>
        <v/>
      </c>
      <c r="AC22" s="11" t="str">
        <f>IFERROR(VLOOKUP($A22&amp;AC$3,'Mark Leave'!$A:$E,5,0),"")</f>
        <v/>
      </c>
      <c r="AD22" s="11" t="str">
        <f>IFERROR(VLOOKUP($A22&amp;AD$3,'Mark Leave'!$A:$E,5,0),"")</f>
        <v/>
      </c>
      <c r="AE22" s="11" t="str">
        <f>IFERROR(VLOOKUP($A22&amp;AE$3,'Mark Leave'!$A:$E,5,0),"")</f>
        <v/>
      </c>
      <c r="AF22" s="11" t="str">
        <f>IFERROR(VLOOKUP($A22&amp;AF$3,'Mark Leave'!$A:$E,5,0),"")</f>
        <v/>
      </c>
      <c r="AG22" s="11" t="str">
        <f>IFERROR(VLOOKUP($A22&amp;AG$3,'Mark Leave'!$A:$E,5,0),"")</f>
        <v/>
      </c>
      <c r="AH22" s="12">
        <f t="shared" si="6"/>
        <v>0</v>
      </c>
      <c r="AI22" s="12">
        <f t="shared" si="6"/>
        <v>0</v>
      </c>
      <c r="AJ22" s="12">
        <f t="shared" si="6"/>
        <v>0</v>
      </c>
      <c r="AK22" s="12">
        <f t="shared" si="6"/>
        <v>0</v>
      </c>
      <c r="AL22" s="12">
        <f t="shared" si="6"/>
        <v>0</v>
      </c>
      <c r="AM22" s="12">
        <f t="shared" si="6"/>
        <v>0</v>
      </c>
      <c r="AN22" s="12">
        <f t="shared" si="4"/>
        <v>0</v>
      </c>
      <c r="AO22" s="12">
        <f t="shared" si="4"/>
        <v>0</v>
      </c>
      <c r="AP22" s="12">
        <f t="shared" si="4"/>
        <v>0</v>
      </c>
      <c r="AQ22" s="12">
        <f t="shared" si="10"/>
        <v>0</v>
      </c>
      <c r="AR22" s="12">
        <f t="shared" si="10"/>
        <v>0</v>
      </c>
      <c r="AS22" s="12">
        <f t="shared" si="7"/>
        <v>0</v>
      </c>
      <c r="AT22" s="13">
        <f t="shared" si="9"/>
        <v>0</v>
      </c>
    </row>
    <row r="23" spans="1:46" ht="15.6" thickTop="1" thickBot="1">
      <c r="A23" s="34">
        <v>202320004</v>
      </c>
      <c r="B23" s="34" t="s">
        <v>88</v>
      </c>
      <c r="C23" s="11" t="str">
        <f>IFERROR(VLOOKUP($A23&amp;C$3,'Mark Leave'!$A:$E,5,0),"")</f>
        <v/>
      </c>
      <c r="D23" s="11" t="str">
        <f>IFERROR(VLOOKUP($A23&amp;D$3,'Mark Leave'!$A:$E,5,0),"")</f>
        <v/>
      </c>
      <c r="E23" s="11" t="str">
        <f>IFERROR(VLOOKUP($A23&amp;E$3,'Mark Leave'!$A:$E,5,0),"")</f>
        <v/>
      </c>
      <c r="F23" s="11" t="str">
        <f>IFERROR(VLOOKUP($A23&amp;F$3,'Mark Leave'!$A:$E,5,0),"")</f>
        <v/>
      </c>
      <c r="G23" s="11" t="str">
        <f>IFERROR(VLOOKUP($A23&amp;G$3,'Mark Leave'!$A:$E,5,0),"")</f>
        <v/>
      </c>
      <c r="H23" s="11" t="str">
        <f>IFERROR(VLOOKUP($A23&amp;H$3,'Mark Leave'!$A:$E,5,0),"")</f>
        <v/>
      </c>
      <c r="I23" s="11" t="str">
        <f>IFERROR(VLOOKUP($A23&amp;I$3,'Mark Leave'!$A:$E,5,0),"")</f>
        <v/>
      </c>
      <c r="J23" s="11" t="str">
        <f>IFERROR(VLOOKUP($A23&amp;J$3,'Mark Leave'!$A:$E,5,0),"")</f>
        <v/>
      </c>
      <c r="K23" s="11" t="str">
        <f>IFERROR(VLOOKUP($A23&amp;K$3,'Mark Leave'!$A:$E,5,0),"")</f>
        <v/>
      </c>
      <c r="L23" s="11" t="str">
        <f>IFERROR(VLOOKUP($A23&amp;L$3,'Mark Leave'!$A:$E,5,0),"")</f>
        <v/>
      </c>
      <c r="M23" s="11" t="str">
        <f>IFERROR(VLOOKUP($A23&amp;M$3,'Mark Leave'!$A:$E,5,0),"")</f>
        <v/>
      </c>
      <c r="N23" s="11" t="str">
        <f>IFERROR(VLOOKUP($A23&amp;N$3,'Mark Leave'!$A:$E,5,0),"")</f>
        <v/>
      </c>
      <c r="O23" s="11" t="str">
        <f>IFERROR(VLOOKUP($A23&amp;O$3,'Mark Leave'!$A:$E,5,0),"")</f>
        <v/>
      </c>
      <c r="P23" s="11" t="str">
        <f>IFERROR(VLOOKUP($A23&amp;P$3,'Mark Leave'!$A:$E,5,0),"")</f>
        <v/>
      </c>
      <c r="Q23" s="11" t="str">
        <f>IFERROR(VLOOKUP($A23&amp;Q$3,'Mark Leave'!$A:$E,5,0),"")</f>
        <v/>
      </c>
      <c r="R23" s="11" t="str">
        <f>IFERROR(VLOOKUP($A23&amp;R$3,'Mark Leave'!$A:$E,5,0),"")</f>
        <v/>
      </c>
      <c r="S23" s="11" t="str">
        <f>IFERROR(VLOOKUP($A23&amp;S$3,'Mark Leave'!$A:$E,5,0),"")</f>
        <v/>
      </c>
      <c r="T23" s="11" t="str">
        <f>IFERROR(VLOOKUP($A23&amp;T$3,'Mark Leave'!$A:$E,5,0),"")</f>
        <v/>
      </c>
      <c r="U23" s="11" t="str">
        <f>IFERROR(VLOOKUP($A23&amp;U$3,'Mark Leave'!$A:$E,5,0),"")</f>
        <v/>
      </c>
      <c r="V23" s="11" t="str">
        <f>IFERROR(VLOOKUP($A23&amp;V$3,'Mark Leave'!$A:$E,5,0),"")</f>
        <v/>
      </c>
      <c r="W23" s="11" t="str">
        <f>IFERROR(VLOOKUP($A23&amp;W$3,'Mark Leave'!$A:$E,5,0),"")</f>
        <v/>
      </c>
      <c r="X23" s="11" t="str">
        <f>IFERROR(VLOOKUP($A23&amp;X$3,'Mark Leave'!$A:$E,5,0),"")</f>
        <v/>
      </c>
      <c r="Y23" s="11" t="str">
        <f>IFERROR(VLOOKUP($A23&amp;Y$3,'Mark Leave'!$A:$E,5,0),"")</f>
        <v/>
      </c>
      <c r="Z23" s="11" t="str">
        <f>IFERROR(VLOOKUP($A23&amp;Z$3,'Mark Leave'!$A:$E,5,0),"")</f>
        <v/>
      </c>
      <c r="AA23" s="11" t="str">
        <f>IFERROR(VLOOKUP($A23&amp;AA$3,'Mark Leave'!$A:$E,5,0),"")</f>
        <v/>
      </c>
      <c r="AB23" s="11" t="str">
        <f>IFERROR(VLOOKUP($A23&amp;AB$3,'Mark Leave'!$A:$E,5,0),"")</f>
        <v/>
      </c>
      <c r="AC23" s="11" t="str">
        <f>IFERROR(VLOOKUP($A23&amp;AC$3,'Mark Leave'!$A:$E,5,0),"")</f>
        <v/>
      </c>
      <c r="AD23" s="11" t="str">
        <f>IFERROR(VLOOKUP($A23&amp;AD$3,'Mark Leave'!$A:$E,5,0),"")</f>
        <v/>
      </c>
      <c r="AE23" s="11" t="str">
        <f>IFERROR(VLOOKUP($A23&amp;AE$3,'Mark Leave'!$A:$E,5,0),"")</f>
        <v/>
      </c>
      <c r="AF23" s="11" t="str">
        <f>IFERROR(VLOOKUP($A23&amp;AF$3,'Mark Leave'!$A:$E,5,0),"")</f>
        <v/>
      </c>
      <c r="AG23" s="11" t="str">
        <f>IFERROR(VLOOKUP($A23&amp;AG$3,'Mark Leave'!$A:$E,5,0),"")</f>
        <v/>
      </c>
      <c r="AH23" s="12">
        <f t="shared" si="6"/>
        <v>0</v>
      </c>
      <c r="AI23" s="12">
        <f t="shared" si="6"/>
        <v>0</v>
      </c>
      <c r="AJ23" s="12">
        <f t="shared" si="6"/>
        <v>0</v>
      </c>
      <c r="AK23" s="12">
        <f t="shared" si="6"/>
        <v>0</v>
      </c>
      <c r="AL23" s="12">
        <f t="shared" si="6"/>
        <v>0</v>
      </c>
      <c r="AM23" s="12">
        <f t="shared" si="6"/>
        <v>0</v>
      </c>
      <c r="AN23" s="12">
        <f t="shared" si="4"/>
        <v>0</v>
      </c>
      <c r="AO23" s="12">
        <f t="shared" si="4"/>
        <v>0</v>
      </c>
      <c r="AP23" s="12">
        <f t="shared" si="4"/>
        <v>0</v>
      </c>
      <c r="AQ23" s="12">
        <f t="shared" si="10"/>
        <v>0</v>
      </c>
      <c r="AR23" s="12">
        <f t="shared" si="10"/>
        <v>0</v>
      </c>
      <c r="AS23" s="12">
        <f t="shared" si="7"/>
        <v>0</v>
      </c>
      <c r="AT23" s="13">
        <f t="shared" si="9"/>
        <v>0</v>
      </c>
    </row>
    <row r="24" spans="1:46" ht="15.6" thickTop="1" thickBot="1">
      <c r="A24" s="34">
        <v>202318016</v>
      </c>
      <c r="B24" s="34" t="s">
        <v>36</v>
      </c>
      <c r="C24" s="11" t="str">
        <f>IFERROR(VLOOKUP($A24&amp;C$3,'Mark Leave'!$A:$E,5,0),"")</f>
        <v/>
      </c>
      <c r="D24" s="11" t="str">
        <f>IFERROR(VLOOKUP($A24&amp;D$3,'Mark Leave'!$A:$E,5,0),"")</f>
        <v/>
      </c>
      <c r="E24" s="11" t="str">
        <f>IFERROR(VLOOKUP($A24&amp;E$3,'Mark Leave'!$A:$E,5,0),"")</f>
        <v/>
      </c>
      <c r="F24" s="11" t="str">
        <f>IFERROR(VLOOKUP($A24&amp;F$3,'Mark Leave'!$A:$E,5,0),"")</f>
        <v/>
      </c>
      <c r="G24" s="11" t="str">
        <f>IFERROR(VLOOKUP($A24&amp;G$3,'Mark Leave'!$A:$E,5,0),"")</f>
        <v/>
      </c>
      <c r="H24" s="11" t="str">
        <f>IFERROR(VLOOKUP($A24&amp;H$3,'Mark Leave'!$A:$E,5,0),"")</f>
        <v/>
      </c>
      <c r="I24" s="11" t="str">
        <f>IFERROR(VLOOKUP($A24&amp;I$3,'Mark Leave'!$A:$E,5,0),"")</f>
        <v/>
      </c>
      <c r="J24" s="11" t="str">
        <f>IFERROR(VLOOKUP($A24&amp;J$3,'Mark Leave'!$A:$E,5,0),"")</f>
        <v/>
      </c>
      <c r="K24" s="11" t="str">
        <f>IFERROR(VLOOKUP($A24&amp;K$3,'Mark Leave'!$A:$E,5,0),"")</f>
        <v/>
      </c>
      <c r="L24" s="11" t="str">
        <f>IFERROR(VLOOKUP($A24&amp;L$3,'Mark Leave'!$A:$E,5,0),"")</f>
        <v/>
      </c>
      <c r="M24" s="11" t="str">
        <f>IFERROR(VLOOKUP($A24&amp;M$3,'Mark Leave'!$A:$E,5,0),"")</f>
        <v/>
      </c>
      <c r="N24" s="11" t="str">
        <f>IFERROR(VLOOKUP($A24&amp;N$3,'Mark Leave'!$A:$E,5,0),"")</f>
        <v/>
      </c>
      <c r="O24" s="11" t="str">
        <f>IFERROR(VLOOKUP($A24&amp;O$3,'Mark Leave'!$A:$E,5,0),"")</f>
        <v/>
      </c>
      <c r="P24" s="11" t="str">
        <f>IFERROR(VLOOKUP($A24&amp;P$3,'Mark Leave'!$A:$E,5,0),"")</f>
        <v/>
      </c>
      <c r="Q24" s="11" t="str">
        <f>IFERROR(VLOOKUP($A24&amp;Q$3,'Mark Leave'!$A:$E,5,0),"")</f>
        <v/>
      </c>
      <c r="R24" s="11" t="str">
        <f>IFERROR(VLOOKUP($A24&amp;R$3,'Mark Leave'!$A:$E,5,0),"")</f>
        <v/>
      </c>
      <c r="S24" s="11" t="str">
        <f>IFERROR(VLOOKUP($A24&amp;S$3,'Mark Leave'!$A:$E,5,0),"")</f>
        <v/>
      </c>
      <c r="T24" s="11" t="str">
        <f>IFERROR(VLOOKUP($A24&amp;T$3,'Mark Leave'!$A:$E,5,0),"")</f>
        <v/>
      </c>
      <c r="U24" s="11" t="str">
        <f>IFERROR(VLOOKUP($A24&amp;U$3,'Mark Leave'!$A:$E,5,0),"")</f>
        <v/>
      </c>
      <c r="V24" s="11" t="str">
        <f>IFERROR(VLOOKUP($A24&amp;V$3,'Mark Leave'!$A:$E,5,0),"")</f>
        <v/>
      </c>
      <c r="W24" s="11" t="str">
        <f>IFERROR(VLOOKUP($A24&amp;W$3,'Mark Leave'!$A:$E,5,0),"")</f>
        <v/>
      </c>
      <c r="X24" s="11" t="str">
        <f>IFERROR(VLOOKUP($A24&amp;X$3,'Mark Leave'!$A:$E,5,0),"")</f>
        <v/>
      </c>
      <c r="Y24" s="11" t="str">
        <f>IFERROR(VLOOKUP($A24&amp;Y$3,'Mark Leave'!$A:$E,5,0),"")</f>
        <v/>
      </c>
      <c r="Z24" s="11" t="str">
        <f>IFERROR(VLOOKUP($A24&amp;Z$3,'Mark Leave'!$A:$E,5,0),"")</f>
        <v/>
      </c>
      <c r="AA24" s="11" t="str">
        <f>IFERROR(VLOOKUP($A24&amp;AA$3,'Mark Leave'!$A:$E,5,0),"")</f>
        <v/>
      </c>
      <c r="AB24" s="11" t="str">
        <f>IFERROR(VLOOKUP($A24&amp;AB$3,'Mark Leave'!$A:$E,5,0),"")</f>
        <v/>
      </c>
      <c r="AC24" s="11" t="str">
        <f>IFERROR(VLOOKUP($A24&amp;AC$3,'Mark Leave'!$A:$E,5,0),"")</f>
        <v/>
      </c>
      <c r="AD24" s="11" t="str">
        <f>IFERROR(VLOOKUP($A24&amp;AD$3,'Mark Leave'!$A:$E,5,0),"")</f>
        <v/>
      </c>
      <c r="AE24" s="11" t="str">
        <f>IFERROR(VLOOKUP($A24&amp;AE$3,'Mark Leave'!$A:$E,5,0),"")</f>
        <v/>
      </c>
      <c r="AF24" s="11" t="str">
        <f>IFERROR(VLOOKUP($A24&amp;AF$3,'Mark Leave'!$A:$E,5,0),"")</f>
        <v/>
      </c>
      <c r="AG24" s="11" t="str">
        <f>IFERROR(VLOOKUP($A24&amp;AG$3,'Mark Leave'!$A:$E,5,0),"")</f>
        <v/>
      </c>
      <c r="AH24" s="12">
        <f t="shared" si="6"/>
        <v>0</v>
      </c>
      <c r="AI24" s="12">
        <f t="shared" si="6"/>
        <v>0</v>
      </c>
      <c r="AJ24" s="12">
        <f t="shared" si="6"/>
        <v>0</v>
      </c>
      <c r="AK24" s="12">
        <f t="shared" si="6"/>
        <v>0</v>
      </c>
      <c r="AL24" s="12">
        <f t="shared" si="6"/>
        <v>0</v>
      </c>
      <c r="AM24" s="12">
        <f t="shared" si="6"/>
        <v>0</v>
      </c>
      <c r="AN24" s="12">
        <f t="shared" si="4"/>
        <v>0</v>
      </c>
      <c r="AO24" s="12">
        <f t="shared" si="4"/>
        <v>0</v>
      </c>
      <c r="AP24" s="12">
        <f t="shared" si="4"/>
        <v>0</v>
      </c>
      <c r="AQ24" s="12">
        <f t="shared" si="10"/>
        <v>0</v>
      </c>
      <c r="AR24" s="12">
        <f t="shared" si="10"/>
        <v>0</v>
      </c>
      <c r="AS24" s="12">
        <f t="shared" si="7"/>
        <v>0</v>
      </c>
      <c r="AT24" s="13">
        <f t="shared" si="9"/>
        <v>0</v>
      </c>
    </row>
    <row r="25" spans="1:46" ht="15.6" thickTop="1" thickBot="1">
      <c r="A25" s="34">
        <v>202318017</v>
      </c>
      <c r="B25" s="34" t="s">
        <v>37</v>
      </c>
      <c r="C25" s="11" t="str">
        <f>IFERROR(VLOOKUP($A25&amp;C$3,'Mark Leave'!$A:$E,5,0),"")</f>
        <v/>
      </c>
      <c r="D25" s="11" t="str">
        <f>IFERROR(VLOOKUP($A25&amp;D$3,'Mark Leave'!$A:$E,5,0),"")</f>
        <v/>
      </c>
      <c r="E25" s="11" t="str">
        <f>IFERROR(VLOOKUP($A25&amp;E$3,'Mark Leave'!$A:$E,5,0),"")</f>
        <v/>
      </c>
      <c r="F25" s="11" t="str">
        <f>IFERROR(VLOOKUP($A25&amp;F$3,'Mark Leave'!$A:$E,5,0),"")</f>
        <v/>
      </c>
      <c r="G25" s="11" t="str">
        <f>IFERROR(VLOOKUP($A25&amp;G$3,'Mark Leave'!$A:$E,5,0),"")</f>
        <v/>
      </c>
      <c r="H25" s="11" t="str">
        <f>IFERROR(VLOOKUP($A25&amp;H$3,'Mark Leave'!$A:$E,5,0),"")</f>
        <v/>
      </c>
      <c r="I25" s="11" t="str">
        <f>IFERROR(VLOOKUP($A25&amp;I$3,'Mark Leave'!$A:$E,5,0),"")</f>
        <v/>
      </c>
      <c r="J25" s="11" t="str">
        <f>IFERROR(VLOOKUP($A25&amp;J$3,'Mark Leave'!$A:$E,5,0),"")</f>
        <v/>
      </c>
      <c r="K25" s="11" t="str">
        <f>IFERROR(VLOOKUP($A25&amp;K$3,'Mark Leave'!$A:$E,5,0),"")</f>
        <v/>
      </c>
      <c r="L25" s="11" t="str">
        <f>IFERROR(VLOOKUP($A25&amp;L$3,'Mark Leave'!$A:$E,5,0),"")</f>
        <v/>
      </c>
      <c r="M25" s="11" t="str">
        <f>IFERROR(VLOOKUP($A25&amp;M$3,'Mark Leave'!$A:$E,5,0),"")</f>
        <v/>
      </c>
      <c r="N25" s="11" t="str">
        <f>IFERROR(VLOOKUP($A25&amp;N$3,'Mark Leave'!$A:$E,5,0),"")</f>
        <v/>
      </c>
      <c r="O25" s="11" t="str">
        <f>IFERROR(VLOOKUP($A25&amp;O$3,'Mark Leave'!$A:$E,5,0),"")</f>
        <v/>
      </c>
      <c r="P25" s="11" t="str">
        <f>IFERROR(VLOOKUP($A25&amp;P$3,'Mark Leave'!$A:$E,5,0),"")</f>
        <v/>
      </c>
      <c r="Q25" s="11" t="str">
        <f>IFERROR(VLOOKUP($A25&amp;Q$3,'Mark Leave'!$A:$E,5,0),"")</f>
        <v/>
      </c>
      <c r="R25" s="11" t="str">
        <f>IFERROR(VLOOKUP($A25&amp;R$3,'Mark Leave'!$A:$E,5,0),"")</f>
        <v/>
      </c>
      <c r="S25" s="11" t="str">
        <f>IFERROR(VLOOKUP($A25&amp;S$3,'Mark Leave'!$A:$E,5,0),"")</f>
        <v/>
      </c>
      <c r="T25" s="11" t="str">
        <f>IFERROR(VLOOKUP($A25&amp;T$3,'Mark Leave'!$A:$E,5,0),"")</f>
        <v/>
      </c>
      <c r="U25" s="11" t="str">
        <f>IFERROR(VLOOKUP($A25&amp;U$3,'Mark Leave'!$A:$E,5,0),"")</f>
        <v/>
      </c>
      <c r="V25" s="11" t="str">
        <f>IFERROR(VLOOKUP($A25&amp;V$3,'Mark Leave'!$A:$E,5,0),"")</f>
        <v/>
      </c>
      <c r="W25" s="11" t="str">
        <f>IFERROR(VLOOKUP($A25&amp;W$3,'Mark Leave'!$A:$E,5,0),"")</f>
        <v/>
      </c>
      <c r="X25" s="11" t="str">
        <f>IFERROR(VLOOKUP($A25&amp;X$3,'Mark Leave'!$A:$E,5,0),"")</f>
        <v/>
      </c>
      <c r="Y25" s="11" t="str">
        <f>IFERROR(VLOOKUP($A25&amp;Y$3,'Mark Leave'!$A:$E,5,0),"")</f>
        <v/>
      </c>
      <c r="Z25" s="11" t="str">
        <f>IFERROR(VLOOKUP($A25&amp;Z$3,'Mark Leave'!$A:$E,5,0),"")</f>
        <v/>
      </c>
      <c r="AA25" s="11" t="str">
        <f>IFERROR(VLOOKUP($A25&amp;AA$3,'Mark Leave'!$A:$E,5,0),"")</f>
        <v/>
      </c>
      <c r="AB25" s="11" t="str">
        <f>IFERROR(VLOOKUP($A25&amp;AB$3,'Mark Leave'!$A:$E,5,0),"")</f>
        <v/>
      </c>
      <c r="AC25" s="11" t="str">
        <f>IFERROR(VLOOKUP($A25&amp;AC$3,'Mark Leave'!$A:$E,5,0),"")</f>
        <v/>
      </c>
      <c r="AD25" s="11" t="str">
        <f>IFERROR(VLOOKUP($A25&amp;AD$3,'Mark Leave'!$A:$E,5,0),"")</f>
        <v/>
      </c>
      <c r="AE25" s="11" t="str">
        <f>IFERROR(VLOOKUP($A25&amp;AE$3,'Mark Leave'!$A:$E,5,0),"")</f>
        <v/>
      </c>
      <c r="AF25" s="11" t="str">
        <f>IFERROR(VLOOKUP($A25&amp;AF$3,'Mark Leave'!$A:$E,5,0),"")</f>
        <v/>
      </c>
      <c r="AG25" s="11" t="str">
        <f>IFERROR(VLOOKUP($A25&amp;AG$3,'Mark Leave'!$A:$E,5,0),"")</f>
        <v/>
      </c>
      <c r="AH25" s="12">
        <f t="shared" si="6"/>
        <v>0</v>
      </c>
      <c r="AI25" s="12">
        <f t="shared" si="6"/>
        <v>0</v>
      </c>
      <c r="AJ25" s="12">
        <f t="shared" si="6"/>
        <v>0</v>
      </c>
      <c r="AK25" s="12">
        <f t="shared" si="6"/>
        <v>0</v>
      </c>
      <c r="AL25" s="12">
        <f t="shared" si="6"/>
        <v>0</v>
      </c>
      <c r="AM25" s="12">
        <f t="shared" si="6"/>
        <v>0</v>
      </c>
      <c r="AN25" s="12">
        <f t="shared" ref="AN25:AP44" si="11">COUNTIF($C25:$AG25,AN$4)/2</f>
        <v>0</v>
      </c>
      <c r="AO25" s="12">
        <f t="shared" si="11"/>
        <v>0</v>
      </c>
      <c r="AP25" s="12">
        <f t="shared" si="11"/>
        <v>0</v>
      </c>
      <c r="AQ25" s="12">
        <f t="shared" si="10"/>
        <v>0</v>
      </c>
      <c r="AR25" s="12">
        <f t="shared" si="10"/>
        <v>0</v>
      </c>
      <c r="AS25" s="12">
        <f t="shared" si="7"/>
        <v>0</v>
      </c>
      <c r="AT25" s="13">
        <f t="shared" ref="AT25:AT53" si="12">SUM(AH25:AN25)</f>
        <v>0</v>
      </c>
    </row>
    <row r="26" spans="1:46" ht="15.6" thickTop="1" thickBot="1">
      <c r="A26" s="34">
        <v>202320005</v>
      </c>
      <c r="B26" s="34" t="s">
        <v>38</v>
      </c>
      <c r="C26" s="11" t="str">
        <f>IFERROR(VLOOKUP($A26&amp;C$3,'Mark Leave'!$A:$E,5,0),"")</f>
        <v/>
      </c>
      <c r="D26" s="11" t="str">
        <f>IFERROR(VLOOKUP($A26&amp;D$3,'Mark Leave'!$A:$E,5,0),"")</f>
        <v/>
      </c>
      <c r="E26" s="11" t="str">
        <f>IFERROR(VLOOKUP($A26&amp;E$3,'Mark Leave'!$A:$E,5,0),"")</f>
        <v/>
      </c>
      <c r="F26" s="11" t="str">
        <f>IFERROR(VLOOKUP($A26&amp;F$3,'Mark Leave'!$A:$E,5,0),"")</f>
        <v/>
      </c>
      <c r="G26" s="11" t="str">
        <f>IFERROR(VLOOKUP($A26&amp;G$3,'Mark Leave'!$A:$E,5,0),"")</f>
        <v/>
      </c>
      <c r="H26" s="11" t="str">
        <f>IFERROR(VLOOKUP($A26&amp;H$3,'Mark Leave'!$A:$E,5,0),"")</f>
        <v/>
      </c>
      <c r="I26" s="11" t="str">
        <f>IFERROR(VLOOKUP($A26&amp;I$3,'Mark Leave'!$A:$E,5,0),"")</f>
        <v/>
      </c>
      <c r="J26" s="11" t="str">
        <f>IFERROR(VLOOKUP($A26&amp;J$3,'Mark Leave'!$A:$E,5,0),"")</f>
        <v/>
      </c>
      <c r="K26" s="11" t="str">
        <f>IFERROR(VLOOKUP($A26&amp;K$3,'Mark Leave'!$A:$E,5,0),"")</f>
        <v/>
      </c>
      <c r="L26" s="11" t="str">
        <f>IFERROR(VLOOKUP($A26&amp;L$3,'Mark Leave'!$A:$E,5,0),"")</f>
        <v/>
      </c>
      <c r="M26" s="11" t="str">
        <f>IFERROR(VLOOKUP($A26&amp;M$3,'Mark Leave'!$A:$E,5,0),"")</f>
        <v/>
      </c>
      <c r="N26" s="11" t="str">
        <f>IFERROR(VLOOKUP($A26&amp;N$3,'Mark Leave'!$A:$E,5,0),"")</f>
        <v/>
      </c>
      <c r="O26" s="11" t="str">
        <f>IFERROR(VLOOKUP($A26&amp;O$3,'Mark Leave'!$A:$E,5,0),"")</f>
        <v/>
      </c>
      <c r="P26" s="11" t="str">
        <f>IFERROR(VLOOKUP($A26&amp;P$3,'Mark Leave'!$A:$E,5,0),"")</f>
        <v/>
      </c>
      <c r="Q26" s="11" t="str">
        <f>IFERROR(VLOOKUP($A26&amp;Q$3,'Mark Leave'!$A:$E,5,0),"")</f>
        <v/>
      </c>
      <c r="R26" s="11" t="str">
        <f>IFERROR(VLOOKUP($A26&amp;R$3,'Mark Leave'!$A:$E,5,0),"")</f>
        <v/>
      </c>
      <c r="S26" s="11" t="str">
        <f>IFERROR(VLOOKUP($A26&amp;S$3,'Mark Leave'!$A:$E,5,0),"")</f>
        <v/>
      </c>
      <c r="T26" s="11" t="str">
        <f>IFERROR(VLOOKUP($A26&amp;T$3,'Mark Leave'!$A:$E,5,0),"")</f>
        <v/>
      </c>
      <c r="U26" s="11" t="str">
        <f>IFERROR(VLOOKUP($A26&amp;U$3,'Mark Leave'!$A:$E,5,0),"")</f>
        <v/>
      </c>
      <c r="V26" s="11" t="str">
        <f>IFERROR(VLOOKUP($A26&amp;V$3,'Mark Leave'!$A:$E,5,0),"")</f>
        <v/>
      </c>
      <c r="W26" s="11" t="str">
        <f>IFERROR(VLOOKUP($A26&amp;W$3,'Mark Leave'!$A:$E,5,0),"")</f>
        <v/>
      </c>
      <c r="X26" s="11" t="str">
        <f>IFERROR(VLOOKUP($A26&amp;X$3,'Mark Leave'!$A:$E,5,0),"")</f>
        <v/>
      </c>
      <c r="Y26" s="11" t="str">
        <f>IFERROR(VLOOKUP($A26&amp;Y$3,'Mark Leave'!$A:$E,5,0),"")</f>
        <v/>
      </c>
      <c r="Z26" s="11" t="str">
        <f>IFERROR(VLOOKUP($A26&amp;Z$3,'Mark Leave'!$A:$E,5,0),"")</f>
        <v/>
      </c>
      <c r="AA26" s="11" t="str">
        <f>IFERROR(VLOOKUP($A26&amp;AA$3,'Mark Leave'!$A:$E,5,0),"")</f>
        <v/>
      </c>
      <c r="AB26" s="11" t="str">
        <f>IFERROR(VLOOKUP($A26&amp;AB$3,'Mark Leave'!$A:$E,5,0),"")</f>
        <v/>
      </c>
      <c r="AC26" s="11" t="str">
        <f>IFERROR(VLOOKUP($A26&amp;AC$3,'Mark Leave'!$A:$E,5,0),"")</f>
        <v/>
      </c>
      <c r="AD26" s="11" t="str">
        <f>IFERROR(VLOOKUP($A26&amp;AD$3,'Mark Leave'!$A:$E,5,0),"")</f>
        <v/>
      </c>
      <c r="AE26" s="11" t="str">
        <f>IFERROR(VLOOKUP($A26&amp;AE$3,'Mark Leave'!$A:$E,5,0),"")</f>
        <v/>
      </c>
      <c r="AF26" s="11" t="str">
        <f>IFERROR(VLOOKUP($A26&amp;AF$3,'Mark Leave'!$A:$E,5,0),"")</f>
        <v/>
      </c>
      <c r="AG26" s="11" t="str">
        <f>IFERROR(VLOOKUP($A26&amp;AG$3,'Mark Leave'!$A:$E,5,0),"")</f>
        <v/>
      </c>
      <c r="AH26" s="12">
        <f t="shared" ref="AH26:AM35" si="13">COUNTIF($C26:$AG26,AH$4)</f>
        <v>0</v>
      </c>
      <c r="AI26" s="12">
        <f t="shared" si="13"/>
        <v>0</v>
      </c>
      <c r="AJ26" s="12">
        <f t="shared" si="13"/>
        <v>0</v>
      </c>
      <c r="AK26" s="12">
        <f t="shared" si="13"/>
        <v>0</v>
      </c>
      <c r="AL26" s="12">
        <f t="shared" si="13"/>
        <v>0</v>
      </c>
      <c r="AM26" s="12">
        <f t="shared" si="13"/>
        <v>0</v>
      </c>
      <c r="AN26" s="12">
        <f t="shared" si="11"/>
        <v>0</v>
      </c>
      <c r="AO26" s="12">
        <f t="shared" si="11"/>
        <v>0</v>
      </c>
      <c r="AP26" s="12">
        <f t="shared" si="11"/>
        <v>0</v>
      </c>
      <c r="AQ26" s="12">
        <f t="shared" si="10"/>
        <v>0</v>
      </c>
      <c r="AR26" s="12">
        <f t="shared" si="10"/>
        <v>0</v>
      </c>
      <c r="AS26" s="12">
        <f t="shared" si="7"/>
        <v>0</v>
      </c>
      <c r="AT26" s="13">
        <f t="shared" si="12"/>
        <v>0</v>
      </c>
    </row>
    <row r="27" spans="1:46" ht="15.6" thickTop="1" thickBot="1">
      <c r="A27" s="34">
        <v>202320006</v>
      </c>
      <c r="B27" s="34" t="s">
        <v>39</v>
      </c>
      <c r="C27" s="11" t="str">
        <f>IFERROR(VLOOKUP($A27&amp;C$3,'Mark Leave'!$A:$E,5,0),"")</f>
        <v/>
      </c>
      <c r="D27" s="11" t="str">
        <f>IFERROR(VLOOKUP($A27&amp;D$3,'Mark Leave'!$A:$E,5,0),"")</f>
        <v/>
      </c>
      <c r="E27" s="11" t="str">
        <f>IFERROR(VLOOKUP($A27&amp;E$3,'Mark Leave'!$A:$E,5,0),"")</f>
        <v/>
      </c>
      <c r="F27" s="11" t="str">
        <f>IFERROR(VLOOKUP($A27&amp;F$3,'Mark Leave'!$A:$E,5,0),"")</f>
        <v/>
      </c>
      <c r="G27" s="11" t="str">
        <f>IFERROR(VLOOKUP($A27&amp;G$3,'Mark Leave'!$A:$E,5,0),"")</f>
        <v/>
      </c>
      <c r="H27" s="11" t="str">
        <f>IFERROR(VLOOKUP($A27&amp;H$3,'Mark Leave'!$A:$E,5,0),"")</f>
        <v/>
      </c>
      <c r="I27" s="11" t="str">
        <f>IFERROR(VLOOKUP($A27&amp;I$3,'Mark Leave'!$A:$E,5,0),"")</f>
        <v/>
      </c>
      <c r="J27" s="11" t="str">
        <f>IFERROR(VLOOKUP($A27&amp;J$3,'Mark Leave'!$A:$E,5,0),"")</f>
        <v/>
      </c>
      <c r="K27" s="11" t="str">
        <f>IFERROR(VLOOKUP($A27&amp;K$3,'Mark Leave'!$A:$E,5,0),"")</f>
        <v/>
      </c>
      <c r="L27" s="11" t="str">
        <f>IFERROR(VLOOKUP($A27&amp;L$3,'Mark Leave'!$A:$E,5,0),"")</f>
        <v/>
      </c>
      <c r="M27" s="11" t="str">
        <f>IFERROR(VLOOKUP($A27&amp;M$3,'Mark Leave'!$A:$E,5,0),"")</f>
        <v/>
      </c>
      <c r="N27" s="11" t="str">
        <f>IFERROR(VLOOKUP($A27&amp;N$3,'Mark Leave'!$A:$E,5,0),"")</f>
        <v/>
      </c>
      <c r="O27" s="11" t="str">
        <f>IFERROR(VLOOKUP($A27&amp;O$3,'Mark Leave'!$A:$E,5,0),"")</f>
        <v/>
      </c>
      <c r="P27" s="11" t="str">
        <f>IFERROR(VLOOKUP($A27&amp;P$3,'Mark Leave'!$A:$E,5,0),"")</f>
        <v/>
      </c>
      <c r="Q27" s="11" t="str">
        <f>IFERROR(VLOOKUP($A27&amp;Q$3,'Mark Leave'!$A:$E,5,0),"")</f>
        <v/>
      </c>
      <c r="R27" s="11" t="str">
        <f>IFERROR(VLOOKUP($A27&amp;R$3,'Mark Leave'!$A:$E,5,0),"")</f>
        <v/>
      </c>
      <c r="S27" s="11" t="str">
        <f>IFERROR(VLOOKUP($A27&amp;S$3,'Mark Leave'!$A:$E,5,0),"")</f>
        <v/>
      </c>
      <c r="T27" s="11" t="str">
        <f>IFERROR(VLOOKUP($A27&amp;T$3,'Mark Leave'!$A:$E,5,0),"")</f>
        <v/>
      </c>
      <c r="U27" s="11" t="str">
        <f>IFERROR(VLOOKUP($A27&amp;U$3,'Mark Leave'!$A:$E,5,0),"")</f>
        <v/>
      </c>
      <c r="V27" s="11" t="str">
        <f>IFERROR(VLOOKUP($A27&amp;V$3,'Mark Leave'!$A:$E,5,0),"")</f>
        <v/>
      </c>
      <c r="W27" s="11" t="str">
        <f>IFERROR(VLOOKUP($A27&amp;W$3,'Mark Leave'!$A:$E,5,0),"")</f>
        <v/>
      </c>
      <c r="X27" s="11" t="str">
        <f>IFERROR(VLOOKUP($A27&amp;X$3,'Mark Leave'!$A:$E,5,0),"")</f>
        <v/>
      </c>
      <c r="Y27" s="11" t="str">
        <f>IFERROR(VLOOKUP($A27&amp;Y$3,'Mark Leave'!$A:$E,5,0),"")</f>
        <v/>
      </c>
      <c r="Z27" s="11" t="str">
        <f>IFERROR(VLOOKUP($A27&amp;Z$3,'Mark Leave'!$A:$E,5,0),"")</f>
        <v/>
      </c>
      <c r="AA27" s="11" t="str">
        <f>IFERROR(VLOOKUP($A27&amp;AA$3,'Mark Leave'!$A:$E,5,0),"")</f>
        <v/>
      </c>
      <c r="AB27" s="11" t="str">
        <f>IFERROR(VLOOKUP($A27&amp;AB$3,'Mark Leave'!$A:$E,5,0),"")</f>
        <v/>
      </c>
      <c r="AC27" s="11" t="str">
        <f>IFERROR(VLOOKUP($A27&amp;AC$3,'Mark Leave'!$A:$E,5,0),"")</f>
        <v/>
      </c>
      <c r="AD27" s="11" t="str">
        <f>IFERROR(VLOOKUP($A27&amp;AD$3,'Mark Leave'!$A:$E,5,0),"")</f>
        <v/>
      </c>
      <c r="AE27" s="11" t="str">
        <f>IFERROR(VLOOKUP($A27&amp;AE$3,'Mark Leave'!$A:$E,5,0),"")</f>
        <v/>
      </c>
      <c r="AF27" s="11" t="str">
        <f>IFERROR(VLOOKUP($A27&amp;AF$3,'Mark Leave'!$A:$E,5,0),"")</f>
        <v/>
      </c>
      <c r="AG27" s="11" t="str">
        <f>IFERROR(VLOOKUP($A27&amp;AG$3,'Mark Leave'!$A:$E,5,0),"")</f>
        <v/>
      </c>
      <c r="AH27" s="12">
        <f t="shared" si="13"/>
        <v>0</v>
      </c>
      <c r="AI27" s="12">
        <f t="shared" si="13"/>
        <v>0</v>
      </c>
      <c r="AJ27" s="12">
        <f t="shared" si="13"/>
        <v>0</v>
      </c>
      <c r="AK27" s="12">
        <f t="shared" si="13"/>
        <v>0</v>
      </c>
      <c r="AL27" s="12">
        <f t="shared" si="13"/>
        <v>0</v>
      </c>
      <c r="AM27" s="12">
        <f t="shared" si="13"/>
        <v>0</v>
      </c>
      <c r="AN27" s="12">
        <f t="shared" si="11"/>
        <v>0</v>
      </c>
      <c r="AO27" s="12">
        <f t="shared" si="11"/>
        <v>0</v>
      </c>
      <c r="AP27" s="12">
        <f t="shared" si="11"/>
        <v>0</v>
      </c>
      <c r="AQ27" s="12">
        <f t="shared" si="10"/>
        <v>0</v>
      </c>
      <c r="AR27" s="12">
        <f t="shared" si="10"/>
        <v>0</v>
      </c>
      <c r="AS27" s="12">
        <f t="shared" si="7"/>
        <v>0</v>
      </c>
      <c r="AT27" s="13">
        <f>SUM(AH27:AN27)</f>
        <v>0</v>
      </c>
    </row>
    <row r="28" spans="1:46" ht="15.6" thickTop="1" thickBot="1">
      <c r="A28" s="34">
        <v>202318018</v>
      </c>
      <c r="B28" s="34" t="s">
        <v>40</v>
      </c>
      <c r="C28" s="11" t="str">
        <f>IFERROR(VLOOKUP($A28&amp;C$3,'Mark Leave'!$A:$E,5,0),"")</f>
        <v/>
      </c>
      <c r="D28" s="11" t="str">
        <f>IFERROR(VLOOKUP($A28&amp;D$3,'Mark Leave'!$A:$E,5,0),"")</f>
        <v/>
      </c>
      <c r="E28" s="11" t="str">
        <f>IFERROR(VLOOKUP($A28&amp;E$3,'Mark Leave'!$A:$E,5,0),"")</f>
        <v/>
      </c>
      <c r="F28" s="11" t="str">
        <f>IFERROR(VLOOKUP($A28&amp;F$3,'Mark Leave'!$A:$E,5,0),"")</f>
        <v/>
      </c>
      <c r="G28" s="11" t="str">
        <f>IFERROR(VLOOKUP($A28&amp;G$3,'Mark Leave'!$A:$E,5,0),"")</f>
        <v/>
      </c>
      <c r="H28" s="11" t="str">
        <f>IFERROR(VLOOKUP($A28&amp;H$3,'Mark Leave'!$A:$E,5,0),"")</f>
        <v/>
      </c>
      <c r="I28" s="11" t="str">
        <f>IFERROR(VLOOKUP($A28&amp;I$3,'Mark Leave'!$A:$E,5,0),"")</f>
        <v/>
      </c>
      <c r="J28" s="11" t="str">
        <f>IFERROR(VLOOKUP($A28&amp;J$3,'Mark Leave'!$A:$E,5,0),"")</f>
        <v/>
      </c>
      <c r="K28" s="11" t="str">
        <f>IFERROR(VLOOKUP($A28&amp;K$3,'Mark Leave'!$A:$E,5,0),"")</f>
        <v/>
      </c>
      <c r="L28" s="11" t="str">
        <f>IFERROR(VLOOKUP($A28&amp;L$3,'Mark Leave'!$A:$E,5,0),"")</f>
        <v/>
      </c>
      <c r="M28" s="11" t="str">
        <f>IFERROR(VLOOKUP($A28&amp;M$3,'Mark Leave'!$A:$E,5,0),"")</f>
        <v/>
      </c>
      <c r="N28" s="11" t="str">
        <f>IFERROR(VLOOKUP($A28&amp;N$3,'Mark Leave'!$A:$E,5,0),"")</f>
        <v/>
      </c>
      <c r="O28" s="11" t="str">
        <f>IFERROR(VLOOKUP($A28&amp;O$3,'Mark Leave'!$A:$E,5,0),"")</f>
        <v/>
      </c>
      <c r="P28" s="11" t="str">
        <f>IFERROR(VLOOKUP($A28&amp;P$3,'Mark Leave'!$A:$E,5,0),"")</f>
        <v/>
      </c>
      <c r="Q28" s="11" t="str">
        <f>IFERROR(VLOOKUP($A28&amp;Q$3,'Mark Leave'!$A:$E,5,0),"")</f>
        <v/>
      </c>
      <c r="R28" s="11" t="str">
        <f>IFERROR(VLOOKUP($A28&amp;R$3,'Mark Leave'!$A:$E,5,0),"")</f>
        <v/>
      </c>
      <c r="S28" s="11" t="str">
        <f>IFERROR(VLOOKUP($A28&amp;S$3,'Mark Leave'!$A:$E,5,0),"")</f>
        <v/>
      </c>
      <c r="T28" s="11" t="str">
        <f>IFERROR(VLOOKUP($A28&amp;T$3,'Mark Leave'!$A:$E,5,0),"")</f>
        <v/>
      </c>
      <c r="U28" s="11" t="str">
        <f>IFERROR(VLOOKUP($A28&amp;U$3,'Mark Leave'!$A:$E,5,0),"")</f>
        <v/>
      </c>
      <c r="V28" s="11" t="str">
        <f>IFERROR(VLOOKUP($A28&amp;V$3,'Mark Leave'!$A:$E,5,0),"")</f>
        <v/>
      </c>
      <c r="W28" s="11" t="str">
        <f>IFERROR(VLOOKUP($A28&amp;W$3,'Mark Leave'!$A:$E,5,0),"")</f>
        <v/>
      </c>
      <c r="X28" s="11" t="str">
        <f>IFERROR(VLOOKUP($A28&amp;X$3,'Mark Leave'!$A:$E,5,0),"")</f>
        <v/>
      </c>
      <c r="Y28" s="11" t="str">
        <f>IFERROR(VLOOKUP($A28&amp;Y$3,'Mark Leave'!$A:$E,5,0),"")</f>
        <v/>
      </c>
      <c r="Z28" s="11" t="str">
        <f>IFERROR(VLOOKUP($A28&amp;Z$3,'Mark Leave'!$A:$E,5,0),"")</f>
        <v/>
      </c>
      <c r="AA28" s="11" t="str">
        <f>IFERROR(VLOOKUP($A28&amp;AA$3,'Mark Leave'!$A:$E,5,0),"")</f>
        <v/>
      </c>
      <c r="AB28" s="11" t="str">
        <f>IFERROR(VLOOKUP($A28&amp;AB$3,'Mark Leave'!$A:$E,5,0),"")</f>
        <v/>
      </c>
      <c r="AC28" s="11" t="str">
        <f>IFERROR(VLOOKUP($A28&amp;AC$3,'Mark Leave'!$A:$E,5,0),"")</f>
        <v/>
      </c>
      <c r="AD28" s="11" t="str">
        <f>IFERROR(VLOOKUP($A28&amp;AD$3,'Mark Leave'!$A:$E,5,0),"")</f>
        <v/>
      </c>
      <c r="AE28" s="11" t="str">
        <f>IFERROR(VLOOKUP($A28&amp;AE$3,'Mark Leave'!$A:$E,5,0),"")</f>
        <v/>
      </c>
      <c r="AF28" s="11" t="str">
        <f>IFERROR(VLOOKUP($A28&amp;AF$3,'Mark Leave'!$A:$E,5,0),"")</f>
        <v/>
      </c>
      <c r="AG28" s="11" t="str">
        <f>IFERROR(VLOOKUP($A28&amp;AG$3,'Mark Leave'!$A:$E,5,0),"")</f>
        <v/>
      </c>
      <c r="AH28" s="12">
        <f t="shared" si="13"/>
        <v>0</v>
      </c>
      <c r="AI28" s="12">
        <f t="shared" si="13"/>
        <v>0</v>
      </c>
      <c r="AJ28" s="12">
        <f t="shared" si="13"/>
        <v>0</v>
      </c>
      <c r="AK28" s="12">
        <f t="shared" si="13"/>
        <v>0</v>
      </c>
      <c r="AL28" s="12">
        <f t="shared" si="13"/>
        <v>0</v>
      </c>
      <c r="AM28" s="12">
        <f t="shared" si="13"/>
        <v>0</v>
      </c>
      <c r="AN28" s="12">
        <f t="shared" si="11"/>
        <v>0</v>
      </c>
      <c r="AO28" s="12">
        <f t="shared" si="11"/>
        <v>0</v>
      </c>
      <c r="AP28" s="12">
        <f t="shared" si="11"/>
        <v>0</v>
      </c>
      <c r="AQ28" s="12">
        <f t="shared" si="10"/>
        <v>0</v>
      </c>
      <c r="AR28" s="12">
        <f t="shared" si="10"/>
        <v>0</v>
      </c>
      <c r="AS28" s="12">
        <f t="shared" si="7"/>
        <v>0</v>
      </c>
      <c r="AT28" s="13">
        <f>SUM(AH28:AN28)</f>
        <v>0</v>
      </c>
    </row>
    <row r="29" spans="1:46" ht="15.6" thickTop="1" thickBot="1">
      <c r="A29" s="34">
        <v>202318019</v>
      </c>
      <c r="B29" s="34" t="s">
        <v>89</v>
      </c>
      <c r="C29" s="11" t="str">
        <f>IFERROR(VLOOKUP($A29&amp;C$3,'Mark Leave'!$A:$E,5,0),"")</f>
        <v/>
      </c>
      <c r="D29" s="11" t="str">
        <f>IFERROR(VLOOKUP($A29&amp;D$3,'Mark Leave'!$A:$E,5,0),"")</f>
        <v/>
      </c>
      <c r="E29" s="11" t="str">
        <f>IFERROR(VLOOKUP($A29&amp;E$3,'Mark Leave'!$A:$E,5,0),"")</f>
        <v/>
      </c>
      <c r="F29" s="11" t="str">
        <f>IFERROR(VLOOKUP($A29&amp;F$3,'Mark Leave'!$A:$E,5,0),"")</f>
        <v/>
      </c>
      <c r="G29" s="11" t="str">
        <f>IFERROR(VLOOKUP($A29&amp;G$3,'Mark Leave'!$A:$E,5,0),"")</f>
        <v/>
      </c>
      <c r="H29" s="11" t="str">
        <f>IFERROR(VLOOKUP($A29&amp;H$3,'Mark Leave'!$A:$E,5,0),"")</f>
        <v/>
      </c>
      <c r="I29" s="11" t="str">
        <f>IFERROR(VLOOKUP($A29&amp;I$3,'Mark Leave'!$A:$E,5,0),"")</f>
        <v/>
      </c>
      <c r="J29" s="11" t="str">
        <f>IFERROR(VLOOKUP($A29&amp;J$3,'Mark Leave'!$A:$E,5,0),"")</f>
        <v/>
      </c>
      <c r="K29" s="11" t="str">
        <f>IFERROR(VLOOKUP($A29&amp;K$3,'Mark Leave'!$A:$E,5,0),"")</f>
        <v/>
      </c>
      <c r="L29" s="11" t="str">
        <f>IFERROR(VLOOKUP($A29&amp;L$3,'Mark Leave'!$A:$E,5,0),"")</f>
        <v/>
      </c>
      <c r="M29" s="11" t="str">
        <f>IFERROR(VLOOKUP($A29&amp;M$3,'Mark Leave'!$A:$E,5,0),"")</f>
        <v/>
      </c>
      <c r="N29" s="11" t="str">
        <f>IFERROR(VLOOKUP($A29&amp;N$3,'Mark Leave'!$A:$E,5,0),"")</f>
        <v/>
      </c>
      <c r="O29" s="11" t="str">
        <f>IFERROR(VLOOKUP($A29&amp;O$3,'Mark Leave'!$A:$E,5,0),"")</f>
        <v/>
      </c>
      <c r="P29" s="11" t="str">
        <f>IFERROR(VLOOKUP($A29&amp;P$3,'Mark Leave'!$A:$E,5,0),"")</f>
        <v/>
      </c>
      <c r="Q29" s="11" t="str">
        <f>IFERROR(VLOOKUP($A29&amp;Q$3,'Mark Leave'!$A:$E,5,0),"")</f>
        <v/>
      </c>
      <c r="R29" s="11" t="str">
        <f>IFERROR(VLOOKUP($A29&amp;R$3,'Mark Leave'!$A:$E,5,0),"")</f>
        <v/>
      </c>
      <c r="S29" s="11" t="str">
        <f>IFERROR(VLOOKUP($A29&amp;S$3,'Mark Leave'!$A:$E,5,0),"")</f>
        <v/>
      </c>
      <c r="T29" s="11" t="str">
        <f>IFERROR(VLOOKUP($A29&amp;T$3,'Mark Leave'!$A:$E,5,0),"")</f>
        <v/>
      </c>
      <c r="U29" s="11" t="str">
        <f>IFERROR(VLOOKUP($A29&amp;U$3,'Mark Leave'!$A:$E,5,0),"")</f>
        <v/>
      </c>
      <c r="V29" s="11" t="str">
        <f>IFERROR(VLOOKUP($A29&amp;V$3,'Mark Leave'!$A:$E,5,0),"")</f>
        <v/>
      </c>
      <c r="W29" s="11" t="str">
        <f>IFERROR(VLOOKUP($A29&amp;W$3,'Mark Leave'!$A:$E,5,0),"")</f>
        <v/>
      </c>
      <c r="X29" s="11" t="str">
        <f>IFERROR(VLOOKUP($A29&amp;X$3,'Mark Leave'!$A:$E,5,0),"")</f>
        <v/>
      </c>
      <c r="Y29" s="11" t="str">
        <f>IFERROR(VLOOKUP($A29&amp;Y$3,'Mark Leave'!$A:$E,5,0),"")</f>
        <v/>
      </c>
      <c r="Z29" s="11" t="str">
        <f>IFERROR(VLOOKUP($A29&amp;Z$3,'Mark Leave'!$A:$E,5,0),"")</f>
        <v/>
      </c>
      <c r="AA29" s="11" t="str">
        <f>IFERROR(VLOOKUP($A29&amp;AA$3,'Mark Leave'!$A:$E,5,0),"")</f>
        <v/>
      </c>
      <c r="AB29" s="11" t="str">
        <f>IFERROR(VLOOKUP($A29&amp;AB$3,'Mark Leave'!$A:$E,5,0),"")</f>
        <v/>
      </c>
      <c r="AC29" s="11" t="str">
        <f>IFERROR(VLOOKUP($A29&amp;AC$3,'Mark Leave'!$A:$E,5,0),"")</f>
        <v/>
      </c>
      <c r="AD29" s="11" t="str">
        <f>IFERROR(VLOOKUP($A29&amp;AD$3,'Mark Leave'!$A:$E,5,0),"")</f>
        <v/>
      </c>
      <c r="AE29" s="11" t="str">
        <f>IFERROR(VLOOKUP($A29&amp;AE$3,'Mark Leave'!$A:$E,5,0),"")</f>
        <v/>
      </c>
      <c r="AF29" s="11" t="str">
        <f>IFERROR(VLOOKUP($A29&amp;AF$3,'Mark Leave'!$A:$E,5,0),"")</f>
        <v/>
      </c>
      <c r="AG29" s="11" t="str">
        <f>IFERROR(VLOOKUP($A29&amp;AG$3,'Mark Leave'!$A:$E,5,0),"")</f>
        <v/>
      </c>
      <c r="AH29" s="12">
        <f t="shared" si="13"/>
        <v>0</v>
      </c>
      <c r="AI29" s="12">
        <f t="shared" si="13"/>
        <v>0</v>
      </c>
      <c r="AJ29" s="12">
        <f t="shared" si="13"/>
        <v>0</v>
      </c>
      <c r="AK29" s="12">
        <f t="shared" si="13"/>
        <v>0</v>
      </c>
      <c r="AL29" s="12">
        <f t="shared" si="13"/>
        <v>0</v>
      </c>
      <c r="AM29" s="12">
        <f t="shared" si="13"/>
        <v>0</v>
      </c>
      <c r="AN29" s="12">
        <f t="shared" si="11"/>
        <v>0</v>
      </c>
      <c r="AO29" s="12">
        <f t="shared" si="11"/>
        <v>0</v>
      </c>
      <c r="AP29" s="12">
        <f t="shared" si="11"/>
        <v>0</v>
      </c>
      <c r="AQ29" s="12">
        <f t="shared" si="10"/>
        <v>0</v>
      </c>
      <c r="AR29" s="12">
        <f t="shared" si="10"/>
        <v>0</v>
      </c>
      <c r="AS29" s="12">
        <f t="shared" si="7"/>
        <v>0</v>
      </c>
      <c r="AT29" s="13">
        <f>SUM(AH29:AN29)</f>
        <v>0</v>
      </c>
    </row>
    <row r="30" spans="1:46" ht="15.6" thickTop="1" thickBot="1">
      <c r="A30" s="34">
        <v>202320007</v>
      </c>
      <c r="B30" s="34" t="s">
        <v>90</v>
      </c>
      <c r="C30" s="11" t="str">
        <f>IFERROR(VLOOKUP($A30&amp;C$3,'Mark Leave'!$A:$E,5,0),"")</f>
        <v/>
      </c>
      <c r="D30" s="11" t="str">
        <f>IFERROR(VLOOKUP($A30&amp;D$3,'Mark Leave'!$A:$E,5,0),"")</f>
        <v/>
      </c>
      <c r="E30" s="11" t="str">
        <f>IFERROR(VLOOKUP($A30&amp;E$3,'Mark Leave'!$A:$E,5,0),"")</f>
        <v/>
      </c>
      <c r="F30" s="11" t="str">
        <f>IFERROR(VLOOKUP($A30&amp;F$3,'Mark Leave'!$A:$E,5,0),"")</f>
        <v/>
      </c>
      <c r="G30" s="11" t="str">
        <f>IFERROR(VLOOKUP($A30&amp;G$3,'Mark Leave'!$A:$E,5,0),"")</f>
        <v/>
      </c>
      <c r="H30" s="11" t="str">
        <f>IFERROR(VLOOKUP($A30&amp;H$3,'Mark Leave'!$A:$E,5,0),"")</f>
        <v/>
      </c>
      <c r="I30" s="11" t="str">
        <f>IFERROR(VLOOKUP($A30&amp;I$3,'Mark Leave'!$A:$E,5,0),"")</f>
        <v/>
      </c>
      <c r="J30" s="11" t="str">
        <f>IFERROR(VLOOKUP($A30&amp;J$3,'Mark Leave'!$A:$E,5,0),"")</f>
        <v/>
      </c>
      <c r="K30" s="11" t="str">
        <f>IFERROR(VLOOKUP($A30&amp;K$3,'Mark Leave'!$A:$E,5,0),"")</f>
        <v/>
      </c>
      <c r="L30" s="11" t="str">
        <f>IFERROR(VLOOKUP($A30&amp;L$3,'Mark Leave'!$A:$E,5,0),"")</f>
        <v/>
      </c>
      <c r="M30" s="11" t="str">
        <f>IFERROR(VLOOKUP($A30&amp;M$3,'Mark Leave'!$A:$E,5,0),"")</f>
        <v/>
      </c>
      <c r="N30" s="11" t="str">
        <f>IFERROR(VLOOKUP($A30&amp;N$3,'Mark Leave'!$A:$E,5,0),"")</f>
        <v/>
      </c>
      <c r="O30" s="11" t="str">
        <f>IFERROR(VLOOKUP($A30&amp;O$3,'Mark Leave'!$A:$E,5,0),"")</f>
        <v/>
      </c>
      <c r="P30" s="11" t="str">
        <f>IFERROR(VLOOKUP($A30&amp;P$3,'Mark Leave'!$A:$E,5,0),"")</f>
        <v/>
      </c>
      <c r="Q30" s="11" t="str">
        <f>IFERROR(VLOOKUP($A30&amp;Q$3,'Mark Leave'!$A:$E,5,0),"")</f>
        <v/>
      </c>
      <c r="R30" s="11" t="str">
        <f>IFERROR(VLOOKUP($A30&amp;R$3,'Mark Leave'!$A:$E,5,0),"")</f>
        <v/>
      </c>
      <c r="S30" s="11" t="str">
        <f>IFERROR(VLOOKUP($A30&amp;S$3,'Mark Leave'!$A:$E,5,0),"")</f>
        <v/>
      </c>
      <c r="T30" s="11" t="str">
        <f>IFERROR(VLOOKUP($A30&amp;T$3,'Mark Leave'!$A:$E,5,0),"")</f>
        <v/>
      </c>
      <c r="U30" s="11" t="str">
        <f>IFERROR(VLOOKUP($A30&amp;U$3,'Mark Leave'!$A:$E,5,0),"")</f>
        <v/>
      </c>
      <c r="V30" s="11" t="str">
        <f>IFERROR(VLOOKUP($A30&amp;V$3,'Mark Leave'!$A:$E,5,0),"")</f>
        <v/>
      </c>
      <c r="W30" s="11" t="str">
        <f>IFERROR(VLOOKUP($A30&amp;W$3,'Mark Leave'!$A:$E,5,0),"")</f>
        <v/>
      </c>
      <c r="X30" s="11" t="str">
        <f>IFERROR(VLOOKUP($A30&amp;X$3,'Mark Leave'!$A:$E,5,0),"")</f>
        <v/>
      </c>
      <c r="Y30" s="11" t="str">
        <f>IFERROR(VLOOKUP($A30&amp;Y$3,'Mark Leave'!$A:$E,5,0),"")</f>
        <v/>
      </c>
      <c r="Z30" s="11" t="str">
        <f>IFERROR(VLOOKUP($A30&amp;Z$3,'Mark Leave'!$A:$E,5,0),"")</f>
        <v/>
      </c>
      <c r="AA30" s="11" t="str">
        <f>IFERROR(VLOOKUP($A30&amp;AA$3,'Mark Leave'!$A:$E,5,0),"")</f>
        <v/>
      </c>
      <c r="AB30" s="11" t="str">
        <f>IFERROR(VLOOKUP($A30&amp;AB$3,'Mark Leave'!$A:$E,5,0),"")</f>
        <v/>
      </c>
      <c r="AC30" s="11" t="str">
        <f>IFERROR(VLOOKUP($A30&amp;AC$3,'Mark Leave'!$A:$E,5,0),"")</f>
        <v/>
      </c>
      <c r="AD30" s="11" t="str">
        <f>IFERROR(VLOOKUP($A30&amp;AD$3,'Mark Leave'!$A:$E,5,0),"")</f>
        <v/>
      </c>
      <c r="AE30" s="11" t="str">
        <f>IFERROR(VLOOKUP($A30&amp;AE$3,'Mark Leave'!$A:$E,5,0),"")</f>
        <v/>
      </c>
      <c r="AF30" s="11" t="str">
        <f>IFERROR(VLOOKUP($A30&amp;AF$3,'Mark Leave'!$A:$E,5,0),"")</f>
        <v/>
      </c>
      <c r="AG30" s="11" t="str">
        <f>IFERROR(VLOOKUP($A30&amp;AG$3,'Mark Leave'!$A:$E,5,0),"")</f>
        <v/>
      </c>
      <c r="AH30" s="12">
        <f t="shared" si="13"/>
        <v>0</v>
      </c>
      <c r="AI30" s="12">
        <f t="shared" si="13"/>
        <v>0</v>
      </c>
      <c r="AJ30" s="12">
        <f t="shared" si="13"/>
        <v>0</v>
      </c>
      <c r="AK30" s="12">
        <f t="shared" si="13"/>
        <v>0</v>
      </c>
      <c r="AL30" s="12">
        <f t="shared" si="13"/>
        <v>0</v>
      </c>
      <c r="AM30" s="12">
        <f t="shared" si="13"/>
        <v>0</v>
      </c>
      <c r="AN30" s="12">
        <f t="shared" si="11"/>
        <v>0</v>
      </c>
      <c r="AO30" s="12">
        <f t="shared" si="11"/>
        <v>0</v>
      </c>
      <c r="AP30" s="12">
        <f t="shared" si="11"/>
        <v>0</v>
      </c>
      <c r="AQ30" s="12">
        <f t="shared" si="10"/>
        <v>0</v>
      </c>
      <c r="AR30" s="12">
        <f t="shared" si="10"/>
        <v>0</v>
      </c>
      <c r="AS30" s="12">
        <f t="shared" si="7"/>
        <v>0</v>
      </c>
      <c r="AT30" s="13">
        <f>SUM(AH30:AN30)</f>
        <v>0</v>
      </c>
    </row>
    <row r="31" spans="1:46" ht="15.6" thickTop="1" thickBot="1">
      <c r="A31" s="34">
        <v>202318020</v>
      </c>
      <c r="B31" s="34" t="s">
        <v>43</v>
      </c>
      <c r="C31" s="11" t="str">
        <f>IFERROR(VLOOKUP($A31&amp;C$3,'Mark Leave'!$A:$E,5,0),"")</f>
        <v/>
      </c>
      <c r="D31" s="11" t="str">
        <f>IFERROR(VLOOKUP($A31&amp;D$3,'Mark Leave'!$A:$E,5,0),"")</f>
        <v/>
      </c>
      <c r="E31" s="11" t="str">
        <f>IFERROR(VLOOKUP($A31&amp;E$3,'Mark Leave'!$A:$E,5,0),"")</f>
        <v/>
      </c>
      <c r="F31" s="11" t="str">
        <f>IFERROR(VLOOKUP($A31&amp;F$3,'Mark Leave'!$A:$E,5,0),"")</f>
        <v/>
      </c>
      <c r="G31" s="11" t="str">
        <f>IFERROR(VLOOKUP($A31&amp;G$3,'Mark Leave'!$A:$E,5,0),"")</f>
        <v/>
      </c>
      <c r="H31" s="11" t="str">
        <f>IFERROR(VLOOKUP($A31&amp;H$3,'Mark Leave'!$A:$E,5,0),"")</f>
        <v/>
      </c>
      <c r="I31" s="11" t="str">
        <f>IFERROR(VLOOKUP($A31&amp;I$3,'Mark Leave'!$A:$E,5,0),"")</f>
        <v/>
      </c>
      <c r="J31" s="11" t="str">
        <f>IFERROR(VLOOKUP($A31&amp;J$3,'Mark Leave'!$A:$E,5,0),"")</f>
        <v/>
      </c>
      <c r="K31" s="11" t="str">
        <f>IFERROR(VLOOKUP($A31&amp;K$3,'Mark Leave'!$A:$E,5,0),"")</f>
        <v/>
      </c>
      <c r="L31" s="11" t="str">
        <f>IFERROR(VLOOKUP($A31&amp;L$3,'Mark Leave'!$A:$E,5,0),"")</f>
        <v/>
      </c>
      <c r="M31" s="11" t="str">
        <f>IFERROR(VLOOKUP($A31&amp;M$3,'Mark Leave'!$A:$E,5,0),"")</f>
        <v/>
      </c>
      <c r="N31" s="11" t="str">
        <f>IFERROR(VLOOKUP($A31&amp;N$3,'Mark Leave'!$A:$E,5,0),"")</f>
        <v/>
      </c>
      <c r="O31" s="11" t="str">
        <f>IFERROR(VLOOKUP($A31&amp;O$3,'Mark Leave'!$A:$E,5,0),"")</f>
        <v/>
      </c>
      <c r="P31" s="11" t="str">
        <f>IFERROR(VLOOKUP($A31&amp;P$3,'Mark Leave'!$A:$E,5,0),"")</f>
        <v/>
      </c>
      <c r="Q31" s="11" t="str">
        <f>IFERROR(VLOOKUP($A31&amp;Q$3,'Mark Leave'!$A:$E,5,0),"")</f>
        <v/>
      </c>
      <c r="R31" s="11" t="str">
        <f>IFERROR(VLOOKUP($A31&amp;R$3,'Mark Leave'!$A:$E,5,0),"")</f>
        <v/>
      </c>
      <c r="S31" s="11" t="str">
        <f>IFERROR(VLOOKUP($A31&amp;S$3,'Mark Leave'!$A:$E,5,0),"")</f>
        <v/>
      </c>
      <c r="T31" s="11" t="str">
        <f>IFERROR(VLOOKUP($A31&amp;T$3,'Mark Leave'!$A:$E,5,0),"")</f>
        <v/>
      </c>
      <c r="U31" s="11" t="str">
        <f>IFERROR(VLOOKUP($A31&amp;U$3,'Mark Leave'!$A:$E,5,0),"")</f>
        <v/>
      </c>
      <c r="V31" s="11" t="str">
        <f>IFERROR(VLOOKUP($A31&amp;V$3,'Mark Leave'!$A:$E,5,0),"")</f>
        <v/>
      </c>
      <c r="W31" s="11" t="str">
        <f>IFERROR(VLOOKUP($A31&amp;W$3,'Mark Leave'!$A:$E,5,0),"")</f>
        <v/>
      </c>
      <c r="X31" s="11" t="str">
        <f>IFERROR(VLOOKUP($A31&amp;X$3,'Mark Leave'!$A:$E,5,0),"")</f>
        <v/>
      </c>
      <c r="Y31" s="11" t="str">
        <f>IFERROR(VLOOKUP($A31&amp;Y$3,'Mark Leave'!$A:$E,5,0),"")</f>
        <v/>
      </c>
      <c r="Z31" s="11" t="str">
        <f>IFERROR(VLOOKUP($A31&amp;Z$3,'Mark Leave'!$A:$E,5,0),"")</f>
        <v/>
      </c>
      <c r="AA31" s="11" t="str">
        <f>IFERROR(VLOOKUP($A31&amp;AA$3,'Mark Leave'!$A:$E,5,0),"")</f>
        <v/>
      </c>
      <c r="AB31" s="11" t="str">
        <f>IFERROR(VLOOKUP($A31&amp;AB$3,'Mark Leave'!$A:$E,5,0),"")</f>
        <v/>
      </c>
      <c r="AC31" s="11" t="str">
        <f>IFERROR(VLOOKUP($A31&amp;AC$3,'Mark Leave'!$A:$E,5,0),"")</f>
        <v/>
      </c>
      <c r="AD31" s="11" t="str">
        <f>IFERROR(VLOOKUP($A31&amp;AD$3,'Mark Leave'!$A:$E,5,0),"")</f>
        <v/>
      </c>
      <c r="AE31" s="11" t="str">
        <f>IFERROR(VLOOKUP($A31&amp;AE$3,'Mark Leave'!$A:$E,5,0),"")</f>
        <v/>
      </c>
      <c r="AF31" s="11" t="str">
        <f>IFERROR(VLOOKUP($A31&amp;AF$3,'Mark Leave'!$A:$E,5,0),"")</f>
        <v/>
      </c>
      <c r="AG31" s="11" t="str">
        <f>IFERROR(VLOOKUP($A31&amp;AG$3,'Mark Leave'!$A:$E,5,0),"")</f>
        <v/>
      </c>
      <c r="AH31" s="12">
        <f t="shared" si="13"/>
        <v>0</v>
      </c>
      <c r="AI31" s="12">
        <f t="shared" si="13"/>
        <v>0</v>
      </c>
      <c r="AJ31" s="12">
        <f t="shared" si="13"/>
        <v>0</v>
      </c>
      <c r="AK31" s="12">
        <f t="shared" si="13"/>
        <v>0</v>
      </c>
      <c r="AL31" s="12">
        <f t="shared" si="13"/>
        <v>0</v>
      </c>
      <c r="AM31" s="12">
        <f t="shared" si="13"/>
        <v>0</v>
      </c>
      <c r="AN31" s="12">
        <f t="shared" si="11"/>
        <v>0</v>
      </c>
      <c r="AO31" s="12">
        <f t="shared" si="11"/>
        <v>0</v>
      </c>
      <c r="AP31" s="12">
        <f t="shared" si="11"/>
        <v>0</v>
      </c>
      <c r="AQ31" s="12">
        <f t="shared" si="10"/>
        <v>0</v>
      </c>
      <c r="AR31" s="12">
        <f t="shared" si="10"/>
        <v>0</v>
      </c>
      <c r="AS31" s="12">
        <f t="shared" si="7"/>
        <v>0</v>
      </c>
      <c r="AT31" s="13">
        <f>SUM(AH31:AN31)</f>
        <v>0</v>
      </c>
    </row>
    <row r="32" spans="1:46" ht="15.6" thickTop="1" thickBot="1">
      <c r="A32" s="34">
        <v>202318021</v>
      </c>
      <c r="B32" s="34" t="s">
        <v>91</v>
      </c>
      <c r="C32" s="11" t="str">
        <f>IFERROR(VLOOKUP($A32&amp;C$3,'Mark Leave'!$A:$E,5,0),"")</f>
        <v/>
      </c>
      <c r="D32" s="11" t="str">
        <f>IFERROR(VLOOKUP($A32&amp;D$3,'Mark Leave'!$A:$E,5,0),"")</f>
        <v/>
      </c>
      <c r="E32" s="11" t="str">
        <f>IFERROR(VLOOKUP($A32&amp;E$3,'Mark Leave'!$A:$E,5,0),"")</f>
        <v/>
      </c>
      <c r="F32" s="11" t="str">
        <f>IFERROR(VLOOKUP($A32&amp;F$3,'Mark Leave'!$A:$E,5,0),"")</f>
        <v/>
      </c>
      <c r="G32" s="11" t="str">
        <f>IFERROR(VLOOKUP($A32&amp;G$3,'Mark Leave'!$A:$E,5,0),"")</f>
        <v/>
      </c>
      <c r="H32" s="11" t="str">
        <f>IFERROR(VLOOKUP($A32&amp;H$3,'Mark Leave'!$A:$E,5,0),"")</f>
        <v/>
      </c>
      <c r="I32" s="11" t="str">
        <f>IFERROR(VLOOKUP($A32&amp;I$3,'Mark Leave'!$A:$E,5,0),"")</f>
        <v/>
      </c>
      <c r="J32" s="11" t="str">
        <f>IFERROR(VLOOKUP($A32&amp;J$3,'Mark Leave'!$A:$E,5,0),"")</f>
        <v/>
      </c>
      <c r="K32" s="11" t="str">
        <f>IFERROR(VLOOKUP($A32&amp;K$3,'Mark Leave'!$A:$E,5,0),"")</f>
        <v/>
      </c>
      <c r="L32" s="11" t="str">
        <f>IFERROR(VLOOKUP($A32&amp;L$3,'Mark Leave'!$A:$E,5,0),"")</f>
        <v/>
      </c>
      <c r="M32" s="11" t="str">
        <f>IFERROR(VLOOKUP($A32&amp;M$3,'Mark Leave'!$A:$E,5,0),"")</f>
        <v/>
      </c>
      <c r="N32" s="11" t="str">
        <f>IFERROR(VLOOKUP($A32&amp;N$3,'Mark Leave'!$A:$E,5,0),"")</f>
        <v/>
      </c>
      <c r="O32" s="11" t="str">
        <f>IFERROR(VLOOKUP($A32&amp;O$3,'Mark Leave'!$A:$E,5,0),"")</f>
        <v/>
      </c>
      <c r="P32" s="11" t="str">
        <f>IFERROR(VLOOKUP($A32&amp;P$3,'Mark Leave'!$A:$E,5,0),"")</f>
        <v/>
      </c>
      <c r="Q32" s="11" t="str">
        <f>IFERROR(VLOOKUP($A32&amp;Q$3,'Mark Leave'!$A:$E,5,0),"")</f>
        <v/>
      </c>
      <c r="R32" s="11" t="str">
        <f>IFERROR(VLOOKUP($A32&amp;R$3,'Mark Leave'!$A:$E,5,0),"")</f>
        <v/>
      </c>
      <c r="S32" s="11" t="str">
        <f>IFERROR(VLOOKUP($A32&amp;S$3,'Mark Leave'!$A:$E,5,0),"")</f>
        <v/>
      </c>
      <c r="T32" s="11" t="str">
        <f>IFERROR(VLOOKUP($A32&amp;T$3,'Mark Leave'!$A:$E,5,0),"")</f>
        <v/>
      </c>
      <c r="U32" s="11" t="str">
        <f>IFERROR(VLOOKUP($A32&amp;U$3,'Mark Leave'!$A:$E,5,0),"")</f>
        <v/>
      </c>
      <c r="V32" s="11" t="str">
        <f>IFERROR(VLOOKUP($A32&amp;V$3,'Mark Leave'!$A:$E,5,0),"")</f>
        <v/>
      </c>
      <c r="W32" s="11" t="str">
        <f>IFERROR(VLOOKUP($A32&amp;W$3,'Mark Leave'!$A:$E,5,0),"")</f>
        <v/>
      </c>
      <c r="X32" s="11" t="str">
        <f>IFERROR(VLOOKUP($A32&amp;X$3,'Mark Leave'!$A:$E,5,0),"")</f>
        <v/>
      </c>
      <c r="Y32" s="11" t="str">
        <f>IFERROR(VLOOKUP($A32&amp;Y$3,'Mark Leave'!$A:$E,5,0),"")</f>
        <v/>
      </c>
      <c r="Z32" s="11" t="str">
        <f>IFERROR(VLOOKUP($A32&amp;Z$3,'Mark Leave'!$A:$E,5,0),"")</f>
        <v/>
      </c>
      <c r="AA32" s="11" t="str">
        <f>IFERROR(VLOOKUP($A32&amp;AA$3,'Mark Leave'!$A:$E,5,0),"")</f>
        <v/>
      </c>
      <c r="AB32" s="11" t="str">
        <f>IFERROR(VLOOKUP($A32&amp;AB$3,'Mark Leave'!$A:$E,5,0),"")</f>
        <v/>
      </c>
      <c r="AC32" s="11" t="str">
        <f>IFERROR(VLOOKUP($A32&amp;AC$3,'Mark Leave'!$A:$E,5,0),"")</f>
        <v/>
      </c>
      <c r="AD32" s="11" t="str">
        <f>IFERROR(VLOOKUP($A32&amp;AD$3,'Mark Leave'!$A:$E,5,0),"")</f>
        <v/>
      </c>
      <c r="AE32" s="11" t="str">
        <f>IFERROR(VLOOKUP($A32&amp;AE$3,'Mark Leave'!$A:$E,5,0),"")</f>
        <v/>
      </c>
      <c r="AF32" s="11" t="str">
        <f>IFERROR(VLOOKUP($A32&amp;AF$3,'Mark Leave'!$A:$E,5,0),"")</f>
        <v/>
      </c>
      <c r="AG32" s="11" t="str">
        <f>IFERROR(VLOOKUP($A32&amp;AG$3,'Mark Leave'!$A:$E,5,0),"")</f>
        <v/>
      </c>
      <c r="AH32" s="12">
        <f t="shared" si="13"/>
        <v>0</v>
      </c>
      <c r="AI32" s="12">
        <f t="shared" si="13"/>
        <v>0</v>
      </c>
      <c r="AJ32" s="12">
        <f t="shared" si="13"/>
        <v>0</v>
      </c>
      <c r="AK32" s="12">
        <f t="shared" si="13"/>
        <v>0</v>
      </c>
      <c r="AL32" s="12">
        <f t="shared" si="13"/>
        <v>0</v>
      </c>
      <c r="AM32" s="12">
        <f t="shared" si="13"/>
        <v>0</v>
      </c>
      <c r="AN32" s="12">
        <f t="shared" si="11"/>
        <v>0</v>
      </c>
      <c r="AO32" s="12">
        <f t="shared" si="11"/>
        <v>0</v>
      </c>
      <c r="AP32" s="12">
        <f t="shared" si="11"/>
        <v>0</v>
      </c>
      <c r="AQ32" s="12">
        <f t="shared" si="10"/>
        <v>0</v>
      </c>
      <c r="AR32" s="12">
        <f t="shared" si="10"/>
        <v>0</v>
      </c>
      <c r="AS32" s="12">
        <f t="shared" si="7"/>
        <v>0</v>
      </c>
      <c r="AT32" s="13">
        <f t="shared" si="12"/>
        <v>0</v>
      </c>
    </row>
    <row r="33" spans="1:46" ht="15.6" thickTop="1" thickBot="1">
      <c r="A33" s="34">
        <v>202318022</v>
      </c>
      <c r="B33" s="34" t="s">
        <v>45</v>
      </c>
      <c r="C33" s="11" t="str">
        <f>IFERROR(VLOOKUP($A33&amp;C$3,'Mark Leave'!$A:$E,5,0),"")</f>
        <v/>
      </c>
      <c r="D33" s="11" t="str">
        <f>IFERROR(VLOOKUP($A33&amp;D$3,'Mark Leave'!$A:$E,5,0),"")</f>
        <v/>
      </c>
      <c r="E33" s="11" t="str">
        <f>IFERROR(VLOOKUP($A33&amp;E$3,'Mark Leave'!$A:$E,5,0),"")</f>
        <v/>
      </c>
      <c r="F33" s="11" t="str">
        <f>IFERROR(VLOOKUP($A33&amp;F$3,'Mark Leave'!$A:$E,5,0),"")</f>
        <v/>
      </c>
      <c r="G33" s="11" t="str">
        <f>IFERROR(VLOOKUP($A33&amp;G$3,'Mark Leave'!$A:$E,5,0),"")</f>
        <v/>
      </c>
      <c r="H33" s="11" t="str">
        <f>IFERROR(VLOOKUP($A33&amp;H$3,'Mark Leave'!$A:$E,5,0),"")</f>
        <v/>
      </c>
      <c r="I33" s="11" t="str">
        <f>IFERROR(VLOOKUP($A33&amp;I$3,'Mark Leave'!$A:$E,5,0),"")</f>
        <v/>
      </c>
      <c r="J33" s="11" t="str">
        <f>IFERROR(VLOOKUP($A33&amp;J$3,'Mark Leave'!$A:$E,5,0),"")</f>
        <v/>
      </c>
      <c r="K33" s="11" t="str">
        <f>IFERROR(VLOOKUP($A33&amp;K$3,'Mark Leave'!$A:$E,5,0),"")</f>
        <v/>
      </c>
      <c r="L33" s="11" t="str">
        <f>IFERROR(VLOOKUP($A33&amp;L$3,'Mark Leave'!$A:$E,5,0),"")</f>
        <v/>
      </c>
      <c r="M33" s="11" t="str">
        <f>IFERROR(VLOOKUP($A33&amp;M$3,'Mark Leave'!$A:$E,5,0),"")</f>
        <v/>
      </c>
      <c r="N33" s="11" t="str">
        <f>IFERROR(VLOOKUP($A33&amp;N$3,'Mark Leave'!$A:$E,5,0),"")</f>
        <v/>
      </c>
      <c r="O33" s="11" t="str">
        <f>IFERROR(VLOOKUP($A33&amp;O$3,'Mark Leave'!$A:$E,5,0),"")</f>
        <v/>
      </c>
      <c r="P33" s="11" t="str">
        <f>IFERROR(VLOOKUP($A33&amp;P$3,'Mark Leave'!$A:$E,5,0),"")</f>
        <v/>
      </c>
      <c r="Q33" s="11" t="str">
        <f>IFERROR(VLOOKUP($A33&amp;Q$3,'Mark Leave'!$A:$E,5,0),"")</f>
        <v/>
      </c>
      <c r="R33" s="11" t="str">
        <f>IFERROR(VLOOKUP($A33&amp;R$3,'Mark Leave'!$A:$E,5,0),"")</f>
        <v/>
      </c>
      <c r="S33" s="11" t="str">
        <f>IFERROR(VLOOKUP($A33&amp;S$3,'Mark Leave'!$A:$E,5,0),"")</f>
        <v/>
      </c>
      <c r="T33" s="11" t="str">
        <f>IFERROR(VLOOKUP($A33&amp;T$3,'Mark Leave'!$A:$E,5,0),"")</f>
        <v/>
      </c>
      <c r="U33" s="11" t="str">
        <f>IFERROR(VLOOKUP($A33&amp;U$3,'Mark Leave'!$A:$E,5,0),"")</f>
        <v/>
      </c>
      <c r="V33" s="11" t="str">
        <f>IFERROR(VLOOKUP($A33&amp;V$3,'Mark Leave'!$A:$E,5,0),"")</f>
        <v/>
      </c>
      <c r="W33" s="11" t="str">
        <f>IFERROR(VLOOKUP($A33&amp;W$3,'Mark Leave'!$A:$E,5,0),"")</f>
        <v/>
      </c>
      <c r="X33" s="11" t="str">
        <f>IFERROR(VLOOKUP($A33&amp;X$3,'Mark Leave'!$A:$E,5,0),"")</f>
        <v/>
      </c>
      <c r="Y33" s="11" t="str">
        <f>IFERROR(VLOOKUP($A33&amp;Y$3,'Mark Leave'!$A:$E,5,0),"")</f>
        <v/>
      </c>
      <c r="Z33" s="11" t="str">
        <f>IFERROR(VLOOKUP($A33&amp;Z$3,'Mark Leave'!$A:$E,5,0),"")</f>
        <v/>
      </c>
      <c r="AA33" s="11" t="str">
        <f>IFERROR(VLOOKUP($A33&amp;AA$3,'Mark Leave'!$A:$E,5,0),"")</f>
        <v/>
      </c>
      <c r="AB33" s="11" t="str">
        <f>IFERROR(VLOOKUP($A33&amp;AB$3,'Mark Leave'!$A:$E,5,0),"")</f>
        <v/>
      </c>
      <c r="AC33" s="11" t="str">
        <f>IFERROR(VLOOKUP($A33&amp;AC$3,'Mark Leave'!$A:$E,5,0),"")</f>
        <v/>
      </c>
      <c r="AD33" s="11" t="str">
        <f>IFERROR(VLOOKUP($A33&amp;AD$3,'Mark Leave'!$A:$E,5,0),"")</f>
        <v/>
      </c>
      <c r="AE33" s="11" t="str">
        <f>IFERROR(VLOOKUP($A33&amp;AE$3,'Mark Leave'!$A:$E,5,0),"")</f>
        <v/>
      </c>
      <c r="AF33" s="11" t="str">
        <f>IFERROR(VLOOKUP($A33&amp;AF$3,'Mark Leave'!$A:$E,5,0),"")</f>
        <v/>
      </c>
      <c r="AG33" s="11" t="str">
        <f>IFERROR(VLOOKUP($A33&amp;AG$3,'Mark Leave'!$A:$E,5,0),"")</f>
        <v/>
      </c>
      <c r="AH33" s="12">
        <f t="shared" si="13"/>
        <v>0</v>
      </c>
      <c r="AI33" s="12">
        <f t="shared" si="13"/>
        <v>0</v>
      </c>
      <c r="AJ33" s="12">
        <f t="shared" si="13"/>
        <v>0</v>
      </c>
      <c r="AK33" s="12">
        <f t="shared" si="13"/>
        <v>0</v>
      </c>
      <c r="AL33" s="12">
        <f t="shared" si="13"/>
        <v>0</v>
      </c>
      <c r="AM33" s="12">
        <f t="shared" si="13"/>
        <v>0</v>
      </c>
      <c r="AN33" s="12">
        <f t="shared" si="11"/>
        <v>0</v>
      </c>
      <c r="AO33" s="12">
        <f t="shared" si="11"/>
        <v>0</v>
      </c>
      <c r="AP33" s="12">
        <f t="shared" si="11"/>
        <v>0</v>
      </c>
      <c r="AQ33" s="12">
        <f t="shared" si="10"/>
        <v>0</v>
      </c>
      <c r="AR33" s="12">
        <f t="shared" si="10"/>
        <v>0</v>
      </c>
      <c r="AS33" s="12">
        <f t="shared" si="7"/>
        <v>0</v>
      </c>
      <c r="AT33" s="13">
        <f t="shared" si="12"/>
        <v>0</v>
      </c>
    </row>
    <row r="34" spans="1:46" ht="15.6" thickTop="1" thickBot="1">
      <c r="A34" s="34">
        <v>202320008</v>
      </c>
      <c r="B34" s="34" t="s">
        <v>46</v>
      </c>
      <c r="C34" s="11" t="str">
        <f>IFERROR(VLOOKUP($A34&amp;C$3,'Mark Leave'!$A:$E,5,0),"")</f>
        <v/>
      </c>
      <c r="D34" s="11" t="str">
        <f>IFERROR(VLOOKUP($A34&amp;D$3,'Mark Leave'!$A:$E,5,0),"")</f>
        <v/>
      </c>
      <c r="E34" s="11" t="str">
        <f>IFERROR(VLOOKUP($A34&amp;E$3,'Mark Leave'!$A:$E,5,0),"")</f>
        <v/>
      </c>
      <c r="F34" s="11" t="str">
        <f>IFERROR(VLOOKUP($A34&amp;F$3,'Mark Leave'!$A:$E,5,0),"")</f>
        <v/>
      </c>
      <c r="G34" s="11" t="str">
        <f>IFERROR(VLOOKUP($A34&amp;G$3,'Mark Leave'!$A:$E,5,0),"")</f>
        <v/>
      </c>
      <c r="H34" s="11" t="str">
        <f>IFERROR(VLOOKUP($A34&amp;H$3,'Mark Leave'!$A:$E,5,0),"")</f>
        <v/>
      </c>
      <c r="I34" s="11" t="str">
        <f>IFERROR(VLOOKUP($A34&amp;I$3,'Mark Leave'!$A:$E,5,0),"")</f>
        <v/>
      </c>
      <c r="J34" s="11" t="str">
        <f>IFERROR(VLOOKUP($A34&amp;J$3,'Mark Leave'!$A:$E,5,0),"")</f>
        <v/>
      </c>
      <c r="K34" s="11" t="str">
        <f>IFERROR(VLOOKUP($A34&amp;K$3,'Mark Leave'!$A:$E,5,0),"")</f>
        <v/>
      </c>
      <c r="L34" s="11" t="str">
        <f>IFERROR(VLOOKUP($A34&amp;L$3,'Mark Leave'!$A:$E,5,0),"")</f>
        <v/>
      </c>
      <c r="M34" s="11" t="str">
        <f>IFERROR(VLOOKUP($A34&amp;M$3,'Mark Leave'!$A:$E,5,0),"")</f>
        <v/>
      </c>
      <c r="N34" s="11" t="str">
        <f>IFERROR(VLOOKUP($A34&amp;N$3,'Mark Leave'!$A:$E,5,0),"")</f>
        <v/>
      </c>
      <c r="O34" s="11" t="str">
        <f>IFERROR(VLOOKUP($A34&amp;O$3,'Mark Leave'!$A:$E,5,0),"")</f>
        <v/>
      </c>
      <c r="P34" s="11" t="str">
        <f>IFERROR(VLOOKUP($A34&amp;P$3,'Mark Leave'!$A:$E,5,0),"")</f>
        <v/>
      </c>
      <c r="Q34" s="11" t="str">
        <f>IFERROR(VLOOKUP($A34&amp;Q$3,'Mark Leave'!$A:$E,5,0),"")</f>
        <v/>
      </c>
      <c r="R34" s="11" t="str">
        <f>IFERROR(VLOOKUP($A34&amp;R$3,'Mark Leave'!$A:$E,5,0),"")</f>
        <v/>
      </c>
      <c r="S34" s="11" t="str">
        <f>IFERROR(VLOOKUP($A34&amp;S$3,'Mark Leave'!$A:$E,5,0),"")</f>
        <v/>
      </c>
      <c r="T34" s="11" t="str">
        <f>IFERROR(VLOOKUP($A34&amp;T$3,'Mark Leave'!$A:$E,5,0),"")</f>
        <v/>
      </c>
      <c r="U34" s="11" t="str">
        <f>IFERROR(VLOOKUP($A34&amp;U$3,'Mark Leave'!$A:$E,5,0),"")</f>
        <v/>
      </c>
      <c r="V34" s="11" t="str">
        <f>IFERROR(VLOOKUP($A34&amp;V$3,'Mark Leave'!$A:$E,5,0),"")</f>
        <v/>
      </c>
      <c r="W34" s="11" t="str">
        <f>IFERROR(VLOOKUP($A34&amp;W$3,'Mark Leave'!$A:$E,5,0),"")</f>
        <v/>
      </c>
      <c r="X34" s="11" t="str">
        <f>IFERROR(VLOOKUP($A34&amp;X$3,'Mark Leave'!$A:$E,5,0),"")</f>
        <v/>
      </c>
      <c r="Y34" s="11" t="str">
        <f>IFERROR(VLOOKUP($A34&amp;Y$3,'Mark Leave'!$A:$E,5,0),"")</f>
        <v/>
      </c>
      <c r="Z34" s="11" t="str">
        <f>IFERROR(VLOOKUP($A34&amp;Z$3,'Mark Leave'!$A:$E,5,0),"")</f>
        <v/>
      </c>
      <c r="AA34" s="11" t="str">
        <f>IFERROR(VLOOKUP($A34&amp;AA$3,'Mark Leave'!$A:$E,5,0),"")</f>
        <v/>
      </c>
      <c r="AB34" s="11" t="str">
        <f>IFERROR(VLOOKUP($A34&amp;AB$3,'Mark Leave'!$A:$E,5,0),"")</f>
        <v/>
      </c>
      <c r="AC34" s="11" t="str">
        <f>IFERROR(VLOOKUP($A34&amp;AC$3,'Mark Leave'!$A:$E,5,0),"")</f>
        <v/>
      </c>
      <c r="AD34" s="11" t="str">
        <f>IFERROR(VLOOKUP($A34&amp;AD$3,'Mark Leave'!$A:$E,5,0),"")</f>
        <v/>
      </c>
      <c r="AE34" s="11" t="str">
        <f>IFERROR(VLOOKUP($A34&amp;AE$3,'Mark Leave'!$A:$E,5,0),"")</f>
        <v/>
      </c>
      <c r="AF34" s="11" t="str">
        <f>IFERROR(VLOOKUP($A34&amp;AF$3,'Mark Leave'!$A:$E,5,0),"")</f>
        <v/>
      </c>
      <c r="AG34" s="11" t="str">
        <f>IFERROR(VLOOKUP($A34&amp;AG$3,'Mark Leave'!$A:$E,5,0),"")</f>
        <v/>
      </c>
      <c r="AH34" s="12">
        <f t="shared" si="13"/>
        <v>0</v>
      </c>
      <c r="AI34" s="12">
        <f t="shared" si="13"/>
        <v>0</v>
      </c>
      <c r="AJ34" s="12">
        <f t="shared" si="13"/>
        <v>0</v>
      </c>
      <c r="AK34" s="12">
        <f t="shared" si="13"/>
        <v>0</v>
      </c>
      <c r="AL34" s="12">
        <f t="shared" si="13"/>
        <v>0</v>
      </c>
      <c r="AM34" s="12">
        <f t="shared" si="13"/>
        <v>0</v>
      </c>
      <c r="AN34" s="12">
        <f t="shared" si="11"/>
        <v>0</v>
      </c>
      <c r="AO34" s="12">
        <f t="shared" si="11"/>
        <v>0</v>
      </c>
      <c r="AP34" s="12">
        <f t="shared" si="11"/>
        <v>0</v>
      </c>
      <c r="AQ34" s="12">
        <f t="shared" si="10"/>
        <v>0</v>
      </c>
      <c r="AR34" s="12">
        <f t="shared" si="10"/>
        <v>0</v>
      </c>
      <c r="AS34" s="12">
        <f t="shared" si="7"/>
        <v>0</v>
      </c>
      <c r="AT34" s="13">
        <f t="shared" si="12"/>
        <v>0</v>
      </c>
    </row>
    <row r="35" spans="1:46" ht="15.6" thickTop="1" thickBot="1">
      <c r="A35" s="34">
        <v>202320009</v>
      </c>
      <c r="B35" s="34" t="s">
        <v>47</v>
      </c>
      <c r="C35" s="11" t="str">
        <f>IFERROR(VLOOKUP($A35&amp;C$3,'Mark Leave'!$A:$E,5,0),"")</f>
        <v/>
      </c>
      <c r="D35" s="11" t="str">
        <f>IFERROR(VLOOKUP($A35&amp;D$3,'Mark Leave'!$A:$E,5,0),"")</f>
        <v/>
      </c>
      <c r="E35" s="11" t="str">
        <f>IFERROR(VLOOKUP($A35&amp;E$3,'Mark Leave'!$A:$E,5,0),"")</f>
        <v/>
      </c>
      <c r="F35" s="11" t="str">
        <f>IFERROR(VLOOKUP($A35&amp;F$3,'Mark Leave'!$A:$E,5,0),"")</f>
        <v/>
      </c>
      <c r="G35" s="11" t="str">
        <f>IFERROR(VLOOKUP($A35&amp;G$3,'Mark Leave'!$A:$E,5,0),"")</f>
        <v/>
      </c>
      <c r="H35" s="11" t="str">
        <f>IFERROR(VLOOKUP($A35&amp;H$3,'Mark Leave'!$A:$E,5,0),"")</f>
        <v/>
      </c>
      <c r="I35" s="11" t="str">
        <f>IFERROR(VLOOKUP($A35&amp;I$3,'Mark Leave'!$A:$E,5,0),"")</f>
        <v/>
      </c>
      <c r="J35" s="11" t="str">
        <f>IFERROR(VLOOKUP($A35&amp;J$3,'Mark Leave'!$A:$E,5,0),"")</f>
        <v/>
      </c>
      <c r="K35" s="11" t="str">
        <f>IFERROR(VLOOKUP($A35&amp;K$3,'Mark Leave'!$A:$E,5,0),"")</f>
        <v/>
      </c>
      <c r="L35" s="11" t="str">
        <f>IFERROR(VLOOKUP($A35&amp;L$3,'Mark Leave'!$A:$E,5,0),"")</f>
        <v/>
      </c>
      <c r="M35" s="11" t="str">
        <f>IFERROR(VLOOKUP($A35&amp;M$3,'Mark Leave'!$A:$E,5,0),"")</f>
        <v/>
      </c>
      <c r="N35" s="11" t="str">
        <f>IFERROR(VLOOKUP($A35&amp;N$3,'Mark Leave'!$A:$E,5,0),"")</f>
        <v/>
      </c>
      <c r="O35" s="11" t="str">
        <f>IFERROR(VLOOKUP($A35&amp;O$3,'Mark Leave'!$A:$E,5,0),"")</f>
        <v/>
      </c>
      <c r="P35" s="11" t="str">
        <f>IFERROR(VLOOKUP($A35&amp;P$3,'Mark Leave'!$A:$E,5,0),"")</f>
        <v/>
      </c>
      <c r="Q35" s="11" t="str">
        <f>IFERROR(VLOOKUP($A35&amp;Q$3,'Mark Leave'!$A:$E,5,0),"")</f>
        <v/>
      </c>
      <c r="R35" s="11" t="str">
        <f>IFERROR(VLOOKUP($A35&amp;R$3,'Mark Leave'!$A:$E,5,0),"")</f>
        <v/>
      </c>
      <c r="S35" s="11" t="str">
        <f>IFERROR(VLOOKUP($A35&amp;S$3,'Mark Leave'!$A:$E,5,0),"")</f>
        <v/>
      </c>
      <c r="T35" s="11" t="str">
        <f>IFERROR(VLOOKUP($A35&amp;T$3,'Mark Leave'!$A:$E,5,0),"")</f>
        <v/>
      </c>
      <c r="U35" s="11" t="str">
        <f>IFERROR(VLOOKUP($A35&amp;U$3,'Mark Leave'!$A:$E,5,0),"")</f>
        <v/>
      </c>
      <c r="V35" s="11" t="str">
        <f>IFERROR(VLOOKUP($A35&amp;V$3,'Mark Leave'!$A:$E,5,0),"")</f>
        <v/>
      </c>
      <c r="W35" s="11" t="str">
        <f>IFERROR(VLOOKUP($A35&amp;W$3,'Mark Leave'!$A:$E,5,0),"")</f>
        <v/>
      </c>
      <c r="X35" s="11" t="str">
        <f>IFERROR(VLOOKUP($A35&amp;X$3,'Mark Leave'!$A:$E,5,0),"")</f>
        <v/>
      </c>
      <c r="Y35" s="11" t="str">
        <f>IFERROR(VLOOKUP($A35&amp;Y$3,'Mark Leave'!$A:$E,5,0),"")</f>
        <v/>
      </c>
      <c r="Z35" s="11" t="str">
        <f>IFERROR(VLOOKUP($A35&amp;Z$3,'Mark Leave'!$A:$E,5,0),"")</f>
        <v/>
      </c>
      <c r="AA35" s="11" t="str">
        <f>IFERROR(VLOOKUP($A35&amp;AA$3,'Mark Leave'!$A:$E,5,0),"")</f>
        <v/>
      </c>
      <c r="AB35" s="11" t="str">
        <f>IFERROR(VLOOKUP($A35&amp;AB$3,'Mark Leave'!$A:$E,5,0),"")</f>
        <v/>
      </c>
      <c r="AC35" s="11" t="str">
        <f>IFERROR(VLOOKUP($A35&amp;AC$3,'Mark Leave'!$A:$E,5,0),"")</f>
        <v/>
      </c>
      <c r="AD35" s="11" t="str">
        <f>IFERROR(VLOOKUP($A35&amp;AD$3,'Mark Leave'!$A:$E,5,0),"")</f>
        <v/>
      </c>
      <c r="AE35" s="11" t="str">
        <f>IFERROR(VLOOKUP($A35&amp;AE$3,'Mark Leave'!$A:$E,5,0),"")</f>
        <v/>
      </c>
      <c r="AF35" s="11" t="str">
        <f>IFERROR(VLOOKUP($A35&amp;AF$3,'Mark Leave'!$A:$E,5,0),"")</f>
        <v/>
      </c>
      <c r="AG35" s="11" t="str">
        <f>IFERROR(VLOOKUP($A35&amp;AG$3,'Mark Leave'!$A:$E,5,0),"")</f>
        <v/>
      </c>
      <c r="AH35" s="12">
        <f t="shared" si="13"/>
        <v>0</v>
      </c>
      <c r="AI35" s="12">
        <f t="shared" si="13"/>
        <v>0</v>
      </c>
      <c r="AJ35" s="12">
        <f t="shared" si="13"/>
        <v>0</v>
      </c>
      <c r="AK35" s="12">
        <f t="shared" si="13"/>
        <v>0</v>
      </c>
      <c r="AL35" s="12">
        <f t="shared" si="13"/>
        <v>0</v>
      </c>
      <c r="AM35" s="12">
        <f t="shared" si="13"/>
        <v>0</v>
      </c>
      <c r="AN35" s="12">
        <f t="shared" si="11"/>
        <v>0</v>
      </c>
      <c r="AO35" s="12">
        <f t="shared" si="11"/>
        <v>0</v>
      </c>
      <c r="AP35" s="12">
        <f t="shared" si="11"/>
        <v>0</v>
      </c>
      <c r="AQ35" s="12">
        <f t="shared" si="10"/>
        <v>0</v>
      </c>
      <c r="AR35" s="12">
        <f t="shared" si="10"/>
        <v>0</v>
      </c>
      <c r="AS35" s="12">
        <f t="shared" si="7"/>
        <v>0</v>
      </c>
      <c r="AT35" s="13">
        <f t="shared" si="12"/>
        <v>0</v>
      </c>
    </row>
    <row r="36" spans="1:46" ht="15.6" thickTop="1" thickBot="1">
      <c r="A36" s="34">
        <v>202318023</v>
      </c>
      <c r="B36" s="34" t="s">
        <v>48</v>
      </c>
      <c r="C36" s="11" t="str">
        <f>IFERROR(VLOOKUP($A36&amp;C$3,'Mark Leave'!$A:$E,5,0),"")</f>
        <v/>
      </c>
      <c r="D36" s="11" t="str">
        <f>IFERROR(VLOOKUP($A36&amp;D$3,'Mark Leave'!$A:$E,5,0),"")</f>
        <v/>
      </c>
      <c r="E36" s="11" t="str">
        <f>IFERROR(VLOOKUP($A36&amp;E$3,'Mark Leave'!$A:$E,5,0),"")</f>
        <v/>
      </c>
      <c r="F36" s="11" t="str">
        <f>IFERROR(VLOOKUP($A36&amp;F$3,'Mark Leave'!$A:$E,5,0),"")</f>
        <v/>
      </c>
      <c r="G36" s="11" t="str">
        <f>IFERROR(VLOOKUP($A36&amp;G$3,'Mark Leave'!$A:$E,5,0),"")</f>
        <v/>
      </c>
      <c r="H36" s="11" t="str">
        <f>IFERROR(VLOOKUP($A36&amp;H$3,'Mark Leave'!$A:$E,5,0),"")</f>
        <v/>
      </c>
      <c r="I36" s="11" t="str">
        <f>IFERROR(VLOOKUP($A36&amp;I$3,'Mark Leave'!$A:$E,5,0),"")</f>
        <v/>
      </c>
      <c r="J36" s="11" t="str">
        <f>IFERROR(VLOOKUP($A36&amp;J$3,'Mark Leave'!$A:$E,5,0),"")</f>
        <v/>
      </c>
      <c r="K36" s="11" t="str">
        <f>IFERROR(VLOOKUP($A36&amp;K$3,'Mark Leave'!$A:$E,5,0),"")</f>
        <v/>
      </c>
      <c r="L36" s="11" t="str">
        <f>IFERROR(VLOOKUP($A36&amp;L$3,'Mark Leave'!$A:$E,5,0),"")</f>
        <v/>
      </c>
      <c r="M36" s="11" t="str">
        <f>IFERROR(VLOOKUP($A36&amp;M$3,'Mark Leave'!$A:$E,5,0),"")</f>
        <v/>
      </c>
      <c r="N36" s="11" t="str">
        <f>IFERROR(VLOOKUP($A36&amp;N$3,'Mark Leave'!$A:$E,5,0),"")</f>
        <v/>
      </c>
      <c r="O36" s="11" t="str">
        <f>IFERROR(VLOOKUP($A36&amp;O$3,'Mark Leave'!$A:$E,5,0),"")</f>
        <v/>
      </c>
      <c r="P36" s="11" t="str">
        <f>IFERROR(VLOOKUP($A36&amp;P$3,'Mark Leave'!$A:$E,5,0),"")</f>
        <v/>
      </c>
      <c r="Q36" s="11" t="str">
        <f>IFERROR(VLOOKUP($A36&amp;Q$3,'Mark Leave'!$A:$E,5,0),"")</f>
        <v/>
      </c>
      <c r="R36" s="11" t="str">
        <f>IFERROR(VLOOKUP($A36&amp;R$3,'Mark Leave'!$A:$E,5,0),"")</f>
        <v/>
      </c>
      <c r="S36" s="11" t="str">
        <f>IFERROR(VLOOKUP($A36&amp;S$3,'Mark Leave'!$A:$E,5,0),"")</f>
        <v/>
      </c>
      <c r="T36" s="11" t="str">
        <f>IFERROR(VLOOKUP($A36&amp;T$3,'Mark Leave'!$A:$E,5,0),"")</f>
        <v/>
      </c>
      <c r="U36" s="11" t="str">
        <f>IFERROR(VLOOKUP($A36&amp;U$3,'Mark Leave'!$A:$E,5,0),"")</f>
        <v/>
      </c>
      <c r="V36" s="11" t="str">
        <f>IFERROR(VLOOKUP($A36&amp;V$3,'Mark Leave'!$A:$E,5,0),"")</f>
        <v/>
      </c>
      <c r="W36" s="11" t="str">
        <f>IFERROR(VLOOKUP($A36&amp;W$3,'Mark Leave'!$A:$E,5,0),"")</f>
        <v/>
      </c>
      <c r="X36" s="11" t="str">
        <f>IFERROR(VLOOKUP($A36&amp;X$3,'Mark Leave'!$A:$E,5,0),"")</f>
        <v/>
      </c>
      <c r="Y36" s="11" t="str">
        <f>IFERROR(VLOOKUP($A36&amp;Y$3,'Mark Leave'!$A:$E,5,0),"")</f>
        <v/>
      </c>
      <c r="Z36" s="11" t="str">
        <f>IFERROR(VLOOKUP($A36&amp;Z$3,'Mark Leave'!$A:$E,5,0),"")</f>
        <v/>
      </c>
      <c r="AA36" s="11" t="str">
        <f>IFERROR(VLOOKUP($A36&amp;AA$3,'Mark Leave'!$A:$E,5,0),"")</f>
        <v/>
      </c>
      <c r="AB36" s="11" t="str">
        <f>IFERROR(VLOOKUP($A36&amp;AB$3,'Mark Leave'!$A:$E,5,0),"")</f>
        <v/>
      </c>
      <c r="AC36" s="11" t="str">
        <f>IFERROR(VLOOKUP($A36&amp;AC$3,'Mark Leave'!$A:$E,5,0),"")</f>
        <v/>
      </c>
      <c r="AD36" s="11" t="str">
        <f>IFERROR(VLOOKUP($A36&amp;AD$3,'Mark Leave'!$A:$E,5,0),"")</f>
        <v/>
      </c>
      <c r="AE36" s="11" t="str">
        <f>IFERROR(VLOOKUP($A36&amp;AE$3,'Mark Leave'!$A:$E,5,0),"")</f>
        <v/>
      </c>
      <c r="AF36" s="11" t="str">
        <f>IFERROR(VLOOKUP($A36&amp;AF$3,'Mark Leave'!$A:$E,5,0),"")</f>
        <v/>
      </c>
      <c r="AG36" s="11" t="str">
        <f>IFERROR(VLOOKUP($A36&amp;AG$3,'Mark Leave'!$A:$E,5,0),"")</f>
        <v/>
      </c>
      <c r="AH36" s="12">
        <f t="shared" ref="AH36:AM45" si="14">COUNTIF($C36:$AG36,AH$4)</f>
        <v>0</v>
      </c>
      <c r="AI36" s="12">
        <f t="shared" si="14"/>
        <v>0</v>
      </c>
      <c r="AJ36" s="12">
        <f t="shared" si="14"/>
        <v>0</v>
      </c>
      <c r="AK36" s="12">
        <f t="shared" si="14"/>
        <v>0</v>
      </c>
      <c r="AL36" s="12">
        <f t="shared" si="14"/>
        <v>0</v>
      </c>
      <c r="AM36" s="12">
        <f t="shared" si="14"/>
        <v>0</v>
      </c>
      <c r="AN36" s="12">
        <f t="shared" si="11"/>
        <v>0</v>
      </c>
      <c r="AO36" s="12">
        <f t="shared" si="11"/>
        <v>0</v>
      </c>
      <c r="AP36" s="12">
        <f t="shared" si="11"/>
        <v>0</v>
      </c>
      <c r="AQ36" s="12">
        <f t="shared" si="10"/>
        <v>0</v>
      </c>
      <c r="AR36" s="12">
        <f t="shared" si="10"/>
        <v>0</v>
      </c>
      <c r="AS36" s="12">
        <f t="shared" si="7"/>
        <v>0</v>
      </c>
      <c r="AT36" s="13">
        <f t="shared" si="12"/>
        <v>0</v>
      </c>
    </row>
    <row r="37" spans="1:46" ht="15.6" thickTop="1" thickBot="1">
      <c r="A37" s="34">
        <v>202320010</v>
      </c>
      <c r="B37" s="34" t="s">
        <v>49</v>
      </c>
      <c r="C37" s="11" t="str">
        <f>IFERROR(VLOOKUP($A37&amp;C$3,'Mark Leave'!$A:$E,5,0),"")</f>
        <v/>
      </c>
      <c r="D37" s="11" t="str">
        <f>IFERROR(VLOOKUP($A37&amp;D$3,'Mark Leave'!$A:$E,5,0),"")</f>
        <v/>
      </c>
      <c r="E37" s="11" t="str">
        <f>IFERROR(VLOOKUP($A37&amp;E$3,'Mark Leave'!$A:$E,5,0),"")</f>
        <v/>
      </c>
      <c r="F37" s="11" t="str">
        <f>IFERROR(VLOOKUP($A37&amp;F$3,'Mark Leave'!$A:$E,5,0),"")</f>
        <v/>
      </c>
      <c r="G37" s="11" t="str">
        <f>IFERROR(VLOOKUP($A37&amp;G$3,'Mark Leave'!$A:$E,5,0),"")</f>
        <v/>
      </c>
      <c r="H37" s="11" t="str">
        <f>IFERROR(VLOOKUP($A37&amp;H$3,'Mark Leave'!$A:$E,5,0),"")</f>
        <v/>
      </c>
      <c r="I37" s="11" t="str">
        <f>IFERROR(VLOOKUP($A37&amp;I$3,'Mark Leave'!$A:$E,5,0),"")</f>
        <v/>
      </c>
      <c r="J37" s="11" t="str">
        <f>IFERROR(VLOOKUP($A37&amp;J$3,'Mark Leave'!$A:$E,5,0),"")</f>
        <v/>
      </c>
      <c r="K37" s="11" t="str">
        <f>IFERROR(VLOOKUP($A37&amp;K$3,'Mark Leave'!$A:$E,5,0),"")</f>
        <v/>
      </c>
      <c r="L37" s="11" t="str">
        <f>IFERROR(VLOOKUP($A37&amp;L$3,'Mark Leave'!$A:$E,5,0),"")</f>
        <v/>
      </c>
      <c r="M37" s="11" t="str">
        <f>IFERROR(VLOOKUP($A37&amp;M$3,'Mark Leave'!$A:$E,5,0),"")</f>
        <v/>
      </c>
      <c r="N37" s="11" t="str">
        <f>IFERROR(VLOOKUP($A37&amp;N$3,'Mark Leave'!$A:$E,5,0),"")</f>
        <v/>
      </c>
      <c r="O37" s="11" t="str">
        <f>IFERROR(VLOOKUP($A37&amp;O$3,'Mark Leave'!$A:$E,5,0),"")</f>
        <v/>
      </c>
      <c r="P37" s="11" t="str">
        <f>IFERROR(VLOOKUP($A37&amp;P$3,'Mark Leave'!$A:$E,5,0),"")</f>
        <v/>
      </c>
      <c r="Q37" s="11" t="str">
        <f>IFERROR(VLOOKUP($A37&amp;Q$3,'Mark Leave'!$A:$E,5,0),"")</f>
        <v/>
      </c>
      <c r="R37" s="11" t="str">
        <f>IFERROR(VLOOKUP($A37&amp;R$3,'Mark Leave'!$A:$E,5,0),"")</f>
        <v/>
      </c>
      <c r="S37" s="11" t="str">
        <f>IFERROR(VLOOKUP($A37&amp;S$3,'Mark Leave'!$A:$E,5,0),"")</f>
        <v/>
      </c>
      <c r="T37" s="11" t="str">
        <f>IFERROR(VLOOKUP($A37&amp;T$3,'Mark Leave'!$A:$E,5,0),"")</f>
        <v/>
      </c>
      <c r="U37" s="11" t="str">
        <f>IFERROR(VLOOKUP($A37&amp;U$3,'Mark Leave'!$A:$E,5,0),"")</f>
        <v/>
      </c>
      <c r="V37" s="11" t="str">
        <f>IFERROR(VLOOKUP($A37&amp;V$3,'Mark Leave'!$A:$E,5,0),"")</f>
        <v/>
      </c>
      <c r="W37" s="11" t="str">
        <f>IFERROR(VLOOKUP($A37&amp;W$3,'Mark Leave'!$A:$E,5,0),"")</f>
        <v/>
      </c>
      <c r="X37" s="11" t="str">
        <f>IFERROR(VLOOKUP($A37&amp;X$3,'Mark Leave'!$A:$E,5,0),"")</f>
        <v/>
      </c>
      <c r="Y37" s="11" t="str">
        <f>IFERROR(VLOOKUP($A37&amp;Y$3,'Mark Leave'!$A:$E,5,0),"")</f>
        <v/>
      </c>
      <c r="Z37" s="11" t="str">
        <f>IFERROR(VLOOKUP($A37&amp;Z$3,'Mark Leave'!$A:$E,5,0),"")</f>
        <v/>
      </c>
      <c r="AA37" s="11" t="str">
        <f>IFERROR(VLOOKUP($A37&amp;AA$3,'Mark Leave'!$A:$E,5,0),"")</f>
        <v/>
      </c>
      <c r="AB37" s="11" t="str">
        <f>IFERROR(VLOOKUP($A37&amp;AB$3,'Mark Leave'!$A:$E,5,0),"")</f>
        <v/>
      </c>
      <c r="AC37" s="11" t="str">
        <f>IFERROR(VLOOKUP($A37&amp;AC$3,'Mark Leave'!$A:$E,5,0),"")</f>
        <v/>
      </c>
      <c r="AD37" s="11" t="str">
        <f>IFERROR(VLOOKUP($A37&amp;AD$3,'Mark Leave'!$A:$E,5,0),"")</f>
        <v/>
      </c>
      <c r="AE37" s="11" t="str">
        <f>IFERROR(VLOOKUP($A37&amp;AE$3,'Mark Leave'!$A:$E,5,0),"")</f>
        <v/>
      </c>
      <c r="AF37" s="11" t="str">
        <f>IFERROR(VLOOKUP($A37&amp;AF$3,'Mark Leave'!$A:$E,5,0),"")</f>
        <v/>
      </c>
      <c r="AG37" s="11" t="str">
        <f>IFERROR(VLOOKUP($A37&amp;AG$3,'Mark Leave'!$A:$E,5,0),"")</f>
        <v/>
      </c>
      <c r="AH37" s="12">
        <f t="shared" si="14"/>
        <v>0</v>
      </c>
      <c r="AI37" s="12">
        <f t="shared" si="14"/>
        <v>0</v>
      </c>
      <c r="AJ37" s="12">
        <f t="shared" si="14"/>
        <v>0</v>
      </c>
      <c r="AK37" s="12">
        <f t="shared" si="14"/>
        <v>0</v>
      </c>
      <c r="AL37" s="12">
        <f t="shared" si="14"/>
        <v>0</v>
      </c>
      <c r="AM37" s="12">
        <f t="shared" si="14"/>
        <v>0</v>
      </c>
      <c r="AN37" s="12">
        <f t="shared" si="11"/>
        <v>0</v>
      </c>
      <c r="AO37" s="12">
        <f t="shared" si="11"/>
        <v>0</v>
      </c>
      <c r="AP37" s="12">
        <f t="shared" si="11"/>
        <v>0</v>
      </c>
      <c r="AQ37" s="12">
        <f t="shared" si="10"/>
        <v>0</v>
      </c>
      <c r="AR37" s="12">
        <f t="shared" si="10"/>
        <v>0</v>
      </c>
      <c r="AS37" s="12">
        <f t="shared" si="7"/>
        <v>0</v>
      </c>
      <c r="AT37" s="13">
        <f t="shared" si="12"/>
        <v>0</v>
      </c>
    </row>
    <row r="38" spans="1:46" ht="15.6" thickTop="1" thickBot="1">
      <c r="A38" s="34">
        <v>202318024</v>
      </c>
      <c r="B38" s="34" t="s">
        <v>92</v>
      </c>
      <c r="C38" s="11" t="str">
        <f>IFERROR(VLOOKUP($A38&amp;C$3,'Mark Leave'!$A:$E,5,0),"")</f>
        <v/>
      </c>
      <c r="D38" s="11" t="str">
        <f>IFERROR(VLOOKUP($A38&amp;D$3,'Mark Leave'!$A:$E,5,0),"")</f>
        <v/>
      </c>
      <c r="E38" s="11" t="str">
        <f>IFERROR(VLOOKUP($A38&amp;E$3,'Mark Leave'!$A:$E,5,0),"")</f>
        <v/>
      </c>
      <c r="F38" s="11" t="str">
        <f>IFERROR(VLOOKUP($A38&amp;F$3,'Mark Leave'!$A:$E,5,0),"")</f>
        <v/>
      </c>
      <c r="G38" s="11" t="str">
        <f>IFERROR(VLOOKUP($A38&amp;G$3,'Mark Leave'!$A:$E,5,0),"")</f>
        <v/>
      </c>
      <c r="H38" s="11" t="str">
        <f>IFERROR(VLOOKUP($A38&amp;H$3,'Mark Leave'!$A:$E,5,0),"")</f>
        <v/>
      </c>
      <c r="I38" s="11" t="str">
        <f>IFERROR(VLOOKUP($A38&amp;I$3,'Mark Leave'!$A:$E,5,0),"")</f>
        <v/>
      </c>
      <c r="J38" s="11" t="str">
        <f>IFERROR(VLOOKUP($A38&amp;J$3,'Mark Leave'!$A:$E,5,0),"")</f>
        <v/>
      </c>
      <c r="K38" s="11" t="str">
        <f>IFERROR(VLOOKUP($A38&amp;K$3,'Mark Leave'!$A:$E,5,0),"")</f>
        <v/>
      </c>
      <c r="L38" s="11" t="str">
        <f>IFERROR(VLOOKUP($A38&amp;L$3,'Mark Leave'!$A:$E,5,0),"")</f>
        <v/>
      </c>
      <c r="M38" s="11" t="str">
        <f>IFERROR(VLOOKUP($A38&amp;M$3,'Mark Leave'!$A:$E,5,0),"")</f>
        <v/>
      </c>
      <c r="N38" s="11" t="str">
        <f>IFERROR(VLOOKUP($A38&amp;N$3,'Mark Leave'!$A:$E,5,0),"")</f>
        <v/>
      </c>
      <c r="O38" s="11" t="str">
        <f>IFERROR(VLOOKUP($A38&amp;O$3,'Mark Leave'!$A:$E,5,0),"")</f>
        <v/>
      </c>
      <c r="P38" s="11" t="str">
        <f>IFERROR(VLOOKUP($A38&amp;P$3,'Mark Leave'!$A:$E,5,0),"")</f>
        <v/>
      </c>
      <c r="Q38" s="11" t="str">
        <f>IFERROR(VLOOKUP($A38&amp;Q$3,'Mark Leave'!$A:$E,5,0),"")</f>
        <v/>
      </c>
      <c r="R38" s="11" t="str">
        <f>IFERROR(VLOOKUP($A38&amp;R$3,'Mark Leave'!$A:$E,5,0),"")</f>
        <v/>
      </c>
      <c r="S38" s="11" t="str">
        <f>IFERROR(VLOOKUP($A38&amp;S$3,'Mark Leave'!$A:$E,5,0),"")</f>
        <v/>
      </c>
      <c r="T38" s="11" t="str">
        <f>IFERROR(VLOOKUP($A38&amp;T$3,'Mark Leave'!$A:$E,5,0),"")</f>
        <v/>
      </c>
      <c r="U38" s="11" t="str">
        <f>IFERROR(VLOOKUP($A38&amp;U$3,'Mark Leave'!$A:$E,5,0),"")</f>
        <v/>
      </c>
      <c r="V38" s="11" t="str">
        <f>IFERROR(VLOOKUP($A38&amp;V$3,'Mark Leave'!$A:$E,5,0),"")</f>
        <v/>
      </c>
      <c r="W38" s="11" t="str">
        <f>IFERROR(VLOOKUP($A38&amp;W$3,'Mark Leave'!$A:$E,5,0),"")</f>
        <v/>
      </c>
      <c r="X38" s="11" t="str">
        <f>IFERROR(VLOOKUP($A38&amp;X$3,'Mark Leave'!$A:$E,5,0),"")</f>
        <v/>
      </c>
      <c r="Y38" s="11" t="str">
        <f>IFERROR(VLOOKUP($A38&amp;Y$3,'Mark Leave'!$A:$E,5,0),"")</f>
        <v/>
      </c>
      <c r="Z38" s="11" t="str">
        <f>IFERROR(VLOOKUP($A38&amp;Z$3,'Mark Leave'!$A:$E,5,0),"")</f>
        <v/>
      </c>
      <c r="AA38" s="11" t="str">
        <f>IFERROR(VLOOKUP($A38&amp;AA$3,'Mark Leave'!$A:$E,5,0),"")</f>
        <v/>
      </c>
      <c r="AB38" s="11" t="str">
        <f>IFERROR(VLOOKUP($A38&amp;AB$3,'Mark Leave'!$A:$E,5,0),"")</f>
        <v/>
      </c>
      <c r="AC38" s="11" t="str">
        <f>IFERROR(VLOOKUP($A38&amp;AC$3,'Mark Leave'!$A:$E,5,0),"")</f>
        <v/>
      </c>
      <c r="AD38" s="11" t="str">
        <f>IFERROR(VLOOKUP($A38&amp;AD$3,'Mark Leave'!$A:$E,5,0),"")</f>
        <v/>
      </c>
      <c r="AE38" s="11" t="str">
        <f>IFERROR(VLOOKUP($A38&amp;AE$3,'Mark Leave'!$A:$E,5,0),"")</f>
        <v/>
      </c>
      <c r="AF38" s="11" t="str">
        <f>IFERROR(VLOOKUP($A38&amp;AF$3,'Mark Leave'!$A:$E,5,0),"")</f>
        <v/>
      </c>
      <c r="AG38" s="11" t="str">
        <f>IFERROR(VLOOKUP($A38&amp;AG$3,'Mark Leave'!$A:$E,5,0),"")</f>
        <v/>
      </c>
      <c r="AH38" s="12">
        <f t="shared" si="14"/>
        <v>0</v>
      </c>
      <c r="AI38" s="12">
        <f t="shared" si="14"/>
        <v>0</v>
      </c>
      <c r="AJ38" s="12">
        <f t="shared" si="14"/>
        <v>0</v>
      </c>
      <c r="AK38" s="12">
        <f t="shared" si="14"/>
        <v>0</v>
      </c>
      <c r="AL38" s="12">
        <f t="shared" si="14"/>
        <v>0</v>
      </c>
      <c r="AM38" s="12">
        <f t="shared" si="14"/>
        <v>0</v>
      </c>
      <c r="AN38" s="12">
        <f t="shared" si="11"/>
        <v>0</v>
      </c>
      <c r="AO38" s="12">
        <f t="shared" si="11"/>
        <v>0</v>
      </c>
      <c r="AP38" s="12">
        <f t="shared" si="11"/>
        <v>0</v>
      </c>
      <c r="AQ38" s="12">
        <f t="shared" si="10"/>
        <v>0</v>
      </c>
      <c r="AR38" s="12">
        <f t="shared" si="10"/>
        <v>0</v>
      </c>
      <c r="AS38" s="12">
        <f t="shared" si="7"/>
        <v>0</v>
      </c>
      <c r="AT38" s="13">
        <f t="shared" si="12"/>
        <v>0</v>
      </c>
    </row>
    <row r="39" spans="1:46" ht="15.6" thickTop="1" thickBot="1">
      <c r="A39" s="34">
        <v>202318025</v>
      </c>
      <c r="B39" s="34" t="s">
        <v>50</v>
      </c>
      <c r="C39" s="11" t="str">
        <f>IFERROR(VLOOKUP($A39&amp;C$3,'Mark Leave'!$A:$E,5,0),"")</f>
        <v/>
      </c>
      <c r="D39" s="11" t="str">
        <f>IFERROR(VLOOKUP($A39&amp;D$3,'Mark Leave'!$A:$E,5,0),"")</f>
        <v/>
      </c>
      <c r="E39" s="11" t="str">
        <f>IFERROR(VLOOKUP($A39&amp;E$3,'Mark Leave'!$A:$E,5,0),"")</f>
        <v/>
      </c>
      <c r="F39" s="11" t="str">
        <f>IFERROR(VLOOKUP($A39&amp;F$3,'Mark Leave'!$A:$E,5,0),"")</f>
        <v/>
      </c>
      <c r="G39" s="11" t="str">
        <f>IFERROR(VLOOKUP($A39&amp;G$3,'Mark Leave'!$A:$E,5,0),"")</f>
        <v/>
      </c>
      <c r="H39" s="11" t="str">
        <f>IFERROR(VLOOKUP($A39&amp;H$3,'Mark Leave'!$A:$E,5,0),"")</f>
        <v/>
      </c>
      <c r="I39" s="11" t="str">
        <f>IFERROR(VLOOKUP($A39&amp;I$3,'Mark Leave'!$A:$E,5,0),"")</f>
        <v/>
      </c>
      <c r="J39" s="11" t="str">
        <f>IFERROR(VLOOKUP($A39&amp;J$3,'Mark Leave'!$A:$E,5,0),"")</f>
        <v/>
      </c>
      <c r="K39" s="11" t="str">
        <f>IFERROR(VLOOKUP($A39&amp;K$3,'Mark Leave'!$A:$E,5,0),"")</f>
        <v/>
      </c>
      <c r="L39" s="11" t="str">
        <f>IFERROR(VLOOKUP($A39&amp;L$3,'Mark Leave'!$A:$E,5,0),"")</f>
        <v/>
      </c>
      <c r="M39" s="11" t="str">
        <f>IFERROR(VLOOKUP($A39&amp;M$3,'Mark Leave'!$A:$E,5,0),"")</f>
        <v/>
      </c>
      <c r="N39" s="11" t="str">
        <f>IFERROR(VLOOKUP($A39&amp;N$3,'Mark Leave'!$A:$E,5,0),"")</f>
        <v/>
      </c>
      <c r="O39" s="11" t="str">
        <f>IFERROR(VLOOKUP($A39&amp;O$3,'Mark Leave'!$A:$E,5,0),"")</f>
        <v/>
      </c>
      <c r="P39" s="11" t="str">
        <f>IFERROR(VLOOKUP($A39&amp;P$3,'Mark Leave'!$A:$E,5,0),"")</f>
        <v/>
      </c>
      <c r="Q39" s="11" t="str">
        <f>IFERROR(VLOOKUP($A39&amp;Q$3,'Mark Leave'!$A:$E,5,0),"")</f>
        <v/>
      </c>
      <c r="R39" s="11" t="str">
        <f>IFERROR(VLOOKUP($A39&amp;R$3,'Mark Leave'!$A:$E,5,0),"")</f>
        <v/>
      </c>
      <c r="S39" s="11" t="str">
        <f>IFERROR(VLOOKUP($A39&amp;S$3,'Mark Leave'!$A:$E,5,0),"")</f>
        <v/>
      </c>
      <c r="T39" s="11" t="str">
        <f>IFERROR(VLOOKUP($A39&amp;T$3,'Mark Leave'!$A:$E,5,0),"")</f>
        <v/>
      </c>
      <c r="U39" s="11" t="str">
        <f>IFERROR(VLOOKUP($A39&amp;U$3,'Mark Leave'!$A:$E,5,0),"")</f>
        <v/>
      </c>
      <c r="V39" s="11" t="str">
        <f>IFERROR(VLOOKUP($A39&amp;V$3,'Mark Leave'!$A:$E,5,0),"")</f>
        <v/>
      </c>
      <c r="W39" s="11" t="str">
        <f>IFERROR(VLOOKUP($A39&amp;W$3,'Mark Leave'!$A:$E,5,0),"")</f>
        <v/>
      </c>
      <c r="X39" s="11" t="str">
        <f>IFERROR(VLOOKUP($A39&amp;X$3,'Mark Leave'!$A:$E,5,0),"")</f>
        <v/>
      </c>
      <c r="Y39" s="11" t="str">
        <f>IFERROR(VLOOKUP($A39&amp;Y$3,'Mark Leave'!$A:$E,5,0),"")</f>
        <v/>
      </c>
      <c r="Z39" s="11" t="str">
        <f>IFERROR(VLOOKUP($A39&amp;Z$3,'Mark Leave'!$A:$E,5,0),"")</f>
        <v/>
      </c>
      <c r="AA39" s="11" t="str">
        <f>IFERROR(VLOOKUP($A39&amp;AA$3,'Mark Leave'!$A:$E,5,0),"")</f>
        <v/>
      </c>
      <c r="AB39" s="11" t="str">
        <f>IFERROR(VLOOKUP($A39&amp;AB$3,'Mark Leave'!$A:$E,5,0),"")</f>
        <v/>
      </c>
      <c r="AC39" s="11" t="str">
        <f>IFERROR(VLOOKUP($A39&amp;AC$3,'Mark Leave'!$A:$E,5,0),"")</f>
        <v/>
      </c>
      <c r="AD39" s="11" t="str">
        <f>IFERROR(VLOOKUP($A39&amp;AD$3,'Mark Leave'!$A:$E,5,0),"")</f>
        <v/>
      </c>
      <c r="AE39" s="11" t="str">
        <f>IFERROR(VLOOKUP($A39&amp;AE$3,'Mark Leave'!$A:$E,5,0),"")</f>
        <v/>
      </c>
      <c r="AF39" s="11" t="str">
        <f>IFERROR(VLOOKUP($A39&amp;AF$3,'Mark Leave'!$A:$E,5,0),"")</f>
        <v/>
      </c>
      <c r="AG39" s="11" t="str">
        <f>IFERROR(VLOOKUP($A39&amp;AG$3,'Mark Leave'!$A:$E,5,0),"")</f>
        <v/>
      </c>
      <c r="AH39" s="12">
        <f t="shared" si="14"/>
        <v>0</v>
      </c>
      <c r="AI39" s="12">
        <f t="shared" si="14"/>
        <v>0</v>
      </c>
      <c r="AJ39" s="12">
        <f t="shared" si="14"/>
        <v>0</v>
      </c>
      <c r="AK39" s="12">
        <f t="shared" si="14"/>
        <v>0</v>
      </c>
      <c r="AL39" s="12">
        <f t="shared" si="14"/>
        <v>0</v>
      </c>
      <c r="AM39" s="12">
        <f t="shared" si="14"/>
        <v>0</v>
      </c>
      <c r="AN39" s="12">
        <f t="shared" si="11"/>
        <v>0</v>
      </c>
      <c r="AO39" s="12">
        <f t="shared" si="11"/>
        <v>0</v>
      </c>
      <c r="AP39" s="12">
        <f t="shared" si="11"/>
        <v>0</v>
      </c>
      <c r="AQ39" s="12">
        <f t="shared" si="10"/>
        <v>0</v>
      </c>
      <c r="AR39" s="12">
        <f t="shared" si="10"/>
        <v>0</v>
      </c>
      <c r="AS39" s="12">
        <f t="shared" si="7"/>
        <v>0</v>
      </c>
      <c r="AT39" s="13">
        <f t="shared" si="12"/>
        <v>0</v>
      </c>
    </row>
    <row r="40" spans="1:46" ht="15.6" thickTop="1" thickBot="1">
      <c r="A40" s="34">
        <v>202320011</v>
      </c>
      <c r="B40" s="34" t="s">
        <v>52</v>
      </c>
      <c r="C40" s="11" t="str">
        <f>IFERROR(VLOOKUP($A40&amp;C$3,'Mark Leave'!$A:$E,5,0),"")</f>
        <v/>
      </c>
      <c r="D40" s="11" t="str">
        <f>IFERROR(VLOOKUP($A40&amp;D$3,'Mark Leave'!$A:$E,5,0),"")</f>
        <v/>
      </c>
      <c r="E40" s="11" t="str">
        <f>IFERROR(VLOOKUP($A40&amp;E$3,'Mark Leave'!$A:$E,5,0),"")</f>
        <v/>
      </c>
      <c r="F40" s="11" t="str">
        <f>IFERROR(VLOOKUP($A40&amp;F$3,'Mark Leave'!$A:$E,5,0),"")</f>
        <v/>
      </c>
      <c r="G40" s="11" t="str">
        <f>IFERROR(VLOOKUP($A40&amp;G$3,'Mark Leave'!$A:$E,5,0),"")</f>
        <v/>
      </c>
      <c r="H40" s="11" t="str">
        <f>IFERROR(VLOOKUP($A40&amp;H$3,'Mark Leave'!$A:$E,5,0),"")</f>
        <v/>
      </c>
      <c r="I40" s="11" t="str">
        <f>IFERROR(VLOOKUP($A40&amp;I$3,'Mark Leave'!$A:$E,5,0),"")</f>
        <v/>
      </c>
      <c r="J40" s="11" t="str">
        <f>IFERROR(VLOOKUP($A40&amp;J$3,'Mark Leave'!$A:$E,5,0),"")</f>
        <v/>
      </c>
      <c r="K40" s="11" t="str">
        <f>IFERROR(VLOOKUP($A40&amp;K$3,'Mark Leave'!$A:$E,5,0),"")</f>
        <v/>
      </c>
      <c r="L40" s="11" t="str">
        <f>IFERROR(VLOOKUP($A40&amp;L$3,'Mark Leave'!$A:$E,5,0),"")</f>
        <v/>
      </c>
      <c r="M40" s="11" t="str">
        <f>IFERROR(VLOOKUP($A40&amp;M$3,'Mark Leave'!$A:$E,5,0),"")</f>
        <v/>
      </c>
      <c r="N40" s="11" t="str">
        <f>IFERROR(VLOOKUP($A40&amp;N$3,'Mark Leave'!$A:$E,5,0),"")</f>
        <v/>
      </c>
      <c r="O40" s="11" t="str">
        <f>IFERROR(VLOOKUP($A40&amp;O$3,'Mark Leave'!$A:$E,5,0),"")</f>
        <v/>
      </c>
      <c r="P40" s="11" t="str">
        <f>IFERROR(VLOOKUP($A40&amp;P$3,'Mark Leave'!$A:$E,5,0),"")</f>
        <v/>
      </c>
      <c r="Q40" s="11" t="str">
        <f>IFERROR(VLOOKUP($A40&amp;Q$3,'Mark Leave'!$A:$E,5,0),"")</f>
        <v/>
      </c>
      <c r="R40" s="11" t="str">
        <f>IFERROR(VLOOKUP($A40&amp;R$3,'Mark Leave'!$A:$E,5,0),"")</f>
        <v/>
      </c>
      <c r="S40" s="11" t="str">
        <f>IFERROR(VLOOKUP($A40&amp;S$3,'Mark Leave'!$A:$E,5,0),"")</f>
        <v/>
      </c>
      <c r="T40" s="11" t="str">
        <f>IFERROR(VLOOKUP($A40&amp;T$3,'Mark Leave'!$A:$E,5,0),"")</f>
        <v/>
      </c>
      <c r="U40" s="11" t="str">
        <f>IFERROR(VLOOKUP($A40&amp;U$3,'Mark Leave'!$A:$E,5,0),"")</f>
        <v/>
      </c>
      <c r="V40" s="11" t="str">
        <f>IFERROR(VLOOKUP($A40&amp;V$3,'Mark Leave'!$A:$E,5,0),"")</f>
        <v/>
      </c>
      <c r="W40" s="11" t="str">
        <f>IFERROR(VLOOKUP($A40&amp;W$3,'Mark Leave'!$A:$E,5,0),"")</f>
        <v/>
      </c>
      <c r="X40" s="11" t="str">
        <f>IFERROR(VLOOKUP($A40&amp;X$3,'Mark Leave'!$A:$E,5,0),"")</f>
        <v/>
      </c>
      <c r="Y40" s="11" t="str">
        <f>IFERROR(VLOOKUP($A40&amp;Y$3,'Mark Leave'!$A:$E,5,0),"")</f>
        <v/>
      </c>
      <c r="Z40" s="11" t="str">
        <f>IFERROR(VLOOKUP($A40&amp;Z$3,'Mark Leave'!$A:$E,5,0),"")</f>
        <v/>
      </c>
      <c r="AA40" s="11" t="str">
        <f>IFERROR(VLOOKUP($A40&amp;AA$3,'Mark Leave'!$A:$E,5,0),"")</f>
        <v/>
      </c>
      <c r="AB40" s="11" t="str">
        <f>IFERROR(VLOOKUP($A40&amp;AB$3,'Mark Leave'!$A:$E,5,0),"")</f>
        <v/>
      </c>
      <c r="AC40" s="11" t="str">
        <f>IFERROR(VLOOKUP($A40&amp;AC$3,'Mark Leave'!$A:$E,5,0),"")</f>
        <v/>
      </c>
      <c r="AD40" s="11" t="str">
        <f>IFERROR(VLOOKUP($A40&amp;AD$3,'Mark Leave'!$A:$E,5,0),"")</f>
        <v/>
      </c>
      <c r="AE40" s="11" t="str">
        <f>IFERROR(VLOOKUP($A40&amp;AE$3,'Mark Leave'!$A:$E,5,0),"")</f>
        <v/>
      </c>
      <c r="AF40" s="11" t="str">
        <f>IFERROR(VLOOKUP($A40&amp;AF$3,'Mark Leave'!$A:$E,5,0),"")</f>
        <v/>
      </c>
      <c r="AG40" s="11" t="str">
        <f>IFERROR(VLOOKUP($A40&amp;AG$3,'Mark Leave'!$A:$E,5,0),"")</f>
        <v/>
      </c>
      <c r="AH40" s="12">
        <f t="shared" si="14"/>
        <v>0</v>
      </c>
      <c r="AI40" s="12">
        <f t="shared" si="14"/>
        <v>0</v>
      </c>
      <c r="AJ40" s="12">
        <f t="shared" si="14"/>
        <v>0</v>
      </c>
      <c r="AK40" s="12">
        <f t="shared" si="14"/>
        <v>0</v>
      </c>
      <c r="AL40" s="12">
        <f t="shared" si="14"/>
        <v>0</v>
      </c>
      <c r="AM40" s="12">
        <f t="shared" si="14"/>
        <v>0</v>
      </c>
      <c r="AN40" s="12">
        <f t="shared" si="11"/>
        <v>0</v>
      </c>
      <c r="AO40" s="12">
        <f t="shared" si="11"/>
        <v>0</v>
      </c>
      <c r="AP40" s="12">
        <f t="shared" si="11"/>
        <v>0</v>
      </c>
      <c r="AQ40" s="12">
        <f t="shared" si="10"/>
        <v>0</v>
      </c>
      <c r="AR40" s="12">
        <f t="shared" si="10"/>
        <v>0</v>
      </c>
      <c r="AS40" s="12">
        <f t="shared" si="7"/>
        <v>0</v>
      </c>
      <c r="AT40" s="13">
        <f t="shared" si="12"/>
        <v>0</v>
      </c>
    </row>
    <row r="41" spans="1:46" ht="15.6" thickTop="1" thickBot="1">
      <c r="A41" s="34">
        <v>202318026</v>
      </c>
      <c r="B41" s="34" t="s">
        <v>53</v>
      </c>
      <c r="C41" s="11" t="str">
        <f>IFERROR(VLOOKUP($A41&amp;C$3,'Mark Leave'!$A:$E,5,0),"")</f>
        <v/>
      </c>
      <c r="D41" s="11" t="str">
        <f>IFERROR(VLOOKUP($A41&amp;D$3,'Mark Leave'!$A:$E,5,0),"")</f>
        <v/>
      </c>
      <c r="E41" s="11" t="str">
        <f>IFERROR(VLOOKUP($A41&amp;E$3,'Mark Leave'!$A:$E,5,0),"")</f>
        <v/>
      </c>
      <c r="F41" s="11" t="str">
        <f>IFERROR(VLOOKUP($A41&amp;F$3,'Mark Leave'!$A:$E,5,0),"")</f>
        <v/>
      </c>
      <c r="G41" s="11" t="str">
        <f>IFERROR(VLOOKUP($A41&amp;G$3,'Mark Leave'!$A:$E,5,0),"")</f>
        <v/>
      </c>
      <c r="H41" s="11" t="str">
        <f>IFERROR(VLOOKUP($A41&amp;H$3,'Mark Leave'!$A:$E,5,0),"")</f>
        <v/>
      </c>
      <c r="I41" s="11" t="str">
        <f>IFERROR(VLOOKUP($A41&amp;I$3,'Mark Leave'!$A:$E,5,0),"")</f>
        <v/>
      </c>
      <c r="J41" s="11" t="str">
        <f>IFERROR(VLOOKUP($A41&amp;J$3,'Mark Leave'!$A:$E,5,0),"")</f>
        <v/>
      </c>
      <c r="K41" s="11" t="str">
        <f>IFERROR(VLOOKUP($A41&amp;K$3,'Mark Leave'!$A:$E,5,0),"")</f>
        <v/>
      </c>
      <c r="L41" s="11" t="str">
        <f>IFERROR(VLOOKUP($A41&amp;L$3,'Mark Leave'!$A:$E,5,0),"")</f>
        <v/>
      </c>
      <c r="M41" s="11" t="str">
        <f>IFERROR(VLOOKUP($A41&amp;M$3,'Mark Leave'!$A:$E,5,0),"")</f>
        <v/>
      </c>
      <c r="N41" s="11" t="str">
        <f>IFERROR(VLOOKUP($A41&amp;N$3,'Mark Leave'!$A:$E,5,0),"")</f>
        <v/>
      </c>
      <c r="O41" s="11" t="str">
        <f>IFERROR(VLOOKUP($A41&amp;O$3,'Mark Leave'!$A:$E,5,0),"")</f>
        <v/>
      </c>
      <c r="P41" s="11" t="str">
        <f>IFERROR(VLOOKUP($A41&amp;P$3,'Mark Leave'!$A:$E,5,0),"")</f>
        <v/>
      </c>
      <c r="Q41" s="11" t="str">
        <f>IFERROR(VLOOKUP($A41&amp;Q$3,'Mark Leave'!$A:$E,5,0),"")</f>
        <v/>
      </c>
      <c r="R41" s="11" t="str">
        <f>IFERROR(VLOOKUP($A41&amp;R$3,'Mark Leave'!$A:$E,5,0),"")</f>
        <v/>
      </c>
      <c r="S41" s="11" t="str">
        <f>IFERROR(VLOOKUP($A41&amp;S$3,'Mark Leave'!$A:$E,5,0),"")</f>
        <v/>
      </c>
      <c r="T41" s="11" t="str">
        <f>IFERROR(VLOOKUP($A41&amp;T$3,'Mark Leave'!$A:$E,5,0),"")</f>
        <v/>
      </c>
      <c r="U41" s="11" t="str">
        <f>IFERROR(VLOOKUP($A41&amp;U$3,'Mark Leave'!$A:$E,5,0),"")</f>
        <v/>
      </c>
      <c r="V41" s="11" t="str">
        <f>IFERROR(VLOOKUP($A41&amp;V$3,'Mark Leave'!$A:$E,5,0),"")</f>
        <v/>
      </c>
      <c r="W41" s="11" t="str">
        <f>IFERROR(VLOOKUP($A41&amp;W$3,'Mark Leave'!$A:$E,5,0),"")</f>
        <v/>
      </c>
      <c r="X41" s="11" t="str">
        <f>IFERROR(VLOOKUP($A41&amp;X$3,'Mark Leave'!$A:$E,5,0),"")</f>
        <v/>
      </c>
      <c r="Y41" s="11" t="str">
        <f>IFERROR(VLOOKUP($A41&amp;Y$3,'Mark Leave'!$A:$E,5,0),"")</f>
        <v/>
      </c>
      <c r="Z41" s="11" t="str">
        <f>IFERROR(VLOOKUP($A41&amp;Z$3,'Mark Leave'!$A:$E,5,0),"")</f>
        <v/>
      </c>
      <c r="AA41" s="11" t="str">
        <f>IFERROR(VLOOKUP($A41&amp;AA$3,'Mark Leave'!$A:$E,5,0),"")</f>
        <v/>
      </c>
      <c r="AB41" s="11" t="str">
        <f>IFERROR(VLOOKUP($A41&amp;AB$3,'Mark Leave'!$A:$E,5,0),"")</f>
        <v/>
      </c>
      <c r="AC41" s="11" t="str">
        <f>IFERROR(VLOOKUP($A41&amp;AC$3,'Mark Leave'!$A:$E,5,0),"")</f>
        <v/>
      </c>
      <c r="AD41" s="11" t="str">
        <f>IFERROR(VLOOKUP($A41&amp;AD$3,'Mark Leave'!$A:$E,5,0),"")</f>
        <v/>
      </c>
      <c r="AE41" s="11" t="str">
        <f>IFERROR(VLOOKUP($A41&amp;AE$3,'Mark Leave'!$A:$E,5,0),"")</f>
        <v/>
      </c>
      <c r="AF41" s="11" t="str">
        <f>IFERROR(VLOOKUP($A41&amp;AF$3,'Mark Leave'!$A:$E,5,0),"")</f>
        <v/>
      </c>
      <c r="AG41" s="11" t="str">
        <f>IFERROR(VLOOKUP($A41&amp;AG$3,'Mark Leave'!$A:$E,5,0),"")</f>
        <v/>
      </c>
      <c r="AH41" s="12">
        <f t="shared" si="14"/>
        <v>0</v>
      </c>
      <c r="AI41" s="12">
        <f t="shared" si="14"/>
        <v>0</v>
      </c>
      <c r="AJ41" s="12">
        <f t="shared" si="14"/>
        <v>0</v>
      </c>
      <c r="AK41" s="12">
        <f t="shared" si="14"/>
        <v>0</v>
      </c>
      <c r="AL41" s="12">
        <f t="shared" si="14"/>
        <v>0</v>
      </c>
      <c r="AM41" s="12">
        <f t="shared" si="14"/>
        <v>0</v>
      </c>
      <c r="AN41" s="12">
        <f t="shared" si="11"/>
        <v>0</v>
      </c>
      <c r="AO41" s="12">
        <f t="shared" si="11"/>
        <v>0</v>
      </c>
      <c r="AP41" s="12">
        <f t="shared" si="11"/>
        <v>0</v>
      </c>
      <c r="AQ41" s="12">
        <f t="shared" ref="AQ41:AR55" si="15">COUNTIF($C41:$AG41,AQ$4)/2</f>
        <v>0</v>
      </c>
      <c r="AR41" s="12">
        <f t="shared" si="15"/>
        <v>0</v>
      </c>
      <c r="AS41" s="12">
        <f t="shared" si="7"/>
        <v>0</v>
      </c>
      <c r="AT41" s="13">
        <f t="shared" si="12"/>
        <v>0</v>
      </c>
    </row>
    <row r="42" spans="1:46" ht="15.6" thickTop="1" thickBot="1">
      <c r="A42" s="34">
        <v>202318027</v>
      </c>
      <c r="B42" s="34" t="s">
        <v>54</v>
      </c>
      <c r="C42" s="11" t="str">
        <f>IFERROR(VLOOKUP($A42&amp;C$3,'Mark Leave'!$A:$E,5,0),"")</f>
        <v/>
      </c>
      <c r="D42" s="11" t="str">
        <f>IFERROR(VLOOKUP($A42&amp;D$3,'Mark Leave'!$A:$E,5,0),"")</f>
        <v/>
      </c>
      <c r="E42" s="11" t="str">
        <f>IFERROR(VLOOKUP($A42&amp;E$3,'Mark Leave'!$A:$E,5,0),"")</f>
        <v/>
      </c>
      <c r="F42" s="11" t="str">
        <f>IFERROR(VLOOKUP($A42&amp;F$3,'Mark Leave'!$A:$E,5,0),"")</f>
        <v/>
      </c>
      <c r="G42" s="11" t="str">
        <f>IFERROR(VLOOKUP($A42&amp;G$3,'Mark Leave'!$A:$E,5,0),"")</f>
        <v/>
      </c>
      <c r="H42" s="11" t="str">
        <f>IFERROR(VLOOKUP($A42&amp;H$3,'Mark Leave'!$A:$E,5,0),"")</f>
        <v/>
      </c>
      <c r="I42" s="11" t="str">
        <f>IFERROR(VLOOKUP($A42&amp;I$3,'Mark Leave'!$A:$E,5,0),"")</f>
        <v/>
      </c>
      <c r="J42" s="11" t="str">
        <f>IFERROR(VLOOKUP($A42&amp;J$3,'Mark Leave'!$A:$E,5,0),"")</f>
        <v/>
      </c>
      <c r="K42" s="11" t="str">
        <f>IFERROR(VLOOKUP($A42&amp;K$3,'Mark Leave'!$A:$E,5,0),"")</f>
        <v/>
      </c>
      <c r="L42" s="11" t="str">
        <f>IFERROR(VLOOKUP($A42&amp;L$3,'Mark Leave'!$A:$E,5,0),"")</f>
        <v/>
      </c>
      <c r="M42" s="11" t="str">
        <f>IFERROR(VLOOKUP($A42&amp;M$3,'Mark Leave'!$A:$E,5,0),"")</f>
        <v/>
      </c>
      <c r="N42" s="11" t="str">
        <f>IFERROR(VLOOKUP($A42&amp;N$3,'Mark Leave'!$A:$E,5,0),"")</f>
        <v/>
      </c>
      <c r="O42" s="11" t="str">
        <f>IFERROR(VLOOKUP($A42&amp;O$3,'Mark Leave'!$A:$E,5,0),"")</f>
        <v/>
      </c>
      <c r="P42" s="11" t="str">
        <f>IFERROR(VLOOKUP($A42&amp;P$3,'Mark Leave'!$A:$E,5,0),"")</f>
        <v/>
      </c>
      <c r="Q42" s="11" t="str">
        <f>IFERROR(VLOOKUP($A42&amp;Q$3,'Mark Leave'!$A:$E,5,0),"")</f>
        <v/>
      </c>
      <c r="R42" s="11" t="str">
        <f>IFERROR(VLOOKUP($A42&amp;R$3,'Mark Leave'!$A:$E,5,0),"")</f>
        <v/>
      </c>
      <c r="S42" s="11" t="str">
        <f>IFERROR(VLOOKUP($A42&amp;S$3,'Mark Leave'!$A:$E,5,0),"")</f>
        <v/>
      </c>
      <c r="T42" s="11" t="str">
        <f>IFERROR(VLOOKUP($A42&amp;T$3,'Mark Leave'!$A:$E,5,0),"")</f>
        <v/>
      </c>
      <c r="U42" s="11" t="str">
        <f>IFERROR(VLOOKUP($A42&amp;U$3,'Mark Leave'!$A:$E,5,0),"")</f>
        <v/>
      </c>
      <c r="V42" s="11" t="str">
        <f>IFERROR(VLOOKUP($A42&amp;V$3,'Mark Leave'!$A:$E,5,0),"")</f>
        <v/>
      </c>
      <c r="W42" s="11" t="str">
        <f>IFERROR(VLOOKUP($A42&amp;W$3,'Mark Leave'!$A:$E,5,0),"")</f>
        <v/>
      </c>
      <c r="X42" s="11" t="str">
        <f>IFERROR(VLOOKUP($A42&amp;X$3,'Mark Leave'!$A:$E,5,0),"")</f>
        <v/>
      </c>
      <c r="Y42" s="11" t="str">
        <f>IFERROR(VLOOKUP($A42&amp;Y$3,'Mark Leave'!$A:$E,5,0),"")</f>
        <v/>
      </c>
      <c r="Z42" s="11" t="str">
        <f>IFERROR(VLOOKUP($A42&amp;Z$3,'Mark Leave'!$A:$E,5,0),"")</f>
        <v/>
      </c>
      <c r="AA42" s="11" t="str">
        <f>IFERROR(VLOOKUP($A42&amp;AA$3,'Mark Leave'!$A:$E,5,0),"")</f>
        <v/>
      </c>
      <c r="AB42" s="11" t="str">
        <f>IFERROR(VLOOKUP($A42&amp;AB$3,'Mark Leave'!$A:$E,5,0),"")</f>
        <v/>
      </c>
      <c r="AC42" s="11" t="str">
        <f>IFERROR(VLOOKUP($A42&amp;AC$3,'Mark Leave'!$A:$E,5,0),"")</f>
        <v/>
      </c>
      <c r="AD42" s="11" t="str">
        <f>IFERROR(VLOOKUP($A42&amp;AD$3,'Mark Leave'!$A:$E,5,0),"")</f>
        <v/>
      </c>
      <c r="AE42" s="11" t="str">
        <f>IFERROR(VLOOKUP($A42&amp;AE$3,'Mark Leave'!$A:$E,5,0),"")</f>
        <v/>
      </c>
      <c r="AF42" s="11" t="str">
        <f>IFERROR(VLOOKUP($A42&amp;AF$3,'Mark Leave'!$A:$E,5,0),"")</f>
        <v/>
      </c>
      <c r="AG42" s="11" t="str">
        <f>IFERROR(VLOOKUP($A42&amp;AG$3,'Mark Leave'!$A:$E,5,0),"")</f>
        <v/>
      </c>
      <c r="AH42" s="12">
        <f t="shared" si="14"/>
        <v>0</v>
      </c>
      <c r="AI42" s="12">
        <f t="shared" si="14"/>
        <v>0</v>
      </c>
      <c r="AJ42" s="12">
        <f t="shared" si="14"/>
        <v>0</v>
      </c>
      <c r="AK42" s="12">
        <f t="shared" si="14"/>
        <v>0</v>
      </c>
      <c r="AL42" s="12">
        <f t="shared" si="14"/>
        <v>0</v>
      </c>
      <c r="AM42" s="12">
        <f t="shared" si="14"/>
        <v>0</v>
      </c>
      <c r="AN42" s="12">
        <f t="shared" si="11"/>
        <v>0</v>
      </c>
      <c r="AO42" s="12">
        <f t="shared" si="11"/>
        <v>0</v>
      </c>
      <c r="AP42" s="12">
        <f t="shared" si="11"/>
        <v>0</v>
      </c>
      <c r="AQ42" s="12">
        <f t="shared" si="15"/>
        <v>0</v>
      </c>
      <c r="AR42" s="12">
        <f t="shared" si="15"/>
        <v>0</v>
      </c>
      <c r="AS42" s="12">
        <f t="shared" si="7"/>
        <v>0</v>
      </c>
      <c r="AT42" s="13">
        <f t="shared" si="12"/>
        <v>0</v>
      </c>
    </row>
    <row r="43" spans="1:46" ht="15.6" thickTop="1" thickBot="1">
      <c r="A43" s="34">
        <v>202320012</v>
      </c>
      <c r="B43" s="34" t="s">
        <v>93</v>
      </c>
      <c r="C43" s="11" t="str">
        <f>IFERROR(VLOOKUP($A43&amp;C$3,'Mark Leave'!$A:$E,5,0),"")</f>
        <v/>
      </c>
      <c r="D43" s="11" t="str">
        <f>IFERROR(VLOOKUP($A43&amp;D$3,'Mark Leave'!$A:$E,5,0),"")</f>
        <v/>
      </c>
      <c r="E43" s="11" t="str">
        <f>IFERROR(VLOOKUP($A43&amp;E$3,'Mark Leave'!$A:$E,5,0),"")</f>
        <v/>
      </c>
      <c r="F43" s="11" t="str">
        <f>IFERROR(VLOOKUP($A43&amp;F$3,'Mark Leave'!$A:$E,5,0),"")</f>
        <v/>
      </c>
      <c r="G43" s="11" t="str">
        <f>IFERROR(VLOOKUP($A43&amp;G$3,'Mark Leave'!$A:$E,5,0),"")</f>
        <v/>
      </c>
      <c r="H43" s="11" t="str">
        <f>IFERROR(VLOOKUP($A43&amp;H$3,'Mark Leave'!$A:$E,5,0),"")</f>
        <v/>
      </c>
      <c r="I43" s="11" t="str">
        <f>IFERROR(VLOOKUP($A43&amp;I$3,'Mark Leave'!$A:$E,5,0),"")</f>
        <v/>
      </c>
      <c r="J43" s="11" t="str">
        <f>IFERROR(VLOOKUP($A43&amp;J$3,'Mark Leave'!$A:$E,5,0),"")</f>
        <v/>
      </c>
      <c r="K43" s="11" t="str">
        <f>IFERROR(VLOOKUP($A43&amp;K$3,'Mark Leave'!$A:$E,5,0),"")</f>
        <v/>
      </c>
      <c r="L43" s="11" t="str">
        <f>IFERROR(VLOOKUP($A43&amp;L$3,'Mark Leave'!$A:$E,5,0),"")</f>
        <v/>
      </c>
      <c r="M43" s="11" t="str">
        <f>IFERROR(VLOOKUP($A43&amp;M$3,'Mark Leave'!$A:$E,5,0),"")</f>
        <v/>
      </c>
      <c r="N43" s="11" t="str">
        <f>IFERROR(VLOOKUP($A43&amp;N$3,'Mark Leave'!$A:$E,5,0),"")</f>
        <v/>
      </c>
      <c r="O43" s="11" t="str">
        <f>IFERROR(VLOOKUP($A43&amp;O$3,'Mark Leave'!$A:$E,5,0),"")</f>
        <v/>
      </c>
      <c r="P43" s="11" t="str">
        <f>IFERROR(VLOOKUP($A43&amp;P$3,'Mark Leave'!$A:$E,5,0),"")</f>
        <v/>
      </c>
      <c r="Q43" s="11" t="str">
        <f>IFERROR(VLOOKUP($A43&amp;Q$3,'Mark Leave'!$A:$E,5,0),"")</f>
        <v/>
      </c>
      <c r="R43" s="11" t="str">
        <f>IFERROR(VLOOKUP($A43&amp;R$3,'Mark Leave'!$A:$E,5,0),"")</f>
        <v/>
      </c>
      <c r="S43" s="11" t="str">
        <f>IFERROR(VLOOKUP($A43&amp;S$3,'Mark Leave'!$A:$E,5,0),"")</f>
        <v/>
      </c>
      <c r="T43" s="11" t="str">
        <f>IFERROR(VLOOKUP($A43&amp;T$3,'Mark Leave'!$A:$E,5,0),"")</f>
        <v/>
      </c>
      <c r="U43" s="11" t="str">
        <f>IFERROR(VLOOKUP($A43&amp;U$3,'Mark Leave'!$A:$E,5,0),"")</f>
        <v/>
      </c>
      <c r="V43" s="11" t="str">
        <f>IFERROR(VLOOKUP($A43&amp;V$3,'Mark Leave'!$A:$E,5,0),"")</f>
        <v/>
      </c>
      <c r="W43" s="11" t="str">
        <f>IFERROR(VLOOKUP($A43&amp;W$3,'Mark Leave'!$A:$E,5,0),"")</f>
        <v/>
      </c>
      <c r="X43" s="11" t="str">
        <f>IFERROR(VLOOKUP($A43&amp;X$3,'Mark Leave'!$A:$E,5,0),"")</f>
        <v/>
      </c>
      <c r="Y43" s="11" t="str">
        <f>IFERROR(VLOOKUP($A43&amp;Y$3,'Mark Leave'!$A:$E,5,0),"")</f>
        <v/>
      </c>
      <c r="Z43" s="11" t="str">
        <f>IFERROR(VLOOKUP($A43&amp;Z$3,'Mark Leave'!$A:$E,5,0),"")</f>
        <v/>
      </c>
      <c r="AA43" s="11" t="str">
        <f>IFERROR(VLOOKUP($A43&amp;AA$3,'Mark Leave'!$A:$E,5,0),"")</f>
        <v/>
      </c>
      <c r="AB43" s="11" t="str">
        <f>IFERROR(VLOOKUP($A43&amp;AB$3,'Mark Leave'!$A:$E,5,0),"")</f>
        <v/>
      </c>
      <c r="AC43" s="11" t="str">
        <f>IFERROR(VLOOKUP($A43&amp;AC$3,'Mark Leave'!$A:$E,5,0),"")</f>
        <v/>
      </c>
      <c r="AD43" s="11" t="str">
        <f>IFERROR(VLOOKUP($A43&amp;AD$3,'Mark Leave'!$A:$E,5,0),"")</f>
        <v/>
      </c>
      <c r="AE43" s="11" t="str">
        <f>IFERROR(VLOOKUP($A43&amp;AE$3,'Mark Leave'!$A:$E,5,0),"")</f>
        <v/>
      </c>
      <c r="AF43" s="11" t="str">
        <f>IFERROR(VLOOKUP($A43&amp;AF$3,'Mark Leave'!$A:$E,5,0),"")</f>
        <v/>
      </c>
      <c r="AG43" s="11" t="str">
        <f>IFERROR(VLOOKUP($A43&amp;AG$3,'Mark Leave'!$A:$E,5,0),"")</f>
        <v/>
      </c>
      <c r="AH43" s="12">
        <f t="shared" si="14"/>
        <v>0</v>
      </c>
      <c r="AI43" s="12">
        <f t="shared" si="14"/>
        <v>0</v>
      </c>
      <c r="AJ43" s="12">
        <f t="shared" si="14"/>
        <v>0</v>
      </c>
      <c r="AK43" s="12">
        <f t="shared" si="14"/>
        <v>0</v>
      </c>
      <c r="AL43" s="12">
        <f t="shared" si="14"/>
        <v>0</v>
      </c>
      <c r="AM43" s="12">
        <f t="shared" si="14"/>
        <v>0</v>
      </c>
      <c r="AN43" s="12">
        <f t="shared" si="11"/>
        <v>0</v>
      </c>
      <c r="AO43" s="12">
        <f t="shared" si="11"/>
        <v>0</v>
      </c>
      <c r="AP43" s="12">
        <f t="shared" si="11"/>
        <v>0</v>
      </c>
      <c r="AQ43" s="12">
        <f t="shared" si="15"/>
        <v>0</v>
      </c>
      <c r="AR43" s="12">
        <f t="shared" si="15"/>
        <v>0</v>
      </c>
      <c r="AS43" s="12">
        <f t="shared" si="7"/>
        <v>0</v>
      </c>
      <c r="AT43" s="13">
        <f t="shared" si="12"/>
        <v>0</v>
      </c>
    </row>
    <row r="44" spans="1:46" ht="15.6" thickTop="1" thickBot="1">
      <c r="A44" s="34">
        <v>202320013</v>
      </c>
      <c r="B44" s="34" t="s">
        <v>56</v>
      </c>
      <c r="C44" s="11" t="str">
        <f>IFERROR(VLOOKUP($A44&amp;C$3,'Mark Leave'!$A:$E,5,0),"")</f>
        <v/>
      </c>
      <c r="D44" s="11" t="str">
        <f>IFERROR(VLOOKUP($A44&amp;D$3,'Mark Leave'!$A:$E,5,0),"")</f>
        <v/>
      </c>
      <c r="E44" s="11" t="str">
        <f>IFERROR(VLOOKUP($A44&amp;E$3,'Mark Leave'!$A:$E,5,0),"")</f>
        <v/>
      </c>
      <c r="F44" s="11" t="str">
        <f>IFERROR(VLOOKUP($A44&amp;F$3,'Mark Leave'!$A:$E,5,0),"")</f>
        <v/>
      </c>
      <c r="G44" s="11" t="str">
        <f>IFERROR(VLOOKUP($A44&amp;G$3,'Mark Leave'!$A:$E,5,0),"")</f>
        <v/>
      </c>
      <c r="H44" s="11" t="str">
        <f>IFERROR(VLOOKUP($A44&amp;H$3,'Mark Leave'!$A:$E,5,0),"")</f>
        <v/>
      </c>
      <c r="I44" s="11" t="str">
        <f>IFERROR(VLOOKUP($A44&amp;I$3,'Mark Leave'!$A:$E,5,0),"")</f>
        <v/>
      </c>
      <c r="J44" s="11" t="str">
        <f>IFERROR(VLOOKUP($A44&amp;J$3,'Mark Leave'!$A:$E,5,0),"")</f>
        <v/>
      </c>
      <c r="K44" s="11" t="str">
        <f>IFERROR(VLOOKUP($A44&amp;K$3,'Mark Leave'!$A:$E,5,0),"")</f>
        <v/>
      </c>
      <c r="L44" s="11" t="str">
        <f>IFERROR(VLOOKUP($A44&amp;L$3,'Mark Leave'!$A:$E,5,0),"")</f>
        <v/>
      </c>
      <c r="M44" s="11" t="str">
        <f>IFERROR(VLOOKUP($A44&amp;M$3,'Mark Leave'!$A:$E,5,0),"")</f>
        <v/>
      </c>
      <c r="N44" s="11" t="str">
        <f>IFERROR(VLOOKUP($A44&amp;N$3,'Mark Leave'!$A:$E,5,0),"")</f>
        <v/>
      </c>
      <c r="O44" s="11" t="str">
        <f>IFERROR(VLOOKUP($A44&amp;O$3,'Mark Leave'!$A:$E,5,0),"")</f>
        <v/>
      </c>
      <c r="P44" s="11" t="str">
        <f>IFERROR(VLOOKUP($A44&amp;P$3,'Mark Leave'!$A:$E,5,0),"")</f>
        <v/>
      </c>
      <c r="Q44" s="11" t="str">
        <f>IFERROR(VLOOKUP($A44&amp;Q$3,'Mark Leave'!$A:$E,5,0),"")</f>
        <v/>
      </c>
      <c r="R44" s="11" t="str">
        <f>IFERROR(VLOOKUP($A44&amp;R$3,'Mark Leave'!$A:$E,5,0),"")</f>
        <v/>
      </c>
      <c r="S44" s="11" t="str">
        <f>IFERROR(VLOOKUP($A44&amp;S$3,'Mark Leave'!$A:$E,5,0),"")</f>
        <v/>
      </c>
      <c r="T44" s="11" t="str">
        <f>IFERROR(VLOOKUP($A44&amp;T$3,'Mark Leave'!$A:$E,5,0),"")</f>
        <v/>
      </c>
      <c r="U44" s="11" t="str">
        <f>IFERROR(VLOOKUP($A44&amp;U$3,'Mark Leave'!$A:$E,5,0),"")</f>
        <v/>
      </c>
      <c r="V44" s="11" t="str">
        <f>IFERROR(VLOOKUP($A44&amp;V$3,'Mark Leave'!$A:$E,5,0),"")</f>
        <v/>
      </c>
      <c r="W44" s="11" t="str">
        <f>IFERROR(VLOOKUP($A44&amp;W$3,'Mark Leave'!$A:$E,5,0),"")</f>
        <v/>
      </c>
      <c r="X44" s="11" t="str">
        <f>IFERROR(VLOOKUP($A44&amp;X$3,'Mark Leave'!$A:$E,5,0),"")</f>
        <v/>
      </c>
      <c r="Y44" s="11" t="str">
        <f>IFERROR(VLOOKUP($A44&amp;Y$3,'Mark Leave'!$A:$E,5,0),"")</f>
        <v/>
      </c>
      <c r="Z44" s="11" t="str">
        <f>IFERROR(VLOOKUP($A44&amp;Z$3,'Mark Leave'!$A:$E,5,0),"")</f>
        <v/>
      </c>
      <c r="AA44" s="11" t="str">
        <f>IFERROR(VLOOKUP($A44&amp;AA$3,'Mark Leave'!$A:$E,5,0),"")</f>
        <v/>
      </c>
      <c r="AB44" s="11" t="str">
        <f>IFERROR(VLOOKUP($A44&amp;AB$3,'Mark Leave'!$A:$E,5,0),"")</f>
        <v/>
      </c>
      <c r="AC44" s="11" t="str">
        <f>IFERROR(VLOOKUP($A44&amp;AC$3,'Mark Leave'!$A:$E,5,0),"")</f>
        <v/>
      </c>
      <c r="AD44" s="11" t="str">
        <f>IFERROR(VLOOKUP($A44&amp;AD$3,'Mark Leave'!$A:$E,5,0),"")</f>
        <v/>
      </c>
      <c r="AE44" s="11" t="str">
        <f>IFERROR(VLOOKUP($A44&amp;AE$3,'Mark Leave'!$A:$E,5,0),"")</f>
        <v/>
      </c>
      <c r="AF44" s="11" t="str">
        <f>IFERROR(VLOOKUP($A44&amp;AF$3,'Mark Leave'!$A:$E,5,0),"")</f>
        <v/>
      </c>
      <c r="AG44" s="11" t="str">
        <f>IFERROR(VLOOKUP($A44&amp;AG$3,'Mark Leave'!$A:$E,5,0),"")</f>
        <v/>
      </c>
      <c r="AH44" s="12">
        <f t="shared" si="14"/>
        <v>0</v>
      </c>
      <c r="AI44" s="12">
        <f t="shared" si="14"/>
        <v>0</v>
      </c>
      <c r="AJ44" s="12">
        <f t="shared" si="14"/>
        <v>0</v>
      </c>
      <c r="AK44" s="12">
        <f t="shared" si="14"/>
        <v>0</v>
      </c>
      <c r="AL44" s="12">
        <f t="shared" si="14"/>
        <v>0</v>
      </c>
      <c r="AM44" s="12">
        <f t="shared" si="14"/>
        <v>0</v>
      </c>
      <c r="AN44" s="12">
        <f t="shared" si="11"/>
        <v>0</v>
      </c>
      <c r="AO44" s="12">
        <f t="shared" si="11"/>
        <v>0</v>
      </c>
      <c r="AP44" s="12">
        <f t="shared" si="11"/>
        <v>0</v>
      </c>
      <c r="AQ44" s="12">
        <f t="shared" si="15"/>
        <v>0</v>
      </c>
      <c r="AR44" s="12">
        <f t="shared" si="15"/>
        <v>0</v>
      </c>
      <c r="AS44" s="12">
        <f t="shared" si="7"/>
        <v>0</v>
      </c>
      <c r="AT44" s="13">
        <f t="shared" si="12"/>
        <v>0</v>
      </c>
    </row>
    <row r="45" spans="1:46" ht="15.6" thickTop="1" thickBot="1">
      <c r="A45" s="34">
        <v>202318028</v>
      </c>
      <c r="B45" s="34" t="s">
        <v>57</v>
      </c>
      <c r="C45" s="11" t="str">
        <f>IFERROR(VLOOKUP($A45&amp;C$3,'Mark Leave'!$A:$E,5,0),"")</f>
        <v/>
      </c>
      <c r="D45" s="11" t="str">
        <f>IFERROR(VLOOKUP($A45&amp;D$3,'Mark Leave'!$A:$E,5,0),"")</f>
        <v/>
      </c>
      <c r="E45" s="11" t="str">
        <f>IFERROR(VLOOKUP($A45&amp;E$3,'Mark Leave'!$A:$E,5,0),"")</f>
        <v/>
      </c>
      <c r="F45" s="11" t="str">
        <f>IFERROR(VLOOKUP($A45&amp;F$3,'Mark Leave'!$A:$E,5,0),"")</f>
        <v/>
      </c>
      <c r="G45" s="11" t="str">
        <f>IFERROR(VLOOKUP($A45&amp;G$3,'Mark Leave'!$A:$E,5,0),"")</f>
        <v/>
      </c>
      <c r="H45" s="11" t="str">
        <f>IFERROR(VLOOKUP($A45&amp;H$3,'Mark Leave'!$A:$E,5,0),"")</f>
        <v/>
      </c>
      <c r="I45" s="11" t="str">
        <f>IFERROR(VLOOKUP($A45&amp;I$3,'Mark Leave'!$A:$E,5,0),"")</f>
        <v/>
      </c>
      <c r="J45" s="11" t="str">
        <f>IFERROR(VLOOKUP($A45&amp;J$3,'Mark Leave'!$A:$E,5,0),"")</f>
        <v/>
      </c>
      <c r="K45" s="11" t="str">
        <f>IFERROR(VLOOKUP($A45&amp;K$3,'Mark Leave'!$A:$E,5,0),"")</f>
        <v/>
      </c>
      <c r="L45" s="11" t="str">
        <f>IFERROR(VLOOKUP($A45&amp;L$3,'Mark Leave'!$A:$E,5,0),"")</f>
        <v/>
      </c>
      <c r="M45" s="11" t="str">
        <f>IFERROR(VLOOKUP($A45&amp;M$3,'Mark Leave'!$A:$E,5,0),"")</f>
        <v/>
      </c>
      <c r="N45" s="11" t="str">
        <f>IFERROR(VLOOKUP($A45&amp;N$3,'Mark Leave'!$A:$E,5,0),"")</f>
        <v/>
      </c>
      <c r="O45" s="11" t="str">
        <f>IFERROR(VLOOKUP($A45&amp;O$3,'Mark Leave'!$A:$E,5,0),"")</f>
        <v/>
      </c>
      <c r="P45" s="11" t="str">
        <f>IFERROR(VLOOKUP($A45&amp;P$3,'Mark Leave'!$A:$E,5,0),"")</f>
        <v/>
      </c>
      <c r="Q45" s="11" t="str">
        <f>IFERROR(VLOOKUP($A45&amp;Q$3,'Mark Leave'!$A:$E,5,0),"")</f>
        <v/>
      </c>
      <c r="R45" s="11" t="str">
        <f>IFERROR(VLOOKUP($A45&amp;R$3,'Mark Leave'!$A:$E,5,0),"")</f>
        <v/>
      </c>
      <c r="S45" s="11" t="str">
        <f>IFERROR(VLOOKUP($A45&amp;S$3,'Mark Leave'!$A:$E,5,0),"")</f>
        <v/>
      </c>
      <c r="T45" s="11" t="str">
        <f>IFERROR(VLOOKUP($A45&amp;T$3,'Mark Leave'!$A:$E,5,0),"")</f>
        <v/>
      </c>
      <c r="U45" s="11" t="str">
        <f>IFERROR(VLOOKUP($A45&amp;U$3,'Mark Leave'!$A:$E,5,0),"")</f>
        <v/>
      </c>
      <c r="V45" s="11" t="str">
        <f>IFERROR(VLOOKUP($A45&amp;V$3,'Mark Leave'!$A:$E,5,0),"")</f>
        <v/>
      </c>
      <c r="W45" s="11" t="str">
        <f>IFERROR(VLOOKUP($A45&amp;W$3,'Mark Leave'!$A:$E,5,0),"")</f>
        <v/>
      </c>
      <c r="X45" s="11" t="str">
        <f>IFERROR(VLOOKUP($A45&amp;X$3,'Mark Leave'!$A:$E,5,0),"")</f>
        <v/>
      </c>
      <c r="Y45" s="11" t="str">
        <f>IFERROR(VLOOKUP($A45&amp;Y$3,'Mark Leave'!$A:$E,5,0),"")</f>
        <v/>
      </c>
      <c r="Z45" s="11" t="str">
        <f>IFERROR(VLOOKUP($A45&amp;Z$3,'Mark Leave'!$A:$E,5,0),"")</f>
        <v/>
      </c>
      <c r="AA45" s="11" t="str">
        <f>IFERROR(VLOOKUP($A45&amp;AA$3,'Mark Leave'!$A:$E,5,0),"")</f>
        <v/>
      </c>
      <c r="AB45" s="11" t="str">
        <f>IFERROR(VLOOKUP($A45&amp;AB$3,'Mark Leave'!$A:$E,5,0),"")</f>
        <v/>
      </c>
      <c r="AC45" s="11" t="str">
        <f>IFERROR(VLOOKUP($A45&amp;AC$3,'Mark Leave'!$A:$E,5,0),"")</f>
        <v/>
      </c>
      <c r="AD45" s="11" t="str">
        <f>IFERROR(VLOOKUP($A45&amp;AD$3,'Mark Leave'!$A:$E,5,0),"")</f>
        <v/>
      </c>
      <c r="AE45" s="11" t="str">
        <f>IFERROR(VLOOKUP($A45&amp;AE$3,'Mark Leave'!$A:$E,5,0),"")</f>
        <v/>
      </c>
      <c r="AF45" s="11" t="str">
        <f>IFERROR(VLOOKUP($A45&amp;AF$3,'Mark Leave'!$A:$E,5,0),"")</f>
        <v/>
      </c>
      <c r="AG45" s="11" t="str">
        <f>IFERROR(VLOOKUP($A45&amp;AG$3,'Mark Leave'!$A:$E,5,0),"")</f>
        <v/>
      </c>
      <c r="AH45" s="12">
        <f t="shared" si="14"/>
        <v>0</v>
      </c>
      <c r="AI45" s="12">
        <f t="shared" si="14"/>
        <v>0</v>
      </c>
      <c r="AJ45" s="12">
        <f t="shared" si="14"/>
        <v>0</v>
      </c>
      <c r="AK45" s="12">
        <f t="shared" si="14"/>
        <v>0</v>
      </c>
      <c r="AL45" s="12">
        <f t="shared" si="14"/>
        <v>0</v>
      </c>
      <c r="AM45" s="12">
        <f t="shared" si="14"/>
        <v>0</v>
      </c>
      <c r="AN45" s="12">
        <f t="shared" ref="AN45:AP55" si="16">COUNTIF($C45:$AG45,AN$4)/2</f>
        <v>0</v>
      </c>
      <c r="AO45" s="12">
        <f t="shared" si="16"/>
        <v>0</v>
      </c>
      <c r="AP45" s="12">
        <f t="shared" si="16"/>
        <v>0</v>
      </c>
      <c r="AQ45" s="12">
        <f t="shared" si="15"/>
        <v>0</v>
      </c>
      <c r="AR45" s="12">
        <f t="shared" si="15"/>
        <v>0</v>
      </c>
      <c r="AS45" s="12">
        <f t="shared" si="7"/>
        <v>0</v>
      </c>
      <c r="AT45" s="13">
        <f t="shared" si="12"/>
        <v>0</v>
      </c>
    </row>
    <row r="46" spans="1:46" ht="15.6" thickTop="1" thickBot="1">
      <c r="A46" s="34">
        <v>202320014</v>
      </c>
      <c r="B46" s="34" t="s">
        <v>94</v>
      </c>
      <c r="C46" s="11" t="str">
        <f>IFERROR(VLOOKUP($A46&amp;C$3,'Mark Leave'!$A:$E,5,0),"")</f>
        <v/>
      </c>
      <c r="D46" s="11" t="str">
        <f>IFERROR(VLOOKUP($A46&amp;D$3,'Mark Leave'!$A:$E,5,0),"")</f>
        <v/>
      </c>
      <c r="E46" s="11" t="str">
        <f>IFERROR(VLOOKUP($A46&amp;E$3,'Mark Leave'!$A:$E,5,0),"")</f>
        <v/>
      </c>
      <c r="F46" s="11" t="str">
        <f>IFERROR(VLOOKUP($A46&amp;F$3,'Mark Leave'!$A:$E,5,0),"")</f>
        <v/>
      </c>
      <c r="G46" s="11" t="str">
        <f>IFERROR(VLOOKUP($A46&amp;G$3,'Mark Leave'!$A:$E,5,0),"")</f>
        <v/>
      </c>
      <c r="H46" s="11" t="str">
        <f>IFERROR(VLOOKUP($A46&amp;H$3,'Mark Leave'!$A:$E,5,0),"")</f>
        <v/>
      </c>
      <c r="I46" s="11" t="str">
        <f>IFERROR(VLOOKUP($A46&amp;I$3,'Mark Leave'!$A:$E,5,0),"")</f>
        <v/>
      </c>
      <c r="J46" s="11" t="str">
        <f>IFERROR(VLOOKUP($A46&amp;J$3,'Mark Leave'!$A:$E,5,0),"")</f>
        <v/>
      </c>
      <c r="K46" s="11" t="str">
        <f>IFERROR(VLOOKUP($A46&amp;K$3,'Mark Leave'!$A:$E,5,0),"")</f>
        <v/>
      </c>
      <c r="L46" s="11" t="str">
        <f>IFERROR(VLOOKUP($A46&amp;L$3,'Mark Leave'!$A:$E,5,0),"")</f>
        <v/>
      </c>
      <c r="M46" s="11" t="str">
        <f>IFERROR(VLOOKUP($A46&amp;M$3,'Mark Leave'!$A:$E,5,0),"")</f>
        <v/>
      </c>
      <c r="N46" s="11" t="str">
        <f>IFERROR(VLOOKUP($A46&amp;N$3,'Mark Leave'!$A:$E,5,0),"")</f>
        <v/>
      </c>
      <c r="O46" s="11" t="str">
        <f>IFERROR(VLOOKUP($A46&amp;O$3,'Mark Leave'!$A:$E,5,0),"")</f>
        <v/>
      </c>
      <c r="P46" s="11" t="str">
        <f>IFERROR(VLOOKUP($A46&amp;P$3,'Mark Leave'!$A:$E,5,0),"")</f>
        <v/>
      </c>
      <c r="Q46" s="11" t="str">
        <f>IFERROR(VLOOKUP($A46&amp;Q$3,'Mark Leave'!$A:$E,5,0),"")</f>
        <v/>
      </c>
      <c r="R46" s="11" t="str">
        <f>IFERROR(VLOOKUP($A46&amp;R$3,'Mark Leave'!$A:$E,5,0),"")</f>
        <v/>
      </c>
      <c r="S46" s="11" t="str">
        <f>IFERROR(VLOOKUP($A46&amp;S$3,'Mark Leave'!$A:$E,5,0),"")</f>
        <v/>
      </c>
      <c r="T46" s="11" t="str">
        <f>IFERROR(VLOOKUP($A46&amp;T$3,'Mark Leave'!$A:$E,5,0),"")</f>
        <v/>
      </c>
      <c r="U46" s="11" t="str">
        <f>IFERROR(VLOOKUP($A46&amp;U$3,'Mark Leave'!$A:$E,5,0),"")</f>
        <v/>
      </c>
      <c r="V46" s="11" t="str">
        <f>IFERROR(VLOOKUP($A46&amp;V$3,'Mark Leave'!$A:$E,5,0),"")</f>
        <v/>
      </c>
      <c r="W46" s="11" t="str">
        <f>IFERROR(VLOOKUP($A46&amp;W$3,'Mark Leave'!$A:$E,5,0),"")</f>
        <v/>
      </c>
      <c r="X46" s="11" t="str">
        <f>IFERROR(VLOOKUP($A46&amp;X$3,'Mark Leave'!$A:$E,5,0),"")</f>
        <v/>
      </c>
      <c r="Y46" s="11" t="str">
        <f>IFERROR(VLOOKUP($A46&amp;Y$3,'Mark Leave'!$A:$E,5,0),"")</f>
        <v/>
      </c>
      <c r="Z46" s="11" t="str">
        <f>IFERROR(VLOOKUP($A46&amp;Z$3,'Mark Leave'!$A:$E,5,0),"")</f>
        <v/>
      </c>
      <c r="AA46" s="11" t="str">
        <f>IFERROR(VLOOKUP($A46&amp;AA$3,'Mark Leave'!$A:$E,5,0),"")</f>
        <v/>
      </c>
      <c r="AB46" s="11" t="str">
        <f>IFERROR(VLOOKUP($A46&amp;AB$3,'Mark Leave'!$A:$E,5,0),"")</f>
        <v/>
      </c>
      <c r="AC46" s="11" t="str">
        <f>IFERROR(VLOOKUP($A46&amp;AC$3,'Mark Leave'!$A:$E,5,0),"")</f>
        <v/>
      </c>
      <c r="AD46" s="11" t="str">
        <f>IFERROR(VLOOKUP($A46&amp;AD$3,'Mark Leave'!$A:$E,5,0),"")</f>
        <v/>
      </c>
      <c r="AE46" s="11" t="str">
        <f>IFERROR(VLOOKUP($A46&amp;AE$3,'Mark Leave'!$A:$E,5,0),"")</f>
        <v/>
      </c>
      <c r="AF46" s="11" t="str">
        <f>IFERROR(VLOOKUP($A46&amp;AF$3,'Mark Leave'!$A:$E,5,0),"")</f>
        <v/>
      </c>
      <c r="AG46" s="11" t="str">
        <f>IFERROR(VLOOKUP($A46&amp;AG$3,'Mark Leave'!$A:$E,5,0),"")</f>
        <v/>
      </c>
      <c r="AH46" s="12">
        <f t="shared" ref="AH46:AM55" si="17">COUNTIF($C46:$AG46,AH$4)</f>
        <v>0</v>
      </c>
      <c r="AI46" s="12">
        <f t="shared" si="17"/>
        <v>0</v>
      </c>
      <c r="AJ46" s="12">
        <f t="shared" si="17"/>
        <v>0</v>
      </c>
      <c r="AK46" s="12">
        <f t="shared" si="17"/>
        <v>0</v>
      </c>
      <c r="AL46" s="12">
        <f t="shared" si="17"/>
        <v>0</v>
      </c>
      <c r="AM46" s="12">
        <f t="shared" si="17"/>
        <v>0</v>
      </c>
      <c r="AN46" s="12">
        <f t="shared" si="16"/>
        <v>0</v>
      </c>
      <c r="AO46" s="12">
        <f t="shared" si="16"/>
        <v>0</v>
      </c>
      <c r="AP46" s="12">
        <f t="shared" si="16"/>
        <v>0</v>
      </c>
      <c r="AQ46" s="12">
        <f t="shared" si="15"/>
        <v>0</v>
      </c>
      <c r="AR46" s="12">
        <f t="shared" si="15"/>
        <v>0</v>
      </c>
      <c r="AS46" s="12">
        <f t="shared" si="7"/>
        <v>0</v>
      </c>
      <c r="AT46" s="13">
        <f t="shared" si="12"/>
        <v>0</v>
      </c>
    </row>
    <row r="47" spans="1:46" ht="15.6" thickTop="1" thickBot="1">
      <c r="A47" s="34">
        <v>202318029</v>
      </c>
      <c r="B47" s="34" t="s">
        <v>59</v>
      </c>
      <c r="C47" s="11" t="str">
        <f>IFERROR(VLOOKUP($A47&amp;C$3,'Mark Leave'!$A:$E,5,0),"")</f>
        <v/>
      </c>
      <c r="D47" s="11" t="str">
        <f>IFERROR(VLOOKUP($A47&amp;D$3,'Mark Leave'!$A:$E,5,0),"")</f>
        <v/>
      </c>
      <c r="E47" s="11" t="str">
        <f>IFERROR(VLOOKUP($A47&amp;E$3,'Mark Leave'!$A:$E,5,0),"")</f>
        <v/>
      </c>
      <c r="F47" s="11" t="str">
        <f>IFERROR(VLOOKUP($A47&amp;F$3,'Mark Leave'!$A:$E,5,0),"")</f>
        <v/>
      </c>
      <c r="G47" s="11" t="str">
        <f>IFERROR(VLOOKUP($A47&amp;G$3,'Mark Leave'!$A:$E,5,0),"")</f>
        <v/>
      </c>
      <c r="H47" s="11" t="str">
        <f>IFERROR(VLOOKUP($A47&amp;H$3,'Mark Leave'!$A:$E,5,0),"")</f>
        <v/>
      </c>
      <c r="I47" s="11" t="str">
        <f>IFERROR(VLOOKUP($A47&amp;I$3,'Mark Leave'!$A:$E,5,0),"")</f>
        <v/>
      </c>
      <c r="J47" s="11" t="str">
        <f>IFERROR(VLOOKUP($A47&amp;J$3,'Mark Leave'!$A:$E,5,0),"")</f>
        <v/>
      </c>
      <c r="K47" s="11" t="str">
        <f>IFERROR(VLOOKUP($A47&amp;K$3,'Mark Leave'!$A:$E,5,0),"")</f>
        <v/>
      </c>
      <c r="L47" s="11" t="str">
        <f>IFERROR(VLOOKUP($A47&amp;L$3,'Mark Leave'!$A:$E,5,0),"")</f>
        <v/>
      </c>
      <c r="M47" s="11" t="str">
        <f>IFERROR(VLOOKUP($A47&amp;M$3,'Mark Leave'!$A:$E,5,0),"")</f>
        <v/>
      </c>
      <c r="N47" s="11" t="str">
        <f>IFERROR(VLOOKUP($A47&amp;N$3,'Mark Leave'!$A:$E,5,0),"")</f>
        <v/>
      </c>
      <c r="O47" s="11" t="str">
        <f>IFERROR(VLOOKUP($A47&amp;O$3,'Mark Leave'!$A:$E,5,0),"")</f>
        <v/>
      </c>
      <c r="P47" s="11" t="str">
        <f>IFERROR(VLOOKUP($A47&amp;P$3,'Mark Leave'!$A:$E,5,0),"")</f>
        <v/>
      </c>
      <c r="Q47" s="11" t="str">
        <f>IFERROR(VLOOKUP($A47&amp;Q$3,'Mark Leave'!$A:$E,5,0),"")</f>
        <v/>
      </c>
      <c r="R47" s="11" t="str">
        <f>IFERROR(VLOOKUP($A47&amp;R$3,'Mark Leave'!$A:$E,5,0),"")</f>
        <v/>
      </c>
      <c r="S47" s="11" t="str">
        <f>IFERROR(VLOOKUP($A47&amp;S$3,'Mark Leave'!$A:$E,5,0),"")</f>
        <v/>
      </c>
      <c r="T47" s="11" t="str">
        <f>IFERROR(VLOOKUP($A47&amp;T$3,'Mark Leave'!$A:$E,5,0),"")</f>
        <v/>
      </c>
      <c r="U47" s="11" t="str">
        <f>IFERROR(VLOOKUP($A47&amp;U$3,'Mark Leave'!$A:$E,5,0),"")</f>
        <v/>
      </c>
      <c r="V47" s="11" t="str">
        <f>IFERROR(VLOOKUP($A47&amp;V$3,'Mark Leave'!$A:$E,5,0),"")</f>
        <v/>
      </c>
      <c r="W47" s="11" t="str">
        <f>IFERROR(VLOOKUP($A47&amp;W$3,'Mark Leave'!$A:$E,5,0),"")</f>
        <v/>
      </c>
      <c r="X47" s="11" t="str">
        <f>IFERROR(VLOOKUP($A47&amp;X$3,'Mark Leave'!$A:$E,5,0),"")</f>
        <v/>
      </c>
      <c r="Y47" s="11" t="str">
        <f>IFERROR(VLOOKUP($A47&amp;Y$3,'Mark Leave'!$A:$E,5,0),"")</f>
        <v/>
      </c>
      <c r="Z47" s="11" t="str">
        <f>IFERROR(VLOOKUP($A47&amp;Z$3,'Mark Leave'!$A:$E,5,0),"")</f>
        <v/>
      </c>
      <c r="AA47" s="11" t="str">
        <f>IFERROR(VLOOKUP($A47&amp;AA$3,'Mark Leave'!$A:$E,5,0),"")</f>
        <v/>
      </c>
      <c r="AB47" s="11" t="str">
        <f>IFERROR(VLOOKUP($A47&amp;AB$3,'Mark Leave'!$A:$E,5,0),"")</f>
        <v/>
      </c>
      <c r="AC47" s="11" t="str">
        <f>IFERROR(VLOOKUP($A47&amp;AC$3,'Mark Leave'!$A:$E,5,0),"")</f>
        <v/>
      </c>
      <c r="AD47" s="11" t="str">
        <f>IFERROR(VLOOKUP($A47&amp;AD$3,'Mark Leave'!$A:$E,5,0),"")</f>
        <v/>
      </c>
      <c r="AE47" s="11" t="str">
        <f>IFERROR(VLOOKUP($A47&amp;AE$3,'Mark Leave'!$A:$E,5,0),"")</f>
        <v/>
      </c>
      <c r="AF47" s="11" t="str">
        <f>IFERROR(VLOOKUP($A47&amp;AF$3,'Mark Leave'!$A:$E,5,0),"")</f>
        <v/>
      </c>
      <c r="AG47" s="11" t="str">
        <f>IFERROR(VLOOKUP($A47&amp;AG$3,'Mark Leave'!$A:$E,5,0),"")</f>
        <v/>
      </c>
      <c r="AH47" s="12">
        <f t="shared" si="17"/>
        <v>0</v>
      </c>
      <c r="AI47" s="12">
        <f t="shared" si="17"/>
        <v>0</v>
      </c>
      <c r="AJ47" s="12">
        <f t="shared" si="17"/>
        <v>0</v>
      </c>
      <c r="AK47" s="12">
        <f t="shared" si="17"/>
        <v>0</v>
      </c>
      <c r="AL47" s="12">
        <f t="shared" si="17"/>
        <v>0</v>
      </c>
      <c r="AM47" s="12">
        <f t="shared" si="17"/>
        <v>0</v>
      </c>
      <c r="AN47" s="12">
        <f t="shared" si="16"/>
        <v>0</v>
      </c>
      <c r="AO47" s="12">
        <f t="shared" si="16"/>
        <v>0</v>
      </c>
      <c r="AP47" s="12">
        <f t="shared" si="16"/>
        <v>0</v>
      </c>
      <c r="AQ47" s="12">
        <f t="shared" si="15"/>
        <v>0</v>
      </c>
      <c r="AR47" s="12">
        <f t="shared" si="15"/>
        <v>0</v>
      </c>
      <c r="AS47" s="12">
        <f t="shared" si="7"/>
        <v>0</v>
      </c>
      <c r="AT47" s="13">
        <f t="shared" si="12"/>
        <v>0</v>
      </c>
    </row>
    <row r="48" spans="1:46" ht="15.6" thickTop="1" thickBot="1">
      <c r="A48" s="34">
        <v>202418030</v>
      </c>
      <c r="B48" s="34" t="s">
        <v>60</v>
      </c>
      <c r="C48" s="11" t="str">
        <f>IFERROR(VLOOKUP($A48&amp;C$3,'Mark Leave'!$A:$E,5,0),"")</f>
        <v/>
      </c>
      <c r="D48" s="11" t="str">
        <f>IFERROR(VLOOKUP($A48&amp;D$3,'Mark Leave'!$A:$E,5,0),"")</f>
        <v/>
      </c>
      <c r="E48" s="11" t="str">
        <f>IFERROR(VLOOKUP($A48&amp;E$3,'Mark Leave'!$A:$E,5,0),"")</f>
        <v/>
      </c>
      <c r="F48" s="11" t="str">
        <f>IFERROR(VLOOKUP($A48&amp;F$3,'Mark Leave'!$A:$E,5,0),"")</f>
        <v/>
      </c>
      <c r="G48" s="11" t="str">
        <f>IFERROR(VLOOKUP($A48&amp;G$3,'Mark Leave'!$A:$E,5,0),"")</f>
        <v/>
      </c>
      <c r="H48" s="11" t="str">
        <f>IFERROR(VLOOKUP($A48&amp;H$3,'Mark Leave'!$A:$E,5,0),"")</f>
        <v/>
      </c>
      <c r="I48" s="11" t="str">
        <f>IFERROR(VLOOKUP($A48&amp;I$3,'Mark Leave'!$A:$E,5,0),"")</f>
        <v/>
      </c>
      <c r="J48" s="11" t="str">
        <f>IFERROR(VLOOKUP($A48&amp;J$3,'Mark Leave'!$A:$E,5,0),"")</f>
        <v/>
      </c>
      <c r="K48" s="11" t="str">
        <f>IFERROR(VLOOKUP($A48&amp;K$3,'Mark Leave'!$A:$E,5,0),"")</f>
        <v/>
      </c>
      <c r="L48" s="11" t="str">
        <f>IFERROR(VLOOKUP($A48&amp;L$3,'Mark Leave'!$A:$E,5,0),"")</f>
        <v/>
      </c>
      <c r="M48" s="11" t="str">
        <f>IFERROR(VLOOKUP($A48&amp;M$3,'Mark Leave'!$A:$E,5,0),"")</f>
        <v/>
      </c>
      <c r="N48" s="11" t="str">
        <f>IFERROR(VLOOKUP($A48&amp;N$3,'Mark Leave'!$A:$E,5,0),"")</f>
        <v/>
      </c>
      <c r="O48" s="11" t="str">
        <f>IFERROR(VLOOKUP($A48&amp;O$3,'Mark Leave'!$A:$E,5,0),"")</f>
        <v/>
      </c>
      <c r="P48" s="11" t="str">
        <f>IFERROR(VLOOKUP($A48&amp;P$3,'Mark Leave'!$A:$E,5,0),"")</f>
        <v/>
      </c>
      <c r="Q48" s="11" t="str">
        <f>IFERROR(VLOOKUP($A48&amp;Q$3,'Mark Leave'!$A:$E,5,0),"")</f>
        <v/>
      </c>
      <c r="R48" s="11" t="str">
        <f>IFERROR(VLOOKUP($A48&amp;R$3,'Mark Leave'!$A:$E,5,0),"")</f>
        <v/>
      </c>
      <c r="S48" s="11" t="str">
        <f>IFERROR(VLOOKUP($A48&amp;S$3,'Mark Leave'!$A:$E,5,0),"")</f>
        <v/>
      </c>
      <c r="T48" s="11" t="str">
        <f>IFERROR(VLOOKUP($A48&amp;T$3,'Mark Leave'!$A:$E,5,0),"")</f>
        <v/>
      </c>
      <c r="U48" s="11" t="str">
        <f>IFERROR(VLOOKUP($A48&amp;U$3,'Mark Leave'!$A:$E,5,0),"")</f>
        <v/>
      </c>
      <c r="V48" s="11" t="str">
        <f>IFERROR(VLOOKUP($A48&amp;V$3,'Mark Leave'!$A:$E,5,0),"")</f>
        <v/>
      </c>
      <c r="W48" s="11" t="str">
        <f>IFERROR(VLOOKUP($A48&amp;W$3,'Mark Leave'!$A:$E,5,0),"")</f>
        <v/>
      </c>
      <c r="X48" s="11" t="str">
        <f>IFERROR(VLOOKUP($A48&amp;X$3,'Mark Leave'!$A:$E,5,0),"")</f>
        <v/>
      </c>
      <c r="Y48" s="11" t="str">
        <f>IFERROR(VLOOKUP($A48&amp;Y$3,'Mark Leave'!$A:$E,5,0),"")</f>
        <v/>
      </c>
      <c r="Z48" s="11" t="str">
        <f>IFERROR(VLOOKUP($A48&amp;Z$3,'Mark Leave'!$A:$E,5,0),"")</f>
        <v/>
      </c>
      <c r="AA48" s="11" t="str">
        <f>IFERROR(VLOOKUP($A48&amp;AA$3,'Mark Leave'!$A:$E,5,0),"")</f>
        <v/>
      </c>
      <c r="AB48" s="11" t="str">
        <f>IFERROR(VLOOKUP($A48&amp;AB$3,'Mark Leave'!$A:$E,5,0),"")</f>
        <v/>
      </c>
      <c r="AC48" s="11" t="str">
        <f>IFERROR(VLOOKUP($A48&amp;AC$3,'Mark Leave'!$A:$E,5,0),"")</f>
        <v/>
      </c>
      <c r="AD48" s="11" t="str">
        <f>IFERROR(VLOOKUP($A48&amp;AD$3,'Mark Leave'!$A:$E,5,0),"")</f>
        <v/>
      </c>
      <c r="AE48" s="11" t="str">
        <f>IFERROR(VLOOKUP($A48&amp;AE$3,'Mark Leave'!$A:$E,5,0),"")</f>
        <v/>
      </c>
      <c r="AF48" s="11" t="str">
        <f>IFERROR(VLOOKUP($A48&amp;AF$3,'Mark Leave'!$A:$E,5,0),"")</f>
        <v/>
      </c>
      <c r="AG48" s="11" t="str">
        <f>IFERROR(VLOOKUP($A48&amp;AG$3,'Mark Leave'!$A:$E,5,0),"")</f>
        <v/>
      </c>
      <c r="AH48" s="12">
        <f t="shared" si="17"/>
        <v>0</v>
      </c>
      <c r="AI48" s="12">
        <f t="shared" si="17"/>
        <v>0</v>
      </c>
      <c r="AJ48" s="12">
        <f t="shared" si="17"/>
        <v>0</v>
      </c>
      <c r="AK48" s="12">
        <f t="shared" si="17"/>
        <v>0</v>
      </c>
      <c r="AL48" s="12">
        <f t="shared" si="17"/>
        <v>0</v>
      </c>
      <c r="AM48" s="12">
        <f t="shared" si="17"/>
        <v>0</v>
      </c>
      <c r="AN48" s="12">
        <f t="shared" si="16"/>
        <v>0</v>
      </c>
      <c r="AO48" s="12">
        <f t="shared" si="16"/>
        <v>0</v>
      </c>
      <c r="AP48" s="12">
        <f t="shared" si="16"/>
        <v>0</v>
      </c>
      <c r="AQ48" s="12">
        <f t="shared" si="15"/>
        <v>0</v>
      </c>
      <c r="AR48" s="12">
        <f t="shared" si="15"/>
        <v>0</v>
      </c>
      <c r="AS48" s="12">
        <f t="shared" si="7"/>
        <v>0</v>
      </c>
      <c r="AT48" s="13">
        <f t="shared" si="12"/>
        <v>0</v>
      </c>
    </row>
    <row r="49" spans="1:46" ht="15.6" thickTop="1" thickBot="1">
      <c r="A49" s="34">
        <v>202401001</v>
      </c>
      <c r="B49" s="34" t="s">
        <v>61</v>
      </c>
      <c r="C49" s="11" t="str">
        <f>IFERROR(VLOOKUP($A49&amp;C$3,'Mark Leave'!$A:$E,5,0),"")</f>
        <v/>
      </c>
      <c r="D49" s="11" t="str">
        <f>IFERROR(VLOOKUP($A49&amp;D$3,'Mark Leave'!$A:$E,5,0),"")</f>
        <v/>
      </c>
      <c r="E49" s="11" t="str">
        <f>IFERROR(VLOOKUP($A49&amp;E$3,'Mark Leave'!$A:$E,5,0),"")</f>
        <v/>
      </c>
      <c r="F49" s="11" t="str">
        <f>IFERROR(VLOOKUP($A49&amp;F$3,'Mark Leave'!$A:$E,5,0),"")</f>
        <v/>
      </c>
      <c r="G49" s="11" t="str">
        <f>IFERROR(VLOOKUP($A49&amp;G$3,'Mark Leave'!$A:$E,5,0),"")</f>
        <v/>
      </c>
      <c r="H49" s="11" t="str">
        <f>IFERROR(VLOOKUP($A49&amp;H$3,'Mark Leave'!$A:$E,5,0),"")</f>
        <v/>
      </c>
      <c r="I49" s="11" t="str">
        <f>IFERROR(VLOOKUP($A49&amp;I$3,'Mark Leave'!$A:$E,5,0),"")</f>
        <v/>
      </c>
      <c r="J49" s="11" t="str">
        <f>IFERROR(VLOOKUP($A49&amp;J$3,'Mark Leave'!$A:$E,5,0),"")</f>
        <v/>
      </c>
      <c r="K49" s="11" t="str">
        <f>IFERROR(VLOOKUP($A49&amp;K$3,'Mark Leave'!$A:$E,5,0),"")</f>
        <v/>
      </c>
      <c r="L49" s="11" t="str">
        <f>IFERROR(VLOOKUP($A49&amp;L$3,'Mark Leave'!$A:$E,5,0),"")</f>
        <v/>
      </c>
      <c r="M49" s="11" t="str">
        <f>IFERROR(VLOOKUP($A49&amp;M$3,'Mark Leave'!$A:$E,5,0),"")</f>
        <v/>
      </c>
      <c r="N49" s="11" t="str">
        <f>IFERROR(VLOOKUP($A49&amp;N$3,'Mark Leave'!$A:$E,5,0),"")</f>
        <v/>
      </c>
      <c r="O49" s="11" t="str">
        <f>IFERROR(VLOOKUP($A49&amp;O$3,'Mark Leave'!$A:$E,5,0),"")</f>
        <v/>
      </c>
      <c r="P49" s="11" t="str">
        <f>IFERROR(VLOOKUP($A49&amp;P$3,'Mark Leave'!$A:$E,5,0),"")</f>
        <v/>
      </c>
      <c r="Q49" s="11" t="str">
        <f>IFERROR(VLOOKUP($A49&amp;Q$3,'Mark Leave'!$A:$E,5,0),"")</f>
        <v/>
      </c>
      <c r="R49" s="11" t="str">
        <f>IFERROR(VLOOKUP($A49&amp;R$3,'Mark Leave'!$A:$E,5,0),"")</f>
        <v/>
      </c>
      <c r="S49" s="11" t="str">
        <f>IFERROR(VLOOKUP($A49&amp;S$3,'Mark Leave'!$A:$E,5,0),"")</f>
        <v/>
      </c>
      <c r="T49" s="11" t="str">
        <f>IFERROR(VLOOKUP($A49&amp;T$3,'Mark Leave'!$A:$E,5,0),"")</f>
        <v/>
      </c>
      <c r="U49" s="11" t="str">
        <f>IFERROR(VLOOKUP($A49&amp;U$3,'Mark Leave'!$A:$E,5,0),"")</f>
        <v/>
      </c>
      <c r="V49" s="11" t="str">
        <f>IFERROR(VLOOKUP($A49&amp;V$3,'Mark Leave'!$A:$E,5,0),"")</f>
        <v/>
      </c>
      <c r="W49" s="11" t="str">
        <f>IFERROR(VLOOKUP($A49&amp;W$3,'Mark Leave'!$A:$E,5,0),"")</f>
        <v/>
      </c>
      <c r="X49" s="11" t="str">
        <f>IFERROR(VLOOKUP($A49&amp;X$3,'Mark Leave'!$A:$E,5,0),"")</f>
        <v/>
      </c>
      <c r="Y49" s="11" t="str">
        <f>IFERROR(VLOOKUP($A49&amp;Y$3,'Mark Leave'!$A:$E,5,0),"")</f>
        <v/>
      </c>
      <c r="Z49" s="11" t="str">
        <f>IFERROR(VLOOKUP($A49&amp;Z$3,'Mark Leave'!$A:$E,5,0),"")</f>
        <v/>
      </c>
      <c r="AA49" s="11" t="str">
        <f>IFERROR(VLOOKUP($A49&amp;AA$3,'Mark Leave'!$A:$E,5,0),"")</f>
        <v/>
      </c>
      <c r="AB49" s="11" t="str">
        <f>IFERROR(VLOOKUP($A49&amp;AB$3,'Mark Leave'!$A:$E,5,0),"")</f>
        <v/>
      </c>
      <c r="AC49" s="11" t="str">
        <f>IFERROR(VLOOKUP($A49&amp;AC$3,'Mark Leave'!$A:$E,5,0),"")</f>
        <v/>
      </c>
      <c r="AD49" s="11" t="str">
        <f>IFERROR(VLOOKUP($A49&amp;AD$3,'Mark Leave'!$A:$E,5,0),"")</f>
        <v/>
      </c>
      <c r="AE49" s="11" t="str">
        <f>IFERROR(VLOOKUP($A49&amp;AE$3,'Mark Leave'!$A:$E,5,0),"")</f>
        <v/>
      </c>
      <c r="AF49" s="11" t="str">
        <f>IFERROR(VLOOKUP($A49&amp;AF$3,'Mark Leave'!$A:$E,5,0),"")</f>
        <v/>
      </c>
      <c r="AG49" s="11" t="str">
        <f>IFERROR(VLOOKUP($A49&amp;AG$3,'Mark Leave'!$A:$E,5,0),"")</f>
        <v/>
      </c>
      <c r="AH49" s="12">
        <f t="shared" si="17"/>
        <v>0</v>
      </c>
      <c r="AI49" s="12">
        <f t="shared" si="17"/>
        <v>0</v>
      </c>
      <c r="AJ49" s="12">
        <f t="shared" si="17"/>
        <v>0</v>
      </c>
      <c r="AK49" s="12">
        <f t="shared" si="17"/>
        <v>0</v>
      </c>
      <c r="AL49" s="12">
        <f t="shared" si="17"/>
        <v>0</v>
      </c>
      <c r="AM49" s="12">
        <f t="shared" si="17"/>
        <v>0</v>
      </c>
      <c r="AN49" s="12">
        <f t="shared" si="16"/>
        <v>0</v>
      </c>
      <c r="AO49" s="12">
        <f t="shared" si="16"/>
        <v>0</v>
      </c>
      <c r="AP49" s="12">
        <f t="shared" si="16"/>
        <v>0</v>
      </c>
      <c r="AQ49" s="12">
        <f t="shared" si="15"/>
        <v>0</v>
      </c>
      <c r="AR49" s="12">
        <f t="shared" si="15"/>
        <v>0</v>
      </c>
      <c r="AS49" s="12">
        <f t="shared" si="7"/>
        <v>0</v>
      </c>
      <c r="AT49" s="13">
        <f t="shared" si="12"/>
        <v>0</v>
      </c>
    </row>
    <row r="50" spans="1:46" ht="15.6" thickTop="1" thickBot="1">
      <c r="A50" s="34">
        <v>202418031</v>
      </c>
      <c r="B50" s="34" t="s">
        <v>62</v>
      </c>
      <c r="C50" s="11" t="str">
        <f>IFERROR(VLOOKUP($A50&amp;C$3,'Mark Leave'!$A:$E,5,0),"")</f>
        <v/>
      </c>
      <c r="D50" s="11" t="str">
        <f>IFERROR(VLOOKUP($A50&amp;D$3,'Mark Leave'!$A:$E,5,0),"")</f>
        <v/>
      </c>
      <c r="E50" s="11" t="str">
        <f>IFERROR(VLOOKUP($A50&amp;E$3,'Mark Leave'!$A:$E,5,0),"")</f>
        <v/>
      </c>
      <c r="F50" s="11" t="str">
        <f>IFERROR(VLOOKUP($A50&amp;F$3,'Mark Leave'!$A:$E,5,0),"")</f>
        <v/>
      </c>
      <c r="G50" s="11" t="str">
        <f>IFERROR(VLOOKUP($A50&amp;G$3,'Mark Leave'!$A:$E,5,0),"")</f>
        <v/>
      </c>
      <c r="H50" s="11" t="str">
        <f>IFERROR(VLOOKUP($A50&amp;H$3,'Mark Leave'!$A:$E,5,0),"")</f>
        <v/>
      </c>
      <c r="I50" s="11" t="str">
        <f>IFERROR(VLOOKUP($A50&amp;I$3,'Mark Leave'!$A:$E,5,0),"")</f>
        <v/>
      </c>
      <c r="J50" s="11" t="str">
        <f>IFERROR(VLOOKUP($A50&amp;J$3,'Mark Leave'!$A:$E,5,0),"")</f>
        <v/>
      </c>
      <c r="K50" s="11" t="str">
        <f>IFERROR(VLOOKUP($A50&amp;K$3,'Mark Leave'!$A:$E,5,0),"")</f>
        <v/>
      </c>
      <c r="L50" s="11" t="str">
        <f>IFERROR(VLOOKUP($A50&amp;L$3,'Mark Leave'!$A:$E,5,0),"")</f>
        <v/>
      </c>
      <c r="M50" s="11" t="str">
        <f>IFERROR(VLOOKUP($A50&amp;M$3,'Mark Leave'!$A:$E,5,0),"")</f>
        <v/>
      </c>
      <c r="N50" s="11" t="str">
        <f>IFERROR(VLOOKUP($A50&amp;N$3,'Mark Leave'!$A:$E,5,0),"")</f>
        <v/>
      </c>
      <c r="O50" s="11" t="str">
        <f>IFERROR(VLOOKUP($A50&amp;O$3,'Mark Leave'!$A:$E,5,0),"")</f>
        <v/>
      </c>
      <c r="P50" s="11" t="str">
        <f>IFERROR(VLOOKUP($A50&amp;P$3,'Mark Leave'!$A:$E,5,0),"")</f>
        <v/>
      </c>
      <c r="Q50" s="11" t="str">
        <f>IFERROR(VLOOKUP($A50&amp;Q$3,'Mark Leave'!$A:$E,5,0),"")</f>
        <v/>
      </c>
      <c r="R50" s="11" t="str">
        <f>IFERROR(VLOOKUP($A50&amp;R$3,'Mark Leave'!$A:$E,5,0),"")</f>
        <v/>
      </c>
      <c r="S50" s="11" t="str">
        <f>IFERROR(VLOOKUP($A50&amp;S$3,'Mark Leave'!$A:$E,5,0),"")</f>
        <v/>
      </c>
      <c r="T50" s="11" t="str">
        <f>IFERROR(VLOOKUP($A50&amp;T$3,'Mark Leave'!$A:$E,5,0),"")</f>
        <v/>
      </c>
      <c r="U50" s="11" t="str">
        <f>IFERROR(VLOOKUP($A50&amp;U$3,'Mark Leave'!$A:$E,5,0),"")</f>
        <v/>
      </c>
      <c r="V50" s="11" t="str">
        <f>IFERROR(VLOOKUP($A50&amp;V$3,'Mark Leave'!$A:$E,5,0),"")</f>
        <v/>
      </c>
      <c r="W50" s="11" t="str">
        <f>IFERROR(VLOOKUP($A50&amp;W$3,'Mark Leave'!$A:$E,5,0),"")</f>
        <v/>
      </c>
      <c r="X50" s="11" t="str">
        <f>IFERROR(VLOOKUP($A50&amp;X$3,'Mark Leave'!$A:$E,5,0),"")</f>
        <v/>
      </c>
      <c r="Y50" s="11" t="str">
        <f>IFERROR(VLOOKUP($A50&amp;Y$3,'Mark Leave'!$A:$E,5,0),"")</f>
        <v/>
      </c>
      <c r="Z50" s="11" t="str">
        <f>IFERROR(VLOOKUP($A50&amp;Z$3,'Mark Leave'!$A:$E,5,0),"")</f>
        <v/>
      </c>
      <c r="AA50" s="11" t="str">
        <f>IFERROR(VLOOKUP($A50&amp;AA$3,'Mark Leave'!$A:$E,5,0),"")</f>
        <v/>
      </c>
      <c r="AB50" s="11" t="str">
        <f>IFERROR(VLOOKUP($A50&amp;AB$3,'Mark Leave'!$A:$E,5,0),"")</f>
        <v/>
      </c>
      <c r="AC50" s="11" t="str">
        <f>IFERROR(VLOOKUP($A50&amp;AC$3,'Mark Leave'!$A:$E,5,0),"")</f>
        <v/>
      </c>
      <c r="AD50" s="11" t="str">
        <f>IFERROR(VLOOKUP($A50&amp;AD$3,'Mark Leave'!$A:$E,5,0),"")</f>
        <v/>
      </c>
      <c r="AE50" s="11" t="str">
        <f>IFERROR(VLOOKUP($A50&amp;AE$3,'Mark Leave'!$A:$E,5,0),"")</f>
        <v/>
      </c>
      <c r="AF50" s="11" t="str">
        <f>IFERROR(VLOOKUP($A50&amp;AF$3,'Mark Leave'!$A:$E,5,0),"")</f>
        <v/>
      </c>
      <c r="AG50" s="11" t="str">
        <f>IFERROR(VLOOKUP($A50&amp;AG$3,'Mark Leave'!$A:$E,5,0),"")</f>
        <v/>
      </c>
      <c r="AH50" s="12">
        <f t="shared" si="17"/>
        <v>0</v>
      </c>
      <c r="AI50" s="12">
        <f t="shared" si="17"/>
        <v>0</v>
      </c>
      <c r="AJ50" s="12">
        <f t="shared" si="17"/>
        <v>0</v>
      </c>
      <c r="AK50" s="12">
        <f t="shared" si="17"/>
        <v>0</v>
      </c>
      <c r="AL50" s="12">
        <f t="shared" si="17"/>
        <v>0</v>
      </c>
      <c r="AM50" s="12">
        <f t="shared" si="17"/>
        <v>0</v>
      </c>
      <c r="AN50" s="12">
        <f t="shared" si="16"/>
        <v>0</v>
      </c>
      <c r="AO50" s="12">
        <f t="shared" si="16"/>
        <v>0</v>
      </c>
      <c r="AP50" s="12">
        <f t="shared" si="16"/>
        <v>0</v>
      </c>
      <c r="AQ50" s="12">
        <f t="shared" si="15"/>
        <v>0</v>
      </c>
      <c r="AR50" s="12">
        <f t="shared" si="15"/>
        <v>0</v>
      </c>
      <c r="AS50" s="12">
        <f t="shared" si="7"/>
        <v>0</v>
      </c>
      <c r="AT50" s="13">
        <f t="shared" si="12"/>
        <v>0</v>
      </c>
    </row>
    <row r="51" spans="1:46" ht="15.6" thickTop="1" thickBot="1">
      <c r="A51" s="34">
        <v>202418032</v>
      </c>
      <c r="B51" s="34" t="s">
        <v>63</v>
      </c>
      <c r="C51" s="11" t="str">
        <f>IFERROR(VLOOKUP($A51&amp;C$3,'Mark Leave'!$A:$E,5,0),"")</f>
        <v/>
      </c>
      <c r="D51" s="11" t="str">
        <f>IFERROR(VLOOKUP($A51&amp;D$3,'Mark Leave'!$A:$E,5,0),"")</f>
        <v/>
      </c>
      <c r="E51" s="11" t="str">
        <f>IFERROR(VLOOKUP($A51&amp;E$3,'Mark Leave'!$A:$E,5,0),"")</f>
        <v/>
      </c>
      <c r="F51" s="11" t="str">
        <f>IFERROR(VLOOKUP($A51&amp;F$3,'Mark Leave'!$A:$E,5,0),"")</f>
        <v/>
      </c>
      <c r="G51" s="11" t="str">
        <f>IFERROR(VLOOKUP($A51&amp;G$3,'Mark Leave'!$A:$E,5,0),"")</f>
        <v/>
      </c>
      <c r="H51" s="11" t="str">
        <f>IFERROR(VLOOKUP($A51&amp;H$3,'Mark Leave'!$A:$E,5,0),"")</f>
        <v/>
      </c>
      <c r="I51" s="11" t="str">
        <f>IFERROR(VLOOKUP($A51&amp;I$3,'Mark Leave'!$A:$E,5,0),"")</f>
        <v/>
      </c>
      <c r="J51" s="11" t="str">
        <f>IFERROR(VLOOKUP($A51&amp;J$3,'Mark Leave'!$A:$E,5,0),"")</f>
        <v/>
      </c>
      <c r="K51" s="11" t="str">
        <f>IFERROR(VLOOKUP($A51&amp;K$3,'Mark Leave'!$A:$E,5,0),"")</f>
        <v/>
      </c>
      <c r="L51" s="11" t="str">
        <f>IFERROR(VLOOKUP($A51&amp;L$3,'Mark Leave'!$A:$E,5,0),"")</f>
        <v/>
      </c>
      <c r="M51" s="11" t="str">
        <f>IFERROR(VLOOKUP($A51&amp;M$3,'Mark Leave'!$A:$E,5,0),"")</f>
        <v/>
      </c>
      <c r="N51" s="11" t="str">
        <f>IFERROR(VLOOKUP($A51&amp;N$3,'Mark Leave'!$A:$E,5,0),"")</f>
        <v/>
      </c>
      <c r="O51" s="11" t="str">
        <f>IFERROR(VLOOKUP($A51&amp;O$3,'Mark Leave'!$A:$E,5,0),"")</f>
        <v/>
      </c>
      <c r="P51" s="11" t="str">
        <f>IFERROR(VLOOKUP($A51&amp;P$3,'Mark Leave'!$A:$E,5,0),"")</f>
        <v/>
      </c>
      <c r="Q51" s="11" t="str">
        <f>IFERROR(VLOOKUP($A51&amp;Q$3,'Mark Leave'!$A:$E,5,0),"")</f>
        <v/>
      </c>
      <c r="R51" s="11" t="str">
        <f>IFERROR(VLOOKUP($A51&amp;R$3,'Mark Leave'!$A:$E,5,0),"")</f>
        <v/>
      </c>
      <c r="S51" s="11" t="str">
        <f>IFERROR(VLOOKUP($A51&amp;S$3,'Mark Leave'!$A:$E,5,0),"")</f>
        <v/>
      </c>
      <c r="T51" s="11" t="str">
        <f>IFERROR(VLOOKUP($A51&amp;T$3,'Mark Leave'!$A:$E,5,0),"")</f>
        <v/>
      </c>
      <c r="U51" s="11" t="str">
        <f>IFERROR(VLOOKUP($A51&amp;U$3,'Mark Leave'!$A:$E,5,0),"")</f>
        <v/>
      </c>
      <c r="V51" s="11" t="str">
        <f>IFERROR(VLOOKUP($A51&amp;V$3,'Mark Leave'!$A:$E,5,0),"")</f>
        <v/>
      </c>
      <c r="W51" s="11" t="str">
        <f>IFERROR(VLOOKUP($A51&amp;W$3,'Mark Leave'!$A:$E,5,0),"")</f>
        <v/>
      </c>
      <c r="X51" s="11" t="str">
        <f>IFERROR(VLOOKUP($A51&amp;X$3,'Mark Leave'!$A:$E,5,0),"")</f>
        <v/>
      </c>
      <c r="Y51" s="11" t="str">
        <f>IFERROR(VLOOKUP($A51&amp;Y$3,'Mark Leave'!$A:$E,5,0),"")</f>
        <v/>
      </c>
      <c r="Z51" s="11" t="str">
        <f>IFERROR(VLOOKUP($A51&amp;Z$3,'Mark Leave'!$A:$E,5,0),"")</f>
        <v/>
      </c>
      <c r="AA51" s="11" t="str">
        <f>IFERROR(VLOOKUP($A51&amp;AA$3,'Mark Leave'!$A:$E,5,0),"")</f>
        <v/>
      </c>
      <c r="AB51" s="11" t="str">
        <f>IFERROR(VLOOKUP($A51&amp;AB$3,'Mark Leave'!$A:$E,5,0),"")</f>
        <v/>
      </c>
      <c r="AC51" s="11" t="str">
        <f>IFERROR(VLOOKUP($A51&amp;AC$3,'Mark Leave'!$A:$E,5,0),"")</f>
        <v/>
      </c>
      <c r="AD51" s="11" t="str">
        <f>IFERROR(VLOOKUP($A51&amp;AD$3,'Mark Leave'!$A:$E,5,0),"")</f>
        <v/>
      </c>
      <c r="AE51" s="11" t="str">
        <f>IFERROR(VLOOKUP($A51&amp;AE$3,'Mark Leave'!$A:$E,5,0),"")</f>
        <v/>
      </c>
      <c r="AF51" s="11" t="str">
        <f>IFERROR(VLOOKUP($A51&amp;AF$3,'Mark Leave'!$A:$E,5,0),"")</f>
        <v/>
      </c>
      <c r="AG51" s="11" t="str">
        <f>IFERROR(VLOOKUP($A51&amp;AG$3,'Mark Leave'!$A:$E,5,0),"")</f>
        <v/>
      </c>
      <c r="AH51" s="12">
        <f t="shared" si="17"/>
        <v>0</v>
      </c>
      <c r="AI51" s="12">
        <f t="shared" si="17"/>
        <v>0</v>
      </c>
      <c r="AJ51" s="12">
        <f t="shared" si="17"/>
        <v>0</v>
      </c>
      <c r="AK51" s="12">
        <f t="shared" si="17"/>
        <v>0</v>
      </c>
      <c r="AL51" s="12">
        <f t="shared" si="17"/>
        <v>0</v>
      </c>
      <c r="AM51" s="12">
        <f t="shared" si="17"/>
        <v>0</v>
      </c>
      <c r="AN51" s="12">
        <f t="shared" si="16"/>
        <v>0</v>
      </c>
      <c r="AO51" s="12">
        <f t="shared" si="16"/>
        <v>0</v>
      </c>
      <c r="AP51" s="12">
        <f t="shared" si="16"/>
        <v>0</v>
      </c>
      <c r="AQ51" s="12">
        <f t="shared" si="15"/>
        <v>0</v>
      </c>
      <c r="AR51" s="12">
        <f t="shared" si="15"/>
        <v>0</v>
      </c>
      <c r="AS51" s="12">
        <f t="shared" si="7"/>
        <v>0</v>
      </c>
      <c r="AT51" s="13">
        <f t="shared" si="12"/>
        <v>0</v>
      </c>
    </row>
    <row r="52" spans="1:46" ht="15.6" thickTop="1" thickBot="1">
      <c r="A52" s="34">
        <v>202420015</v>
      </c>
      <c r="B52" s="34" t="s">
        <v>64</v>
      </c>
      <c r="C52" s="11" t="str">
        <f>IFERROR(VLOOKUP($A52&amp;C$3,'Mark Leave'!$A:$E,5,0),"")</f>
        <v/>
      </c>
      <c r="D52" s="11" t="str">
        <f>IFERROR(VLOOKUP($A52&amp;D$3,'Mark Leave'!$A:$E,5,0),"")</f>
        <v/>
      </c>
      <c r="E52" s="11" t="str">
        <f>IFERROR(VLOOKUP($A52&amp;E$3,'Mark Leave'!$A:$E,5,0),"")</f>
        <v/>
      </c>
      <c r="F52" s="11" t="str">
        <f>IFERROR(VLOOKUP($A52&amp;F$3,'Mark Leave'!$A:$E,5,0),"")</f>
        <v/>
      </c>
      <c r="G52" s="11" t="str">
        <f>IFERROR(VLOOKUP($A52&amp;G$3,'Mark Leave'!$A:$E,5,0),"")</f>
        <v/>
      </c>
      <c r="H52" s="11" t="str">
        <f>IFERROR(VLOOKUP($A52&amp;H$3,'Mark Leave'!$A:$E,5,0),"")</f>
        <v/>
      </c>
      <c r="I52" s="11" t="str">
        <f>IFERROR(VLOOKUP($A52&amp;I$3,'Mark Leave'!$A:$E,5,0),"")</f>
        <v/>
      </c>
      <c r="J52" s="11" t="str">
        <f>IFERROR(VLOOKUP($A52&amp;J$3,'Mark Leave'!$A:$E,5,0),"")</f>
        <v/>
      </c>
      <c r="K52" s="11" t="str">
        <f>IFERROR(VLOOKUP($A52&amp;K$3,'Mark Leave'!$A:$E,5,0),"")</f>
        <v/>
      </c>
      <c r="L52" s="11" t="str">
        <f>IFERROR(VLOOKUP($A52&amp;L$3,'Mark Leave'!$A:$E,5,0),"")</f>
        <v/>
      </c>
      <c r="M52" s="11" t="str">
        <f>IFERROR(VLOOKUP($A52&amp;M$3,'Mark Leave'!$A:$E,5,0),"")</f>
        <v/>
      </c>
      <c r="N52" s="11" t="str">
        <f>IFERROR(VLOOKUP($A52&amp;N$3,'Mark Leave'!$A:$E,5,0),"")</f>
        <v/>
      </c>
      <c r="O52" s="11" t="str">
        <f>IFERROR(VLOOKUP($A52&amp;O$3,'Mark Leave'!$A:$E,5,0),"")</f>
        <v/>
      </c>
      <c r="P52" s="11" t="str">
        <f>IFERROR(VLOOKUP($A52&amp;P$3,'Mark Leave'!$A:$E,5,0),"")</f>
        <v/>
      </c>
      <c r="Q52" s="11" t="str">
        <f>IFERROR(VLOOKUP($A52&amp;Q$3,'Mark Leave'!$A:$E,5,0),"")</f>
        <v/>
      </c>
      <c r="R52" s="11" t="str">
        <f>IFERROR(VLOOKUP($A52&amp;R$3,'Mark Leave'!$A:$E,5,0),"")</f>
        <v/>
      </c>
      <c r="S52" s="11" t="str">
        <f>IFERROR(VLOOKUP($A52&amp;S$3,'Mark Leave'!$A:$E,5,0),"")</f>
        <v/>
      </c>
      <c r="T52" s="11" t="str">
        <f>IFERROR(VLOOKUP($A52&amp;T$3,'Mark Leave'!$A:$E,5,0),"")</f>
        <v/>
      </c>
      <c r="U52" s="11" t="str">
        <f>IFERROR(VLOOKUP($A52&amp;U$3,'Mark Leave'!$A:$E,5,0),"")</f>
        <v/>
      </c>
      <c r="V52" s="11" t="str">
        <f>IFERROR(VLOOKUP($A52&amp;V$3,'Mark Leave'!$A:$E,5,0),"")</f>
        <v/>
      </c>
      <c r="W52" s="11" t="str">
        <f>IFERROR(VLOOKUP($A52&amp;W$3,'Mark Leave'!$A:$E,5,0),"")</f>
        <v/>
      </c>
      <c r="X52" s="11" t="str">
        <f>IFERROR(VLOOKUP($A52&amp;X$3,'Mark Leave'!$A:$E,5,0),"")</f>
        <v/>
      </c>
      <c r="Y52" s="11" t="str">
        <f>IFERROR(VLOOKUP($A52&amp;Y$3,'Mark Leave'!$A:$E,5,0),"")</f>
        <v/>
      </c>
      <c r="Z52" s="11" t="str">
        <f>IFERROR(VLOOKUP($A52&amp;Z$3,'Mark Leave'!$A:$E,5,0),"")</f>
        <v/>
      </c>
      <c r="AA52" s="11" t="str">
        <f>IFERROR(VLOOKUP($A52&amp;AA$3,'Mark Leave'!$A:$E,5,0),"")</f>
        <v/>
      </c>
      <c r="AB52" s="11" t="str">
        <f>IFERROR(VLOOKUP($A52&amp;AB$3,'Mark Leave'!$A:$E,5,0),"")</f>
        <v/>
      </c>
      <c r="AC52" s="11" t="str">
        <f>IFERROR(VLOOKUP($A52&amp;AC$3,'Mark Leave'!$A:$E,5,0),"")</f>
        <v/>
      </c>
      <c r="AD52" s="11" t="str">
        <f>IFERROR(VLOOKUP($A52&amp;AD$3,'Mark Leave'!$A:$E,5,0),"")</f>
        <v/>
      </c>
      <c r="AE52" s="11" t="str">
        <f>IFERROR(VLOOKUP($A52&amp;AE$3,'Mark Leave'!$A:$E,5,0),"")</f>
        <v/>
      </c>
      <c r="AF52" s="11" t="str">
        <f>IFERROR(VLOOKUP($A52&amp;AF$3,'Mark Leave'!$A:$E,5,0),"")</f>
        <v/>
      </c>
      <c r="AG52" s="11" t="str">
        <f>IFERROR(VLOOKUP($A52&amp;AG$3,'Mark Leave'!$A:$E,5,0),"")</f>
        <v/>
      </c>
      <c r="AH52" s="12">
        <f t="shared" si="17"/>
        <v>0</v>
      </c>
      <c r="AI52" s="12">
        <f t="shared" si="17"/>
        <v>0</v>
      </c>
      <c r="AJ52" s="12">
        <f t="shared" si="17"/>
        <v>0</v>
      </c>
      <c r="AK52" s="12">
        <f t="shared" si="17"/>
        <v>0</v>
      </c>
      <c r="AL52" s="12">
        <f t="shared" si="17"/>
        <v>0</v>
      </c>
      <c r="AM52" s="12">
        <f t="shared" si="17"/>
        <v>0</v>
      </c>
      <c r="AN52" s="12">
        <f t="shared" si="16"/>
        <v>0</v>
      </c>
      <c r="AO52" s="12">
        <f t="shared" si="16"/>
        <v>0</v>
      </c>
      <c r="AP52" s="12">
        <f t="shared" si="16"/>
        <v>0</v>
      </c>
      <c r="AQ52" s="12">
        <f t="shared" si="15"/>
        <v>0</v>
      </c>
      <c r="AR52" s="12">
        <f t="shared" si="15"/>
        <v>0</v>
      </c>
      <c r="AS52" s="12">
        <f t="shared" si="7"/>
        <v>0</v>
      </c>
      <c r="AT52" s="13">
        <f t="shared" si="12"/>
        <v>0</v>
      </c>
    </row>
    <row r="53" spans="1:46" ht="15.6" thickTop="1" thickBot="1">
      <c r="A53" s="94">
        <v>202418033</v>
      </c>
      <c r="B53" s="94" t="s">
        <v>65</v>
      </c>
      <c r="C53" s="11" t="str">
        <f>IFERROR(VLOOKUP($A53&amp;C$3,'Mark Leave'!$A:$E,5,0),"")</f>
        <v/>
      </c>
      <c r="D53" s="11" t="str">
        <f>IFERROR(VLOOKUP($A53&amp;D$3,'Mark Leave'!$A:$E,5,0),"")</f>
        <v/>
      </c>
      <c r="E53" s="11" t="str">
        <f>IFERROR(VLOOKUP($A53&amp;E$3,'Mark Leave'!$A:$E,5,0),"")</f>
        <v/>
      </c>
      <c r="F53" s="11" t="str">
        <f>IFERROR(VLOOKUP($A53&amp;F$3,'Mark Leave'!$A:$E,5,0),"")</f>
        <v/>
      </c>
      <c r="G53" s="11" t="str">
        <f>IFERROR(VLOOKUP($A53&amp;G$3,'Mark Leave'!$A:$E,5,0),"")</f>
        <v/>
      </c>
      <c r="H53" s="11" t="str">
        <f>IFERROR(VLOOKUP($A53&amp;H$3,'Mark Leave'!$A:$E,5,0),"")</f>
        <v/>
      </c>
      <c r="I53" s="11" t="str">
        <f>IFERROR(VLOOKUP($A53&amp;I$3,'Mark Leave'!$A:$E,5,0),"")</f>
        <v/>
      </c>
      <c r="J53" s="11" t="str">
        <f>IFERROR(VLOOKUP($A53&amp;J$3,'Mark Leave'!$A:$E,5,0),"")</f>
        <v/>
      </c>
      <c r="K53" s="11" t="str">
        <f>IFERROR(VLOOKUP($A53&amp;K$3,'Mark Leave'!$A:$E,5,0),"")</f>
        <v/>
      </c>
      <c r="L53" s="11" t="str">
        <f>IFERROR(VLOOKUP($A53&amp;L$3,'Mark Leave'!$A:$E,5,0),"")</f>
        <v/>
      </c>
      <c r="M53" s="11" t="str">
        <f>IFERROR(VLOOKUP($A53&amp;M$3,'Mark Leave'!$A:$E,5,0),"")</f>
        <v/>
      </c>
      <c r="N53" s="11" t="str">
        <f>IFERROR(VLOOKUP($A53&amp;N$3,'Mark Leave'!$A:$E,5,0),"")</f>
        <v/>
      </c>
      <c r="O53" s="11" t="str">
        <f>IFERROR(VLOOKUP($A53&amp;O$3,'Mark Leave'!$A:$E,5,0),"")</f>
        <v/>
      </c>
      <c r="P53" s="11" t="str">
        <f>IFERROR(VLOOKUP($A53&amp;P$3,'Mark Leave'!$A:$E,5,0),"")</f>
        <v/>
      </c>
      <c r="Q53" s="11" t="str">
        <f>IFERROR(VLOOKUP($A53&amp;Q$3,'Mark Leave'!$A:$E,5,0),"")</f>
        <v/>
      </c>
      <c r="R53" s="11" t="str">
        <f>IFERROR(VLOOKUP($A53&amp;R$3,'Mark Leave'!$A:$E,5,0),"")</f>
        <v/>
      </c>
      <c r="S53" s="11" t="str">
        <f>IFERROR(VLOOKUP($A53&amp;S$3,'Mark Leave'!$A:$E,5,0),"")</f>
        <v/>
      </c>
      <c r="T53" s="11" t="str">
        <f>IFERROR(VLOOKUP($A53&amp;T$3,'Mark Leave'!$A:$E,5,0),"")</f>
        <v/>
      </c>
      <c r="U53" s="11" t="str">
        <f>IFERROR(VLOOKUP($A53&amp;U$3,'Mark Leave'!$A:$E,5,0),"")</f>
        <v/>
      </c>
      <c r="V53" s="11" t="str">
        <f>IFERROR(VLOOKUP($A53&amp;V$3,'Mark Leave'!$A:$E,5,0),"")</f>
        <v/>
      </c>
      <c r="W53" s="11" t="str">
        <f>IFERROR(VLOOKUP($A53&amp;W$3,'Mark Leave'!$A:$E,5,0),"")</f>
        <v/>
      </c>
      <c r="X53" s="11" t="str">
        <f>IFERROR(VLOOKUP($A53&amp;X$3,'Mark Leave'!$A:$E,5,0),"")</f>
        <v/>
      </c>
      <c r="Y53" s="11" t="str">
        <f>IFERROR(VLOOKUP($A53&amp;Y$3,'Mark Leave'!$A:$E,5,0),"")</f>
        <v/>
      </c>
      <c r="Z53" s="11" t="str">
        <f>IFERROR(VLOOKUP($A53&amp;Z$3,'Mark Leave'!$A:$E,5,0),"")</f>
        <v/>
      </c>
      <c r="AA53" s="11" t="str">
        <f>IFERROR(VLOOKUP($A53&amp;AA$3,'Mark Leave'!$A:$E,5,0),"")</f>
        <v/>
      </c>
      <c r="AB53" s="11" t="str">
        <f>IFERROR(VLOOKUP($A53&amp;AB$3,'Mark Leave'!$A:$E,5,0),"")</f>
        <v/>
      </c>
      <c r="AC53" s="11" t="str">
        <f>IFERROR(VLOOKUP($A53&amp;AC$3,'Mark Leave'!$A:$E,5,0),"")</f>
        <v/>
      </c>
      <c r="AD53" s="11" t="str">
        <f>IFERROR(VLOOKUP($A53&amp;AD$3,'Mark Leave'!$A:$E,5,0),"")</f>
        <v/>
      </c>
      <c r="AE53" s="11" t="str">
        <f>IFERROR(VLOOKUP($A53&amp;AE$3,'Mark Leave'!$A:$E,5,0),"")</f>
        <v/>
      </c>
      <c r="AF53" s="11" t="str">
        <f>IFERROR(VLOOKUP($A53&amp;AF$3,'Mark Leave'!$A:$E,5,0),"")</f>
        <v/>
      </c>
      <c r="AG53" s="11" t="str">
        <f>IFERROR(VLOOKUP($A53&amp;AG$3,'Mark Leave'!$A:$E,5,0),"")</f>
        <v/>
      </c>
      <c r="AH53" s="12">
        <f t="shared" si="17"/>
        <v>0</v>
      </c>
      <c r="AI53" s="12">
        <f t="shared" si="17"/>
        <v>0</v>
      </c>
      <c r="AJ53" s="12">
        <f t="shared" si="17"/>
        <v>0</v>
      </c>
      <c r="AK53" s="12">
        <f t="shared" si="17"/>
        <v>0</v>
      </c>
      <c r="AL53" s="12">
        <f t="shared" si="17"/>
        <v>0</v>
      </c>
      <c r="AM53" s="12">
        <f t="shared" si="17"/>
        <v>0</v>
      </c>
      <c r="AN53" s="12">
        <f t="shared" si="16"/>
        <v>0</v>
      </c>
      <c r="AO53" s="12">
        <f t="shared" si="16"/>
        <v>0</v>
      </c>
      <c r="AP53" s="12">
        <f t="shared" si="16"/>
        <v>0</v>
      </c>
      <c r="AQ53" s="12">
        <f t="shared" si="15"/>
        <v>0</v>
      </c>
      <c r="AR53" s="12">
        <f t="shared" si="15"/>
        <v>0</v>
      </c>
      <c r="AS53" s="12">
        <f t="shared" si="7"/>
        <v>0</v>
      </c>
      <c r="AT53" s="13">
        <f t="shared" si="12"/>
        <v>0</v>
      </c>
    </row>
    <row r="54" spans="1:46" ht="15.6" thickTop="1" thickBot="1">
      <c r="A54" s="95">
        <v>202218034</v>
      </c>
      <c r="B54" s="95" t="s">
        <v>95</v>
      </c>
      <c r="C54" s="11" t="str">
        <f>IFERROR(VLOOKUP($A54&amp;C$3,'Mark Leave'!$A:$E,5,0),"")</f>
        <v/>
      </c>
      <c r="D54" s="11" t="str">
        <f>IFERROR(VLOOKUP($A54&amp;D$3,'Mark Leave'!$A:$E,5,0),"")</f>
        <v/>
      </c>
      <c r="E54" s="11" t="str">
        <f>IFERROR(VLOOKUP($A54&amp;E$3,'Mark Leave'!$A:$E,5,0),"")</f>
        <v/>
      </c>
      <c r="F54" s="11" t="str">
        <f>IFERROR(VLOOKUP($A54&amp;F$3,'Mark Leave'!$A:$E,5,0),"")</f>
        <v/>
      </c>
      <c r="G54" s="11" t="str">
        <f>IFERROR(VLOOKUP($A54&amp;G$3,'Mark Leave'!$A:$E,5,0),"")</f>
        <v/>
      </c>
      <c r="H54" s="11" t="str">
        <f>IFERROR(VLOOKUP($A54&amp;H$3,'Mark Leave'!$A:$E,5,0),"")</f>
        <v/>
      </c>
      <c r="I54" s="11" t="str">
        <f>IFERROR(VLOOKUP($A54&amp;I$3,'Mark Leave'!$A:$E,5,0),"")</f>
        <v/>
      </c>
      <c r="J54" s="11" t="str">
        <f>IFERROR(VLOOKUP($A54&amp;J$3,'Mark Leave'!$A:$E,5,0),"")</f>
        <v/>
      </c>
      <c r="K54" s="11" t="str">
        <f>IFERROR(VLOOKUP($A54&amp;K$3,'Mark Leave'!$A:$E,5,0),"")</f>
        <v/>
      </c>
      <c r="L54" s="11" t="str">
        <f>IFERROR(VLOOKUP($A54&amp;L$3,'Mark Leave'!$A:$E,5,0),"")</f>
        <v/>
      </c>
      <c r="M54" s="11" t="str">
        <f>IFERROR(VLOOKUP($A54&amp;M$3,'Mark Leave'!$A:$E,5,0),"")</f>
        <v/>
      </c>
      <c r="N54" s="11" t="str">
        <f>IFERROR(VLOOKUP($A54&amp;N$3,'Mark Leave'!$A:$E,5,0),"")</f>
        <v/>
      </c>
      <c r="O54" s="11" t="str">
        <f>IFERROR(VLOOKUP($A54&amp;O$3,'Mark Leave'!$A:$E,5,0),"")</f>
        <v/>
      </c>
      <c r="P54" s="11" t="str">
        <f>IFERROR(VLOOKUP($A54&amp;P$3,'Mark Leave'!$A:$E,5,0),"")</f>
        <v/>
      </c>
      <c r="Q54" s="11" t="str">
        <f>IFERROR(VLOOKUP($A54&amp;Q$3,'Mark Leave'!$A:$E,5,0),"")</f>
        <v/>
      </c>
      <c r="R54" s="11" t="str">
        <f>IFERROR(VLOOKUP($A54&amp;R$3,'Mark Leave'!$A:$E,5,0),"")</f>
        <v/>
      </c>
      <c r="S54" s="11" t="str">
        <f>IFERROR(VLOOKUP($A54&amp;S$3,'Mark Leave'!$A:$E,5,0),"")</f>
        <v/>
      </c>
      <c r="T54" s="11" t="str">
        <f>IFERROR(VLOOKUP($A54&amp;T$3,'Mark Leave'!$A:$E,5,0),"")</f>
        <v/>
      </c>
      <c r="U54" s="11" t="str">
        <f>IFERROR(VLOOKUP($A54&amp;U$3,'Mark Leave'!$A:$E,5,0),"")</f>
        <v/>
      </c>
      <c r="V54" s="11" t="str">
        <f>IFERROR(VLOOKUP($A54&amp;V$3,'Mark Leave'!$A:$E,5,0),"")</f>
        <v/>
      </c>
      <c r="W54" s="11" t="str">
        <f>IFERROR(VLOOKUP($A54&amp;W$3,'Mark Leave'!$A:$E,5,0),"")</f>
        <v/>
      </c>
      <c r="X54" s="11" t="str">
        <f>IFERROR(VLOOKUP($A54&amp;X$3,'Mark Leave'!$A:$E,5,0),"")</f>
        <v/>
      </c>
      <c r="Y54" s="11" t="str">
        <f>IFERROR(VLOOKUP($A54&amp;Y$3,'Mark Leave'!$A:$E,5,0),"")</f>
        <v/>
      </c>
      <c r="Z54" s="11" t="str">
        <f>IFERROR(VLOOKUP($A54&amp;Z$3,'Mark Leave'!$A:$E,5,0),"")</f>
        <v/>
      </c>
      <c r="AA54" s="11" t="str">
        <f>IFERROR(VLOOKUP($A54&amp;AA$3,'Mark Leave'!$A:$E,5,0),"")</f>
        <v/>
      </c>
      <c r="AB54" s="11" t="str">
        <f>IFERROR(VLOOKUP($A54&amp;AB$3,'Mark Leave'!$A:$E,5,0),"")</f>
        <v/>
      </c>
      <c r="AC54" s="11" t="str">
        <f>IFERROR(VLOOKUP($A54&amp;AC$3,'Mark Leave'!$A:$E,5,0),"")</f>
        <v/>
      </c>
      <c r="AD54" s="11" t="str">
        <f>IFERROR(VLOOKUP($A54&amp;AD$3,'Mark Leave'!$A:$E,5,0),"")</f>
        <v/>
      </c>
      <c r="AE54" s="11" t="str">
        <f>IFERROR(VLOOKUP($A54&amp;AE$3,'Mark Leave'!$A:$E,5,0),"")</f>
        <v/>
      </c>
      <c r="AF54" s="11" t="str">
        <f>IFERROR(VLOOKUP($A54&amp;AF$3,'Mark Leave'!$A:$E,5,0),"")</f>
        <v/>
      </c>
      <c r="AG54" s="11" t="str">
        <f>IFERROR(VLOOKUP($A54&amp;AG$3,'Mark Leave'!$A:$E,5,0),"")</f>
        <v/>
      </c>
      <c r="AH54" s="12">
        <f t="shared" si="17"/>
        <v>0</v>
      </c>
      <c r="AI54" s="12">
        <f t="shared" si="17"/>
        <v>0</v>
      </c>
      <c r="AJ54" s="12">
        <f t="shared" si="17"/>
        <v>0</v>
      </c>
      <c r="AK54" s="12">
        <f t="shared" si="17"/>
        <v>0</v>
      </c>
      <c r="AL54" s="12">
        <f t="shared" si="17"/>
        <v>0</v>
      </c>
      <c r="AM54" s="12">
        <f t="shared" si="17"/>
        <v>0</v>
      </c>
      <c r="AN54" s="12">
        <f t="shared" si="16"/>
        <v>0</v>
      </c>
      <c r="AO54" s="12">
        <f t="shared" si="16"/>
        <v>0</v>
      </c>
      <c r="AP54" s="12">
        <f t="shared" si="16"/>
        <v>0</v>
      </c>
      <c r="AQ54" s="12">
        <f t="shared" si="15"/>
        <v>0</v>
      </c>
      <c r="AR54" s="12">
        <f t="shared" si="15"/>
        <v>0</v>
      </c>
      <c r="AS54" s="12">
        <f t="shared" si="7"/>
        <v>0</v>
      </c>
      <c r="AT54" s="13">
        <f t="shared" ref="AT54:AT55" si="18">SUM(AH54:AN54)</f>
        <v>0</v>
      </c>
    </row>
    <row r="55" spans="1:46" ht="15.6" thickTop="1" thickBot="1">
      <c r="A55" s="95">
        <v>202418035</v>
      </c>
      <c r="B55" s="95" t="s">
        <v>96</v>
      </c>
      <c r="C55" s="11" t="str">
        <f>IFERROR(VLOOKUP($A55&amp;C$3,'Mark Leave'!$A:$E,5,0),"")</f>
        <v/>
      </c>
      <c r="D55" s="11" t="str">
        <f>IFERROR(VLOOKUP($A55&amp;D$3,'Mark Leave'!$A:$E,5,0),"")</f>
        <v/>
      </c>
      <c r="E55" s="11" t="str">
        <f>IFERROR(VLOOKUP($A55&amp;E$3,'Mark Leave'!$A:$E,5,0),"")</f>
        <v/>
      </c>
      <c r="F55" s="11" t="str">
        <f>IFERROR(VLOOKUP($A55&amp;F$3,'Mark Leave'!$A:$E,5,0),"")</f>
        <v/>
      </c>
      <c r="G55" s="11" t="str">
        <f>IFERROR(VLOOKUP($A55&amp;G$3,'Mark Leave'!$A:$E,5,0),"")</f>
        <v/>
      </c>
      <c r="H55" s="11" t="str">
        <f>IFERROR(VLOOKUP($A55&amp;H$3,'Mark Leave'!$A:$E,5,0),"")</f>
        <v/>
      </c>
      <c r="I55" s="11" t="str">
        <f>IFERROR(VLOOKUP($A55&amp;I$3,'Mark Leave'!$A:$E,5,0),"")</f>
        <v/>
      </c>
      <c r="J55" s="11" t="str">
        <f>IFERROR(VLOOKUP($A55&amp;J$3,'Mark Leave'!$A:$E,5,0),"")</f>
        <v/>
      </c>
      <c r="K55" s="11" t="str">
        <f>IFERROR(VLOOKUP($A55&amp;K$3,'Mark Leave'!$A:$E,5,0),"")</f>
        <v/>
      </c>
      <c r="L55" s="11" t="str">
        <f>IFERROR(VLOOKUP($A55&amp;L$3,'Mark Leave'!$A:$E,5,0),"")</f>
        <v/>
      </c>
      <c r="M55" s="11" t="str">
        <f>IFERROR(VLOOKUP($A55&amp;M$3,'Mark Leave'!$A:$E,5,0),"")</f>
        <v/>
      </c>
      <c r="N55" s="11" t="str">
        <f>IFERROR(VLOOKUP($A55&amp;N$3,'Mark Leave'!$A:$E,5,0),"")</f>
        <v/>
      </c>
      <c r="O55" s="11" t="str">
        <f>IFERROR(VLOOKUP($A55&amp;O$3,'Mark Leave'!$A:$E,5,0),"")</f>
        <v/>
      </c>
      <c r="P55" s="11" t="str">
        <f>IFERROR(VLOOKUP($A55&amp;P$3,'Mark Leave'!$A:$E,5,0),"")</f>
        <v/>
      </c>
      <c r="Q55" s="11" t="str">
        <f>IFERROR(VLOOKUP($A55&amp;Q$3,'Mark Leave'!$A:$E,5,0),"")</f>
        <v/>
      </c>
      <c r="R55" s="11" t="str">
        <f>IFERROR(VLOOKUP($A55&amp;R$3,'Mark Leave'!$A:$E,5,0),"")</f>
        <v/>
      </c>
      <c r="S55" s="11" t="str">
        <f>IFERROR(VLOOKUP($A55&amp;S$3,'Mark Leave'!$A:$E,5,0),"")</f>
        <v/>
      </c>
      <c r="T55" s="11" t="str">
        <f>IFERROR(VLOOKUP($A55&amp;T$3,'Mark Leave'!$A:$E,5,0),"")</f>
        <v/>
      </c>
      <c r="U55" s="11" t="str">
        <f>IFERROR(VLOOKUP($A55&amp;U$3,'Mark Leave'!$A:$E,5,0),"")</f>
        <v/>
      </c>
      <c r="V55" s="11" t="str">
        <f>IFERROR(VLOOKUP($A55&amp;V$3,'Mark Leave'!$A:$E,5,0),"")</f>
        <v/>
      </c>
      <c r="W55" s="11" t="str">
        <f>IFERROR(VLOOKUP($A55&amp;W$3,'Mark Leave'!$A:$E,5,0),"")</f>
        <v/>
      </c>
      <c r="X55" s="11" t="str">
        <f>IFERROR(VLOOKUP($A55&amp;X$3,'Mark Leave'!$A:$E,5,0),"")</f>
        <v/>
      </c>
      <c r="Y55" s="11" t="str">
        <f>IFERROR(VLOOKUP($A55&amp;Y$3,'Mark Leave'!$A:$E,5,0),"")</f>
        <v/>
      </c>
      <c r="Z55" s="11" t="str">
        <f>IFERROR(VLOOKUP($A55&amp;Z$3,'Mark Leave'!$A:$E,5,0),"")</f>
        <v/>
      </c>
      <c r="AA55" s="11" t="str">
        <f>IFERROR(VLOOKUP($A55&amp;AA$3,'Mark Leave'!$A:$E,5,0),"")</f>
        <v/>
      </c>
      <c r="AB55" s="11" t="str">
        <f>IFERROR(VLOOKUP($A55&amp;AB$3,'Mark Leave'!$A:$E,5,0),"")</f>
        <v/>
      </c>
      <c r="AC55" s="11" t="str">
        <f>IFERROR(VLOOKUP($A55&amp;AC$3,'Mark Leave'!$A:$E,5,0),"")</f>
        <v/>
      </c>
      <c r="AD55" s="11" t="str">
        <f>IFERROR(VLOOKUP($A55&amp;AD$3,'Mark Leave'!$A:$E,5,0),"")</f>
        <v/>
      </c>
      <c r="AE55" s="11" t="str">
        <f>IFERROR(VLOOKUP($A55&amp;AE$3,'Mark Leave'!$A:$E,5,0),"")</f>
        <v/>
      </c>
      <c r="AF55" s="11" t="str">
        <f>IFERROR(VLOOKUP($A55&amp;AF$3,'Mark Leave'!$A:$E,5,0),"")</f>
        <v/>
      </c>
      <c r="AG55" s="11" t="str">
        <f>IFERROR(VLOOKUP($A55&amp;AG$3,'Mark Leave'!$A:$E,5,0),"")</f>
        <v/>
      </c>
      <c r="AH55" s="12">
        <f t="shared" si="17"/>
        <v>0</v>
      </c>
      <c r="AI55" s="12">
        <f t="shared" si="17"/>
        <v>0</v>
      </c>
      <c r="AJ55" s="12">
        <f t="shared" si="17"/>
        <v>0</v>
      </c>
      <c r="AK55" s="12">
        <f t="shared" si="17"/>
        <v>0</v>
      </c>
      <c r="AL55" s="12">
        <f t="shared" si="17"/>
        <v>0</v>
      </c>
      <c r="AM55" s="12">
        <f t="shared" si="17"/>
        <v>0</v>
      </c>
      <c r="AN55" s="12">
        <f t="shared" si="16"/>
        <v>0</v>
      </c>
      <c r="AO55" s="12">
        <f t="shared" si="16"/>
        <v>0</v>
      </c>
      <c r="AP55" s="12">
        <f t="shared" si="16"/>
        <v>0</v>
      </c>
      <c r="AQ55" s="12">
        <f t="shared" si="15"/>
        <v>0</v>
      </c>
      <c r="AR55" s="12">
        <f t="shared" si="15"/>
        <v>0</v>
      </c>
      <c r="AS55" s="12">
        <f t="shared" si="7"/>
        <v>0</v>
      </c>
      <c r="AT55" s="13">
        <f t="shared" si="18"/>
        <v>0</v>
      </c>
    </row>
    <row r="56" spans="1:46" ht="14.4" thickTop="1"/>
  </sheetData>
  <mergeCells count="3">
    <mergeCell ref="O1:T1"/>
    <mergeCell ref="A3:A4"/>
    <mergeCell ref="B3:B4"/>
  </mergeCells>
  <conditionalFormatting sqref="C5:AG53">
    <cfRule type="cellIs" dxfId="92" priority="14" operator="equal">
      <formula>"HSL"</formula>
    </cfRule>
    <cfRule type="cellIs" dxfId="91" priority="15" operator="equal">
      <formula>"POM"</formula>
    </cfRule>
    <cfRule type="cellIs" dxfId="90" priority="16" operator="equal">
      <formula>"PIM"</formula>
    </cfRule>
    <cfRule type="cellIs" dxfId="89" priority="17" operator="equal">
      <formula>"PM"</formula>
    </cfRule>
    <cfRule type="cellIs" dxfId="88" priority="18" operator="equal">
      <formula>"WFH"</formula>
    </cfRule>
    <cfRule type="cellIs" dxfId="87" priority="19" operator="equal">
      <formula>"HCL"</formula>
    </cfRule>
    <cfRule type="cellIs" dxfId="86" priority="21" operator="equal">
      <formula>"WL"</formula>
    </cfRule>
    <cfRule type="cellIs" dxfId="85" priority="22" operator="equal">
      <formula>"ML"</formula>
    </cfRule>
    <cfRule type="cellIs" dxfId="84" priority="23" operator="equal">
      <formula>"CL"</formula>
    </cfRule>
    <cfRule type="cellIs" dxfId="83" priority="24" operator="equal">
      <formula>"SL"</formula>
    </cfRule>
    <cfRule type="cellIs" dxfId="82" priority="25" operator="equal">
      <formula>"LWP"</formula>
    </cfRule>
    <cfRule type="cellIs" dxfId="81" priority="26" operator="equal">
      <formula>"PL"</formula>
    </cfRule>
  </conditionalFormatting>
  <conditionalFormatting sqref="AH5:AT53">
    <cfRule type="cellIs" dxfId="80" priority="20" operator="equal">
      <formula>0</formula>
    </cfRule>
  </conditionalFormatting>
  <conditionalFormatting sqref="C54:AG55">
    <cfRule type="cellIs" dxfId="79" priority="2" operator="equal">
      <formula>"HSL"</formula>
    </cfRule>
    <cfRule type="cellIs" dxfId="78" priority="3" operator="equal">
      <formula>"POM"</formula>
    </cfRule>
    <cfRule type="cellIs" dxfId="77" priority="4" operator="equal">
      <formula>"PIM"</formula>
    </cfRule>
    <cfRule type="cellIs" dxfId="76" priority="5" operator="equal">
      <formula>"PM"</formula>
    </cfRule>
    <cfRule type="cellIs" dxfId="75" priority="6" operator="equal">
      <formula>"WFH"</formula>
    </cfRule>
    <cfRule type="cellIs" dxfId="74" priority="7" operator="equal">
      <formula>"HCL"</formula>
    </cfRule>
    <cfRule type="cellIs" dxfId="73" priority="8" operator="equal">
      <formula>"WL"</formula>
    </cfRule>
    <cfRule type="cellIs" dxfId="72" priority="9" operator="equal">
      <formula>"ML"</formula>
    </cfRule>
    <cfRule type="cellIs" dxfId="71" priority="10" operator="equal">
      <formula>"CL"</formula>
    </cfRule>
    <cfRule type="cellIs" dxfId="70" priority="11" operator="equal">
      <formula>"SL"</formula>
    </cfRule>
    <cfRule type="cellIs" dxfId="69" priority="12" operator="equal">
      <formula>"LWP"</formula>
    </cfRule>
    <cfRule type="cellIs" dxfId="68" priority="13" operator="equal">
      <formula>"PL"</formula>
    </cfRule>
  </conditionalFormatting>
  <conditionalFormatting sqref="AH54:AT55">
    <cfRule type="cellIs" dxfId="67" priority="1" operator="equal">
      <formula>0</formula>
    </cfRule>
  </conditionalFormatting>
  <pageMargins left="0.7" right="0.7" top="0.75" bottom="0.75" header="0.3" footer="0.3"/>
  <pageSetup paperSize="9" orientation="portrait" verticalDpi="0" r:id="rId1"/>
  <ignoredErrors>
    <ignoredError sqref="C3"/>
    <ignoredError sqref="AN5:AN24" formula="1"/>
  </ignoredError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45" r:id="rId4" name="Drop Down 21">
              <controlPr defaultSize="0" autoLine="0" autoPict="0">
                <anchor moveWithCells="1">
                  <from>
                    <xdr:col>14</xdr:col>
                    <xdr:colOff>60960</xdr:colOff>
                    <xdr:row>0</xdr:row>
                    <xdr:rowOff>53340</xdr:rowOff>
                  </from>
                  <to>
                    <xdr:col>18</xdr:col>
                    <xdr:colOff>0</xdr:colOff>
                    <xdr:row>1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73E430-D8EE-4328-A8DF-5587496E6A5C}">
  <sheetPr codeName="Sheet3"/>
  <dimension ref="A1:L4497"/>
  <sheetViews>
    <sheetView showGridLines="0" tabSelected="1" zoomScale="88" zoomScaleNormal="100" workbookViewId="0">
      <pane ySplit="1" topLeftCell="A2" activePane="bottomLeft" state="frozen"/>
      <selection activeCell="K24" sqref="K24"/>
      <selection pane="bottomLeft" activeCell="B1" sqref="B1"/>
    </sheetView>
  </sheetViews>
  <sheetFormatPr defaultRowHeight="14.4"/>
  <cols>
    <col min="1" max="1" width="15.77734375" style="126" bestFit="1" customWidth="1"/>
    <col min="2" max="2" width="12.21875" style="126" customWidth="1"/>
    <col min="3" max="3" width="33" style="126" bestFit="1" customWidth="1"/>
    <col min="4" max="4" width="14.77734375" style="127" customWidth="1"/>
    <col min="5" max="5" width="13.21875" style="126" customWidth="1"/>
    <col min="6" max="6" width="15.77734375" style="126" customWidth="1"/>
    <col min="7" max="7" width="14" style="126" bestFit="1" customWidth="1"/>
    <col min="8" max="8" width="66.21875" style="126" customWidth="1"/>
  </cols>
  <sheetData>
    <row r="1" spans="1:8" ht="41.7" customHeight="1">
      <c r="A1" s="81" t="s">
        <v>97</v>
      </c>
      <c r="B1" s="82" t="s">
        <v>1357</v>
      </c>
      <c r="C1" s="81" t="s">
        <v>2</v>
      </c>
      <c r="D1" s="83" t="s">
        <v>98</v>
      </c>
      <c r="E1" s="82" t="s">
        <v>99</v>
      </c>
      <c r="F1" s="82" t="s">
        <v>100</v>
      </c>
      <c r="G1" s="82" t="s">
        <v>101</v>
      </c>
      <c r="H1" s="82" t="s">
        <v>102</v>
      </c>
    </row>
    <row r="2" spans="1:8">
      <c r="A2" s="85" t="str">
        <f>LeaveData[[#This Row],[ EMP ID]]&amp;LeaveData[[#This Row],[Date]]</f>
        <v>20211800745355</v>
      </c>
      <c r="B2" s="88">
        <v>202118007</v>
      </c>
      <c r="C2" s="86" t="s">
        <v>103</v>
      </c>
      <c r="D2" s="87">
        <v>45355</v>
      </c>
      <c r="E2" s="86" t="s">
        <v>13</v>
      </c>
      <c r="F2" s="86" t="s">
        <v>104</v>
      </c>
      <c r="G2" s="86"/>
      <c r="H2" s="86" t="s">
        <v>105</v>
      </c>
    </row>
    <row r="3" spans="1:8">
      <c r="A3" s="85" t="str">
        <f>LeaveData[[#This Row],[ EMP ID]]&amp;LeaveData[[#This Row],[Date]]</f>
        <v>20231802845366</v>
      </c>
      <c r="B3" s="88">
        <v>202318028</v>
      </c>
      <c r="C3" s="86" t="s">
        <v>57</v>
      </c>
      <c r="D3" s="87">
        <v>45366</v>
      </c>
      <c r="E3" s="86" t="s">
        <v>13</v>
      </c>
      <c r="F3" s="86" t="s">
        <v>106</v>
      </c>
      <c r="G3" s="86"/>
      <c r="H3" s="86" t="s">
        <v>107</v>
      </c>
    </row>
    <row r="4" spans="1:8">
      <c r="A4" s="85" t="str">
        <f>LeaveData[[#This Row],[ EMP ID]]&amp;LeaveData[[#This Row],[Date]]</f>
        <v>20231802845367</v>
      </c>
      <c r="B4" s="88">
        <v>202318028</v>
      </c>
      <c r="C4" s="86" t="s">
        <v>57</v>
      </c>
      <c r="D4" s="84">
        <v>45367</v>
      </c>
      <c r="E4" s="86" t="s">
        <v>13</v>
      </c>
      <c r="F4" s="86" t="s">
        <v>106</v>
      </c>
      <c r="G4" s="86"/>
      <c r="H4" s="86" t="s">
        <v>107</v>
      </c>
    </row>
    <row r="5" spans="1:8">
      <c r="A5" s="85" t="str">
        <f>LeaveData[[#This Row],[ EMP ID]]&amp;LeaveData[[#This Row],[Date]]</f>
        <v>20232000545374</v>
      </c>
      <c r="B5" s="88">
        <v>202320005</v>
      </c>
      <c r="C5" s="86" t="s">
        <v>38</v>
      </c>
      <c r="D5" s="87">
        <v>45374</v>
      </c>
      <c r="E5" s="86" t="s">
        <v>13</v>
      </c>
      <c r="F5" s="86" t="s">
        <v>106</v>
      </c>
      <c r="G5" s="86"/>
      <c r="H5" s="86" t="s">
        <v>108</v>
      </c>
    </row>
    <row r="6" spans="1:8">
      <c r="A6" s="85" t="str">
        <f>LeaveData[[#This Row],[ EMP ID]]&amp;LeaveData[[#This Row],[Date]]</f>
        <v>EMP23032O45359</v>
      </c>
      <c r="B6" s="79" t="s">
        <v>109</v>
      </c>
      <c r="C6" s="86" t="s">
        <v>110</v>
      </c>
      <c r="D6" s="87">
        <v>45359</v>
      </c>
      <c r="E6" s="86" t="s">
        <v>15</v>
      </c>
      <c r="F6" s="86" t="s">
        <v>111</v>
      </c>
      <c r="G6" s="86"/>
      <c r="H6" s="86" t="s">
        <v>112</v>
      </c>
    </row>
    <row r="7" spans="1:8">
      <c r="A7" s="85" t="str">
        <f>LeaveData[[#This Row],[ EMP ID]]&amp;LeaveData[[#This Row],[Date]]</f>
        <v>EMP23032O45374</v>
      </c>
      <c r="B7" s="79" t="s">
        <v>109</v>
      </c>
      <c r="C7" s="86" t="s">
        <v>110</v>
      </c>
      <c r="D7" s="87">
        <v>45374</v>
      </c>
      <c r="E7" s="86" t="s">
        <v>13</v>
      </c>
      <c r="F7" s="86" t="s">
        <v>111</v>
      </c>
      <c r="G7" s="86"/>
      <c r="H7" s="86" t="s">
        <v>113</v>
      </c>
    </row>
    <row r="8" spans="1:8">
      <c r="A8" s="85" t="str">
        <f>LeaveData[[#This Row],[ EMP ID]]&amp;LeaveData[[#This Row],[Date]]</f>
        <v>20231801645374</v>
      </c>
      <c r="B8" s="88">
        <v>202318016</v>
      </c>
      <c r="C8" s="86" t="s">
        <v>36</v>
      </c>
      <c r="D8" s="87">
        <v>45374</v>
      </c>
      <c r="E8" s="86" t="s">
        <v>13</v>
      </c>
      <c r="F8" s="86" t="s">
        <v>114</v>
      </c>
      <c r="G8" s="86"/>
      <c r="H8" s="86" t="s">
        <v>115</v>
      </c>
    </row>
    <row r="9" spans="1:8">
      <c r="A9" s="85" t="str">
        <f>LeaveData[[#This Row],[ EMP ID]]&amp;LeaveData[[#This Row],[Date]]</f>
        <v>20231801645377</v>
      </c>
      <c r="B9" s="88">
        <v>202318016</v>
      </c>
      <c r="C9" s="86" t="s">
        <v>36</v>
      </c>
      <c r="D9" s="87">
        <v>45377</v>
      </c>
      <c r="E9" s="86" t="s">
        <v>13</v>
      </c>
      <c r="F9" s="86" t="s">
        <v>114</v>
      </c>
      <c r="G9" s="86"/>
      <c r="H9" s="86" t="s">
        <v>115</v>
      </c>
    </row>
    <row r="10" spans="1:8">
      <c r="A10" s="85" t="str">
        <f>LeaveData[[#This Row],[ EMP ID]]&amp;LeaveData[[#This Row],[Date]]</f>
        <v>20232001045393</v>
      </c>
      <c r="B10" s="88">
        <v>202320010</v>
      </c>
      <c r="C10" s="86" t="s">
        <v>49</v>
      </c>
      <c r="D10" s="87">
        <v>45393</v>
      </c>
      <c r="E10" s="86" t="s">
        <v>13</v>
      </c>
      <c r="F10" s="86" t="s">
        <v>114</v>
      </c>
      <c r="G10" s="86"/>
      <c r="H10" s="86" t="s">
        <v>116</v>
      </c>
    </row>
    <row r="11" spans="1:8">
      <c r="A11" s="85" t="str">
        <f>LeaveData[[#This Row],[ EMP ID]]&amp;LeaveData[[#This Row],[Date]]</f>
        <v>20232001345366</v>
      </c>
      <c r="B11" s="88">
        <v>202320013</v>
      </c>
      <c r="C11" s="86" t="s">
        <v>56</v>
      </c>
      <c r="D11" s="87">
        <v>45366</v>
      </c>
      <c r="E11" s="86" t="s">
        <v>13</v>
      </c>
      <c r="F11" s="86" t="s">
        <v>114</v>
      </c>
      <c r="G11" s="86"/>
      <c r="H11" s="86" t="s">
        <v>117</v>
      </c>
    </row>
    <row r="12" spans="1:8">
      <c r="A12" s="85" t="str">
        <f>LeaveData[[#This Row],[ EMP ID]]&amp;LeaveData[[#This Row],[Date]]</f>
        <v>20232001345367</v>
      </c>
      <c r="B12" s="88">
        <v>202320013</v>
      </c>
      <c r="C12" s="86" t="s">
        <v>56</v>
      </c>
      <c r="D12" s="87">
        <v>45367</v>
      </c>
      <c r="E12" s="86" t="s">
        <v>13</v>
      </c>
      <c r="F12" s="86" t="s">
        <v>114</v>
      </c>
      <c r="G12" s="86"/>
      <c r="H12" s="86" t="s">
        <v>117</v>
      </c>
    </row>
    <row r="13" spans="1:8">
      <c r="A13" s="89" t="str">
        <f>LeaveData[[#This Row],[ EMP ID]]&amp;LeaveData[[#This Row],[Date]]</f>
        <v>20221801245360</v>
      </c>
      <c r="B13" s="88">
        <v>202218012</v>
      </c>
      <c r="C13" s="79" t="s">
        <v>29</v>
      </c>
      <c r="D13" s="80">
        <v>45360</v>
      </c>
      <c r="E13" s="79" t="s">
        <v>12</v>
      </c>
      <c r="F13" s="79" t="s">
        <v>118</v>
      </c>
      <c r="G13" s="79"/>
      <c r="H13" s="79" t="s">
        <v>119</v>
      </c>
    </row>
    <row r="14" spans="1:8">
      <c r="A14" s="89" t="str">
        <f>LeaveData[[#This Row],[ EMP ID]]&amp;LeaveData[[#This Row],[Date]]</f>
        <v>EMP23026O45362</v>
      </c>
      <c r="B14" s="79" t="s">
        <v>120</v>
      </c>
      <c r="C14" s="79" t="s">
        <v>121</v>
      </c>
      <c r="D14" s="80">
        <v>45362</v>
      </c>
      <c r="E14" s="79" t="s">
        <v>12</v>
      </c>
      <c r="F14" s="79" t="s">
        <v>104</v>
      </c>
      <c r="G14" s="79"/>
      <c r="H14" s="79" t="s">
        <v>119</v>
      </c>
    </row>
    <row r="15" spans="1:8">
      <c r="A15" s="89" t="str">
        <f>LeaveData[[#This Row],[ EMP ID]]&amp;LeaveData[[#This Row],[Date]]</f>
        <v>20231802545363</v>
      </c>
      <c r="B15" s="88">
        <v>202318025</v>
      </c>
      <c r="C15" s="79" t="s">
        <v>122</v>
      </c>
      <c r="D15" s="80">
        <v>45363</v>
      </c>
      <c r="E15" s="79" t="s">
        <v>14</v>
      </c>
      <c r="F15" s="79" t="s">
        <v>106</v>
      </c>
      <c r="G15" s="79"/>
      <c r="H15" s="90" t="s">
        <v>123</v>
      </c>
    </row>
    <row r="16" spans="1:8">
      <c r="A16" s="89" t="str">
        <f>LeaveData[[#This Row],[ EMP ID]]&amp;LeaveData[[#This Row],[Date]]</f>
        <v>20232000645364</v>
      </c>
      <c r="B16" s="88">
        <v>202320006</v>
      </c>
      <c r="C16" s="79" t="s">
        <v>39</v>
      </c>
      <c r="D16" s="80">
        <v>45364</v>
      </c>
      <c r="E16" s="79" t="s">
        <v>12</v>
      </c>
      <c r="F16" s="79" t="s">
        <v>104</v>
      </c>
      <c r="G16" s="79"/>
      <c r="H16" s="79" t="s">
        <v>119</v>
      </c>
    </row>
    <row r="17" spans="1:8">
      <c r="A17" s="89" t="str">
        <f>LeaveData[[#This Row],[ EMP ID]]&amp;LeaveData[[#This Row],[Date]]</f>
        <v>20231802445367</v>
      </c>
      <c r="B17" s="88">
        <v>202318024</v>
      </c>
      <c r="C17" s="79" t="s">
        <v>51</v>
      </c>
      <c r="D17" s="80">
        <v>45367</v>
      </c>
      <c r="E17" s="79" t="s">
        <v>13</v>
      </c>
      <c r="F17" s="86" t="s">
        <v>114</v>
      </c>
      <c r="G17" s="79"/>
      <c r="H17" s="90" t="s">
        <v>124</v>
      </c>
    </row>
    <row r="18" spans="1:8">
      <c r="A18" s="89" t="str">
        <f>LeaveData[[#This Row],[ EMP ID]]&amp;LeaveData[[#This Row],[Date]]</f>
        <v>20232000645365</v>
      </c>
      <c r="B18" s="88">
        <v>202320006</v>
      </c>
      <c r="C18" s="79" t="s">
        <v>39</v>
      </c>
      <c r="D18" s="80">
        <v>45365</v>
      </c>
      <c r="E18" s="79" t="s">
        <v>12</v>
      </c>
      <c r="F18" s="79" t="s">
        <v>104</v>
      </c>
      <c r="G18" s="79"/>
      <c r="H18" s="79" t="s">
        <v>119</v>
      </c>
    </row>
    <row r="19" spans="1:8">
      <c r="A19" s="89" t="str">
        <f>LeaveData[[#This Row],[ EMP ID]]&amp;LeaveData[[#This Row],[Date]]</f>
        <v>20232000545365</v>
      </c>
      <c r="B19" s="88">
        <v>202320005</v>
      </c>
      <c r="C19" s="79" t="s">
        <v>38</v>
      </c>
      <c r="D19" s="80">
        <v>45365</v>
      </c>
      <c r="E19" s="79" t="s">
        <v>16</v>
      </c>
      <c r="F19" s="79" t="s">
        <v>125</v>
      </c>
      <c r="G19" s="79"/>
      <c r="H19" s="79" t="s">
        <v>16</v>
      </c>
    </row>
    <row r="20" spans="1:8">
      <c r="A20" s="89" t="str">
        <f>LeaveData[[#This Row],[ EMP ID]]&amp;LeaveData[[#This Row],[Date]]</f>
        <v>20232001145365</v>
      </c>
      <c r="B20" s="88">
        <v>202320011</v>
      </c>
      <c r="C20" s="79" t="s">
        <v>52</v>
      </c>
      <c r="D20" s="80">
        <v>45365</v>
      </c>
      <c r="E20" s="79" t="s">
        <v>16</v>
      </c>
      <c r="F20" s="79" t="s">
        <v>106</v>
      </c>
      <c r="G20" s="79"/>
      <c r="H20" s="79" t="s">
        <v>16</v>
      </c>
    </row>
    <row r="21" spans="1:8">
      <c r="A21" s="89" t="str">
        <f>LeaveData[[#This Row],[ EMP ID]]&amp;LeaveData[[#This Row],[Date]]</f>
        <v>20221801145365</v>
      </c>
      <c r="B21" s="88">
        <v>202218011</v>
      </c>
      <c r="C21" s="79" t="s">
        <v>28</v>
      </c>
      <c r="D21" s="80">
        <v>45365</v>
      </c>
      <c r="E21" s="79" t="s">
        <v>12</v>
      </c>
      <c r="F21" s="79" t="s">
        <v>125</v>
      </c>
      <c r="G21" s="79"/>
      <c r="H21" s="79" t="s">
        <v>126</v>
      </c>
    </row>
    <row r="22" spans="1:8">
      <c r="A22" s="89" t="str">
        <f>LeaveData[[#This Row],[ EMP ID]]&amp;LeaveData[[#This Row],[Date]]</f>
        <v>20232000345365</v>
      </c>
      <c r="B22" s="88">
        <v>202320003</v>
      </c>
      <c r="C22" s="79" t="s">
        <v>33</v>
      </c>
      <c r="D22" s="80">
        <v>45365</v>
      </c>
      <c r="E22" s="79" t="s">
        <v>12</v>
      </c>
      <c r="F22" s="79" t="s">
        <v>104</v>
      </c>
      <c r="G22" s="79"/>
      <c r="H22" s="79" t="s">
        <v>119</v>
      </c>
    </row>
    <row r="23" spans="1:8">
      <c r="A23" s="89" t="str">
        <f>LeaveData[[#This Row],[ EMP ID]]&amp;LeaveData[[#This Row],[Date]]</f>
        <v>20232001145366</v>
      </c>
      <c r="B23" s="88">
        <v>202320011</v>
      </c>
      <c r="C23" s="79" t="s">
        <v>52</v>
      </c>
      <c r="D23" s="80">
        <v>45366</v>
      </c>
      <c r="E23" s="79" t="s">
        <v>16</v>
      </c>
      <c r="F23" s="79" t="s">
        <v>106</v>
      </c>
      <c r="G23" s="79"/>
      <c r="H23" s="79" t="s">
        <v>16</v>
      </c>
    </row>
    <row r="24" spans="1:8">
      <c r="A24" s="79" t="str">
        <f>LeaveData[[#This Row],[ EMP ID]]&amp;LeaveData[[#This Row],[Date]]</f>
        <v>20232001145367</v>
      </c>
      <c r="B24" s="88">
        <v>202320011</v>
      </c>
      <c r="C24" s="79" t="s">
        <v>52</v>
      </c>
      <c r="D24" s="80">
        <v>45367</v>
      </c>
      <c r="E24" s="79" t="s">
        <v>16</v>
      </c>
      <c r="F24" s="79" t="s">
        <v>106</v>
      </c>
      <c r="G24" s="79"/>
      <c r="H24" s="79" t="s">
        <v>16</v>
      </c>
    </row>
    <row r="25" spans="1:8">
      <c r="A25" s="79" t="str">
        <f>LeaveData[[#This Row],[ EMP ID]]&amp;LeaveData[[#This Row],[Date]]</f>
        <v>20231802645367</v>
      </c>
      <c r="B25" s="88">
        <v>202318026</v>
      </c>
      <c r="C25" s="79" t="s">
        <v>53</v>
      </c>
      <c r="D25" s="80">
        <v>45367</v>
      </c>
      <c r="E25" s="79" t="s">
        <v>16</v>
      </c>
      <c r="F25" s="79" t="s">
        <v>106</v>
      </c>
      <c r="G25" s="79"/>
      <c r="H25" s="79" t="s">
        <v>16</v>
      </c>
    </row>
    <row r="26" spans="1:8">
      <c r="A26" s="79" t="str">
        <f>LeaveData[[#This Row],[ EMP ID]]&amp;LeaveData[[#This Row],[Date]]</f>
        <v>EMP23032O45369</v>
      </c>
      <c r="B26" s="79" t="s">
        <v>109</v>
      </c>
      <c r="C26" s="79" t="s">
        <v>110</v>
      </c>
      <c r="D26" s="80">
        <v>45369</v>
      </c>
      <c r="E26" s="79" t="s">
        <v>16</v>
      </c>
      <c r="F26" s="79" t="s">
        <v>125</v>
      </c>
      <c r="G26" s="79"/>
      <c r="H26" s="79" t="s">
        <v>127</v>
      </c>
    </row>
    <row r="27" spans="1:8">
      <c r="A27" s="79" t="str">
        <f>LeaveData[[#This Row],[ EMP ID]]&amp;LeaveData[[#This Row],[Date]]</f>
        <v>20221800945369</v>
      </c>
      <c r="B27" s="88">
        <v>202218009</v>
      </c>
      <c r="C27" s="79" t="s">
        <v>26</v>
      </c>
      <c r="D27" s="80">
        <v>45369</v>
      </c>
      <c r="E27" s="79" t="s">
        <v>14</v>
      </c>
      <c r="F27" s="79" t="s">
        <v>128</v>
      </c>
      <c r="G27" s="79"/>
      <c r="H27" s="79" t="s">
        <v>116</v>
      </c>
    </row>
    <row r="28" spans="1:8">
      <c r="A28" s="79" t="str">
        <f>LeaveData[[#This Row],[ EMP ID]]&amp;LeaveData[[#This Row],[Date]]</f>
        <v>20171800145377</v>
      </c>
      <c r="B28" s="88">
        <v>201718001</v>
      </c>
      <c r="C28" s="79" t="s">
        <v>17</v>
      </c>
      <c r="D28" s="80">
        <v>45377</v>
      </c>
      <c r="E28" s="79" t="s">
        <v>16</v>
      </c>
      <c r="F28" s="79" t="s">
        <v>106</v>
      </c>
      <c r="G28" s="79"/>
      <c r="H28" s="79"/>
    </row>
    <row r="29" spans="1:8">
      <c r="A29" s="79" t="str">
        <f>LeaveData[[#This Row],[ EMP ID]]&amp;LeaveData[[#This Row],[Date]]</f>
        <v>20231801945373</v>
      </c>
      <c r="B29" s="88">
        <v>202318019</v>
      </c>
      <c r="C29" s="79" t="s">
        <v>89</v>
      </c>
      <c r="D29" s="80">
        <v>45373</v>
      </c>
      <c r="E29" s="79" t="s">
        <v>13</v>
      </c>
      <c r="F29" s="79" t="s">
        <v>104</v>
      </c>
      <c r="G29" s="79"/>
      <c r="H29" s="79" t="s">
        <v>129</v>
      </c>
    </row>
    <row r="30" spans="1:8">
      <c r="A30" s="79" t="str">
        <f>LeaveData[[#This Row],[ EMP ID]]&amp;LeaveData[[#This Row],[Date]]</f>
        <v>20231801945378</v>
      </c>
      <c r="B30" s="88">
        <v>202318019</v>
      </c>
      <c r="C30" s="79" t="s">
        <v>89</v>
      </c>
      <c r="D30" s="80">
        <v>45378</v>
      </c>
      <c r="E30" s="79" t="s">
        <v>130</v>
      </c>
      <c r="F30" s="79" t="s">
        <v>104</v>
      </c>
      <c r="G30" s="79"/>
      <c r="H30" s="79" t="s">
        <v>131</v>
      </c>
    </row>
    <row r="31" spans="1:8">
      <c r="A31" s="79" t="str">
        <f>LeaveData[[#This Row],[ EMP ID]]&amp;LeaveData[[#This Row],[Date]]</f>
        <v>20231801945379</v>
      </c>
      <c r="B31" s="88">
        <v>202318019</v>
      </c>
      <c r="C31" s="79" t="s">
        <v>89</v>
      </c>
      <c r="D31" s="80">
        <v>45379</v>
      </c>
      <c r="E31" s="79" t="s">
        <v>130</v>
      </c>
      <c r="F31" s="79" t="s">
        <v>104</v>
      </c>
      <c r="G31" s="79"/>
      <c r="H31" s="79" t="s">
        <v>131</v>
      </c>
    </row>
    <row r="32" spans="1:8">
      <c r="A32" s="79" t="str">
        <f>LeaveData[[#This Row],[ EMP ID]]&amp;LeaveData[[#This Row],[Date]]</f>
        <v>20231801945380</v>
      </c>
      <c r="B32" s="88">
        <v>202318019</v>
      </c>
      <c r="C32" s="79" t="s">
        <v>89</v>
      </c>
      <c r="D32" s="80">
        <v>45380</v>
      </c>
      <c r="E32" s="79" t="s">
        <v>130</v>
      </c>
      <c r="F32" s="79" t="s">
        <v>104</v>
      </c>
      <c r="G32" s="79"/>
      <c r="H32" s="79" t="s">
        <v>131</v>
      </c>
    </row>
    <row r="33" spans="1:8">
      <c r="A33" s="79" t="str">
        <f>LeaveData[[#This Row],[ EMP ID]]&amp;LeaveData[[#This Row],[Date]]</f>
        <v>20231801945381</v>
      </c>
      <c r="B33" s="88">
        <v>202318019</v>
      </c>
      <c r="C33" s="79" t="s">
        <v>89</v>
      </c>
      <c r="D33" s="80">
        <v>45381</v>
      </c>
      <c r="E33" s="79" t="s">
        <v>130</v>
      </c>
      <c r="F33" s="79" t="s">
        <v>104</v>
      </c>
      <c r="G33" s="79"/>
      <c r="H33" s="79" t="s">
        <v>131</v>
      </c>
    </row>
    <row r="34" spans="1:8">
      <c r="A34" s="79" t="str">
        <f>LeaveData[[#This Row],[ EMP ID]]&amp;LeaveData[[#This Row],[Date]]</f>
        <v>20231801945383</v>
      </c>
      <c r="B34" s="88">
        <v>202318019</v>
      </c>
      <c r="C34" s="79" t="s">
        <v>89</v>
      </c>
      <c r="D34" s="80">
        <v>45383</v>
      </c>
      <c r="E34" s="79" t="s">
        <v>130</v>
      </c>
      <c r="F34" s="79" t="s">
        <v>104</v>
      </c>
      <c r="G34" s="79"/>
      <c r="H34" s="79" t="s">
        <v>131</v>
      </c>
    </row>
    <row r="35" spans="1:8">
      <c r="A35" s="79" t="str">
        <f>LeaveData[[#This Row],[ EMP ID]]&amp;LeaveData[[#This Row],[Date]]</f>
        <v>20231801945384</v>
      </c>
      <c r="B35" s="88">
        <v>202318019</v>
      </c>
      <c r="C35" s="79" t="s">
        <v>89</v>
      </c>
      <c r="D35" s="80">
        <v>45384</v>
      </c>
      <c r="E35" s="79" t="s">
        <v>130</v>
      </c>
      <c r="F35" s="79" t="s">
        <v>104</v>
      </c>
      <c r="G35" s="79"/>
      <c r="H35" s="79" t="s">
        <v>131</v>
      </c>
    </row>
    <row r="36" spans="1:8">
      <c r="A36" s="79" t="str">
        <f>LeaveData[[#This Row],[ EMP ID]]&amp;LeaveData[[#This Row],[Date]]</f>
        <v>20231801945385</v>
      </c>
      <c r="B36" s="88">
        <v>202318019</v>
      </c>
      <c r="C36" s="79" t="s">
        <v>89</v>
      </c>
      <c r="D36" s="80">
        <v>45385</v>
      </c>
      <c r="E36" s="79" t="s">
        <v>130</v>
      </c>
      <c r="F36" s="79" t="s">
        <v>104</v>
      </c>
      <c r="G36" s="79"/>
      <c r="H36" s="79" t="s">
        <v>131</v>
      </c>
    </row>
    <row r="37" spans="1:8">
      <c r="A37" s="79" t="str">
        <f>LeaveData[[#This Row],[ EMP ID]]&amp;LeaveData[[#This Row],[Date]]</f>
        <v>20231801945386</v>
      </c>
      <c r="B37" s="88">
        <v>202318019</v>
      </c>
      <c r="C37" s="79" t="s">
        <v>89</v>
      </c>
      <c r="D37" s="80">
        <v>45386</v>
      </c>
      <c r="E37" s="79" t="s">
        <v>130</v>
      </c>
      <c r="F37" s="79" t="s">
        <v>104</v>
      </c>
      <c r="G37" s="79"/>
      <c r="H37" s="79" t="s">
        <v>131</v>
      </c>
    </row>
    <row r="38" spans="1:8">
      <c r="A38" s="79" t="str">
        <f>LeaveData[[#This Row],[ EMP ID]]&amp;LeaveData[[#This Row],[Date]]</f>
        <v>20231801945387</v>
      </c>
      <c r="B38" s="88">
        <v>202318019</v>
      </c>
      <c r="C38" s="79" t="s">
        <v>89</v>
      </c>
      <c r="D38" s="80">
        <v>45387</v>
      </c>
      <c r="E38" s="79" t="s">
        <v>130</v>
      </c>
      <c r="F38" s="79" t="s">
        <v>104</v>
      </c>
      <c r="G38" s="79"/>
      <c r="H38" s="79" t="s">
        <v>131</v>
      </c>
    </row>
    <row r="39" spans="1:8">
      <c r="A39" s="79" t="str">
        <f>LeaveData[[#This Row],[ EMP ID]]&amp;LeaveData[[#This Row],[Date]]</f>
        <v>20231801945388</v>
      </c>
      <c r="B39" s="88">
        <v>202318019</v>
      </c>
      <c r="C39" s="79" t="s">
        <v>89</v>
      </c>
      <c r="D39" s="80">
        <v>45388</v>
      </c>
      <c r="E39" s="79" t="s">
        <v>130</v>
      </c>
      <c r="F39" s="79" t="s">
        <v>104</v>
      </c>
      <c r="G39" s="79"/>
      <c r="H39" s="79" t="s">
        <v>131</v>
      </c>
    </row>
    <row r="40" spans="1:8">
      <c r="A40" s="79" t="str">
        <f>LeaveData[[#This Row],[ EMP ID]]&amp;LeaveData[[#This Row],[Date]]</f>
        <v>20231801945390</v>
      </c>
      <c r="B40" s="88">
        <v>202318019</v>
      </c>
      <c r="C40" s="79" t="s">
        <v>89</v>
      </c>
      <c r="D40" s="80">
        <v>45390</v>
      </c>
      <c r="E40" s="79" t="s">
        <v>130</v>
      </c>
      <c r="F40" s="79" t="s">
        <v>104</v>
      </c>
      <c r="G40" s="79"/>
      <c r="H40" s="79" t="s">
        <v>131</v>
      </c>
    </row>
    <row r="41" spans="1:8">
      <c r="A41" s="79" t="str">
        <f>LeaveData[[#This Row],[ EMP ID]]&amp;LeaveData[[#This Row],[Date]]</f>
        <v>20231801945391</v>
      </c>
      <c r="B41" s="88">
        <v>202318019</v>
      </c>
      <c r="C41" s="79" t="s">
        <v>89</v>
      </c>
      <c r="D41" s="80">
        <v>45391</v>
      </c>
      <c r="E41" s="79" t="s">
        <v>130</v>
      </c>
      <c r="F41" s="79" t="s">
        <v>104</v>
      </c>
      <c r="G41" s="79"/>
      <c r="H41" s="79" t="s">
        <v>131</v>
      </c>
    </row>
    <row r="42" spans="1:8">
      <c r="A42" s="79" t="str">
        <f>LeaveData[[#This Row],[ EMP ID]]&amp;LeaveData[[#This Row],[Date]]</f>
        <v>20211800745384</v>
      </c>
      <c r="B42" s="88">
        <v>202118007</v>
      </c>
      <c r="C42" s="86" t="s">
        <v>103</v>
      </c>
      <c r="D42" s="80">
        <v>45384</v>
      </c>
      <c r="E42" s="79" t="s">
        <v>130</v>
      </c>
      <c r="F42" s="79" t="s">
        <v>104</v>
      </c>
      <c r="G42" s="79"/>
      <c r="H42" s="79" t="s">
        <v>131</v>
      </c>
    </row>
    <row r="43" spans="1:8">
      <c r="A43" s="79" t="str">
        <f>LeaveData[[#This Row],[ EMP ID]]&amp;LeaveData[[#This Row],[Date]]</f>
        <v>20211800745385</v>
      </c>
      <c r="B43" s="88">
        <v>202118007</v>
      </c>
      <c r="C43" s="86" t="s">
        <v>103</v>
      </c>
      <c r="D43" s="80">
        <v>45385</v>
      </c>
      <c r="E43" s="79" t="s">
        <v>130</v>
      </c>
      <c r="F43" s="79" t="s">
        <v>104</v>
      </c>
      <c r="G43" s="79"/>
      <c r="H43" s="79" t="s">
        <v>131</v>
      </c>
    </row>
    <row r="44" spans="1:8">
      <c r="A44" s="79" t="str">
        <f>LeaveData[[#This Row],[ EMP ID]]&amp;LeaveData[[#This Row],[Date]]</f>
        <v>20211800745386</v>
      </c>
      <c r="B44" s="88">
        <v>202118007</v>
      </c>
      <c r="C44" s="86" t="s">
        <v>103</v>
      </c>
      <c r="D44" s="80">
        <v>45386</v>
      </c>
      <c r="E44" s="79" t="s">
        <v>130</v>
      </c>
      <c r="F44" s="79" t="s">
        <v>104</v>
      </c>
      <c r="G44" s="79"/>
      <c r="H44" s="79" t="s">
        <v>131</v>
      </c>
    </row>
    <row r="45" spans="1:8">
      <c r="A45" s="79" t="str">
        <f>LeaveData[[#This Row],[ EMP ID]]&amp;LeaveData[[#This Row],[Date]]</f>
        <v>20211800745387</v>
      </c>
      <c r="B45" s="88">
        <v>202118007</v>
      </c>
      <c r="C45" s="86" t="s">
        <v>103</v>
      </c>
      <c r="D45" s="80">
        <v>45387</v>
      </c>
      <c r="E45" s="79" t="s">
        <v>130</v>
      </c>
      <c r="F45" s="79" t="s">
        <v>104</v>
      </c>
      <c r="G45" s="79"/>
      <c r="H45" s="79" t="s">
        <v>131</v>
      </c>
    </row>
    <row r="46" spans="1:8">
      <c r="A46" s="79" t="str">
        <f>LeaveData[[#This Row],[ EMP ID]]&amp;LeaveData[[#This Row],[Date]]</f>
        <v>20211800745388</v>
      </c>
      <c r="B46" s="88">
        <v>202118007</v>
      </c>
      <c r="C46" s="86" t="s">
        <v>103</v>
      </c>
      <c r="D46" s="80">
        <v>45388</v>
      </c>
      <c r="E46" s="79" t="s">
        <v>130</v>
      </c>
      <c r="F46" s="79" t="s">
        <v>104</v>
      </c>
      <c r="G46" s="79"/>
      <c r="H46" s="79" t="s">
        <v>131</v>
      </c>
    </row>
    <row r="47" spans="1:8">
      <c r="A47" s="79" t="str">
        <f>LeaveData[[#This Row],[ EMP ID]]&amp;LeaveData[[#This Row],[Date]]</f>
        <v>20211800745390</v>
      </c>
      <c r="B47" s="88">
        <v>202118007</v>
      </c>
      <c r="C47" s="86" t="s">
        <v>103</v>
      </c>
      <c r="D47" s="80">
        <v>45390</v>
      </c>
      <c r="E47" s="79" t="s">
        <v>130</v>
      </c>
      <c r="F47" s="79" t="s">
        <v>104</v>
      </c>
      <c r="G47" s="79"/>
      <c r="H47" s="79" t="s">
        <v>131</v>
      </c>
    </row>
    <row r="48" spans="1:8">
      <c r="A48" s="79" t="str">
        <f>LeaveData[[#This Row],[ EMP ID]]&amp;LeaveData[[#This Row],[Date]]</f>
        <v>20211800745391</v>
      </c>
      <c r="B48" s="88">
        <v>202118007</v>
      </c>
      <c r="C48" s="86" t="s">
        <v>103</v>
      </c>
      <c r="D48" s="80">
        <v>45391</v>
      </c>
      <c r="E48" s="79" t="s">
        <v>130</v>
      </c>
      <c r="F48" s="79" t="s">
        <v>104</v>
      </c>
      <c r="G48" s="79"/>
      <c r="H48" s="79" t="s">
        <v>131</v>
      </c>
    </row>
    <row r="49" spans="1:8">
      <c r="A49" s="79" t="str">
        <f>LeaveData[[#This Row],[ EMP ID]]&amp;LeaveData[[#This Row],[Date]]</f>
        <v>20231801945371</v>
      </c>
      <c r="B49" s="88">
        <v>202318019</v>
      </c>
      <c r="C49" s="79" t="s">
        <v>89</v>
      </c>
      <c r="D49" s="80">
        <v>45371</v>
      </c>
      <c r="E49" s="79" t="s">
        <v>16</v>
      </c>
      <c r="F49" s="79" t="s">
        <v>104</v>
      </c>
      <c r="G49" s="79"/>
      <c r="H49" s="79" t="s">
        <v>132</v>
      </c>
    </row>
    <row r="50" spans="1:8">
      <c r="A50" s="79" t="str">
        <f>LeaveData[[#This Row],[ EMP ID]]&amp;LeaveData[[#This Row],[Date]]</f>
        <v>EMP23032O45373</v>
      </c>
      <c r="B50" s="79" t="s">
        <v>109</v>
      </c>
      <c r="C50" s="79" t="s">
        <v>110</v>
      </c>
      <c r="D50" s="80">
        <v>45373</v>
      </c>
      <c r="E50" s="79" t="s">
        <v>13</v>
      </c>
      <c r="F50" s="79" t="s">
        <v>125</v>
      </c>
      <c r="G50" s="79"/>
      <c r="H50" s="79"/>
    </row>
    <row r="51" spans="1:8">
      <c r="A51" s="79" t="str">
        <f>LeaveData[[#This Row],[ EMP ID]]&amp;LeaveData[[#This Row],[Date]]</f>
        <v>20232001245373</v>
      </c>
      <c r="B51" s="88">
        <v>202320012</v>
      </c>
      <c r="C51" s="79" t="s">
        <v>55</v>
      </c>
      <c r="D51" s="80">
        <v>45373</v>
      </c>
      <c r="E51" s="79" t="s">
        <v>13</v>
      </c>
      <c r="F51" s="79" t="s">
        <v>104</v>
      </c>
      <c r="G51" s="79"/>
      <c r="H51" s="79" t="s">
        <v>133</v>
      </c>
    </row>
    <row r="52" spans="1:8">
      <c r="A52" s="79" t="str">
        <f>LeaveData[[#This Row],[ EMP ID]]&amp;LeaveData[[#This Row],[Date]]</f>
        <v>20231802745380</v>
      </c>
      <c r="B52" s="88">
        <v>202318027</v>
      </c>
      <c r="C52" s="79" t="s">
        <v>54</v>
      </c>
      <c r="D52" s="80">
        <v>45380</v>
      </c>
      <c r="E52" s="79" t="s">
        <v>13</v>
      </c>
      <c r="F52" s="79" t="s">
        <v>106</v>
      </c>
      <c r="G52" s="79"/>
      <c r="H52" s="79" t="s">
        <v>134</v>
      </c>
    </row>
    <row r="53" spans="1:8">
      <c r="A53" s="79" t="str">
        <f>LeaveData[[#This Row],[ EMP ID]]&amp;LeaveData[[#This Row],[Date]]</f>
        <v>20231802745381</v>
      </c>
      <c r="B53" s="88">
        <v>202318027</v>
      </c>
      <c r="C53" s="79" t="s">
        <v>54</v>
      </c>
      <c r="D53" s="80">
        <v>45381</v>
      </c>
      <c r="E53" s="79" t="s">
        <v>13</v>
      </c>
      <c r="F53" s="79" t="s">
        <v>106</v>
      </c>
      <c r="G53" s="79"/>
      <c r="H53" s="79" t="s">
        <v>134</v>
      </c>
    </row>
    <row r="54" spans="1:8" s="91" customFormat="1" ht="13.8">
      <c r="A54" s="79" t="str">
        <f>LeaveData[[#This Row],[ EMP ID]]&amp;LeaveData[[#This Row],[Date]]</f>
        <v>20231802545381</v>
      </c>
      <c r="B54" s="88">
        <v>202318025</v>
      </c>
      <c r="C54" s="79" t="s">
        <v>122</v>
      </c>
      <c r="D54" s="80">
        <v>45381</v>
      </c>
      <c r="E54" s="79" t="s">
        <v>13</v>
      </c>
      <c r="F54" s="79" t="s">
        <v>106</v>
      </c>
      <c r="G54" s="79"/>
      <c r="H54" s="92" t="s">
        <v>135</v>
      </c>
    </row>
    <row r="55" spans="1:8">
      <c r="A55" s="79" t="str">
        <f>LeaveData[[#This Row],[ EMP ID]]&amp;LeaveData[[#This Row],[Date]]</f>
        <v>20231802545384</v>
      </c>
      <c r="B55" s="88">
        <v>202318025</v>
      </c>
      <c r="C55" s="79" t="s">
        <v>122</v>
      </c>
      <c r="D55" s="80">
        <v>45384</v>
      </c>
      <c r="E55" s="79" t="s">
        <v>13</v>
      </c>
      <c r="F55" s="79" t="s">
        <v>106</v>
      </c>
      <c r="G55" s="79"/>
      <c r="H55" s="92" t="s">
        <v>135</v>
      </c>
    </row>
    <row r="56" spans="1:8">
      <c r="A56" s="79" t="str">
        <f>LeaveData[[#This Row],[ EMP ID]]&amp;LeaveData[[#This Row],[Date]]</f>
        <v>20182000145380</v>
      </c>
      <c r="B56" s="88">
        <v>201820001</v>
      </c>
      <c r="C56" s="79" t="s">
        <v>18</v>
      </c>
      <c r="D56" s="80">
        <v>45380</v>
      </c>
      <c r="E56" s="79" t="s">
        <v>13</v>
      </c>
      <c r="F56" s="79" t="s">
        <v>118</v>
      </c>
      <c r="G56" s="79"/>
      <c r="H56" s="79" t="s">
        <v>136</v>
      </c>
    </row>
    <row r="57" spans="1:8">
      <c r="A57" s="79" t="str">
        <f>LeaveData[[#This Row],[ EMP ID]]&amp;LeaveData[[#This Row],[Date]]</f>
        <v>EMP23027O45377</v>
      </c>
      <c r="B57" s="79" t="s">
        <v>137</v>
      </c>
      <c r="C57" s="79" t="s">
        <v>138</v>
      </c>
      <c r="D57" s="80">
        <v>45377</v>
      </c>
      <c r="E57" s="79" t="s">
        <v>13</v>
      </c>
      <c r="F57" s="79" t="s">
        <v>125</v>
      </c>
      <c r="G57" s="79"/>
      <c r="H57" s="86" t="s">
        <v>139</v>
      </c>
    </row>
    <row r="58" spans="1:8">
      <c r="A58" s="79" t="str">
        <f>LeaveData[[#This Row],[ EMP ID]]&amp;LeaveData[[#This Row],[Date]]</f>
        <v>20221800945377</v>
      </c>
      <c r="B58" s="88">
        <v>202218009</v>
      </c>
      <c r="C58" s="79" t="s">
        <v>26</v>
      </c>
      <c r="D58" s="80">
        <v>45377</v>
      </c>
      <c r="E58" s="79" t="s">
        <v>12</v>
      </c>
      <c r="F58" s="79" t="s">
        <v>128</v>
      </c>
      <c r="G58" s="79"/>
      <c r="H58" s="79" t="s">
        <v>140</v>
      </c>
    </row>
    <row r="59" spans="1:8">
      <c r="A59" s="79" t="str">
        <f>LeaveData[[#This Row],[ EMP ID]]&amp;LeaveData[[#This Row],[Date]]</f>
        <v>EMP23032O45377</v>
      </c>
      <c r="B59" s="79" t="s">
        <v>109</v>
      </c>
      <c r="C59" s="79" t="s">
        <v>110</v>
      </c>
      <c r="D59" s="80">
        <v>45377</v>
      </c>
      <c r="E59" s="79" t="s">
        <v>12</v>
      </c>
      <c r="F59" s="79" t="s">
        <v>125</v>
      </c>
      <c r="G59" s="79"/>
      <c r="H59" s="79" t="s">
        <v>140</v>
      </c>
    </row>
    <row r="60" spans="1:8">
      <c r="A60" s="79" t="str">
        <f>LeaveData[[#This Row],[ EMP ID]]&amp;LeaveData[[#This Row],[Date]]</f>
        <v>20231801745374</v>
      </c>
      <c r="B60" s="88">
        <v>202318017</v>
      </c>
      <c r="C60" s="79" t="s">
        <v>37</v>
      </c>
      <c r="D60" s="80">
        <v>45374</v>
      </c>
      <c r="E60" s="79" t="s">
        <v>13</v>
      </c>
      <c r="F60" s="79" t="s">
        <v>118</v>
      </c>
      <c r="G60" s="79"/>
      <c r="H60" s="79" t="s">
        <v>141</v>
      </c>
    </row>
    <row r="61" spans="1:8">
      <c r="A61" s="79" t="str">
        <f>LeaveData[[#This Row],[ EMP ID]]&amp;LeaveData[[#This Row],[Date]]</f>
        <v>20231801745372</v>
      </c>
      <c r="B61" s="88">
        <v>202318017</v>
      </c>
      <c r="C61" s="79" t="s">
        <v>37</v>
      </c>
      <c r="D61" s="80">
        <v>45372</v>
      </c>
      <c r="E61" s="79" t="s">
        <v>12</v>
      </c>
      <c r="F61" s="79" t="s">
        <v>118</v>
      </c>
      <c r="G61" s="79"/>
      <c r="H61" s="79" t="s">
        <v>142</v>
      </c>
    </row>
    <row r="62" spans="1:8">
      <c r="A62" s="79" t="str">
        <f>LeaveData[[#This Row],[ EMP ID]]&amp;LeaveData[[#This Row],[Date]]</f>
        <v>20232000945379</v>
      </c>
      <c r="B62" s="88">
        <v>202320009</v>
      </c>
      <c r="C62" s="79" t="s">
        <v>143</v>
      </c>
      <c r="D62" s="80">
        <v>45379</v>
      </c>
      <c r="E62" s="79" t="s">
        <v>14</v>
      </c>
      <c r="F62" s="79" t="s">
        <v>118</v>
      </c>
      <c r="G62" s="79"/>
      <c r="H62" s="86" t="s">
        <v>144</v>
      </c>
    </row>
    <row r="63" spans="1:8">
      <c r="A63" s="79" t="str">
        <f>LeaveData[[#This Row],[ EMP ID]]&amp;LeaveData[[#This Row],[Date]]</f>
        <v>20221801145365</v>
      </c>
      <c r="B63" s="88">
        <v>202218011</v>
      </c>
      <c r="C63" s="79" t="s">
        <v>28</v>
      </c>
      <c r="D63" s="80">
        <v>45365</v>
      </c>
      <c r="E63" s="79" t="s">
        <v>13</v>
      </c>
      <c r="F63" s="79" t="s">
        <v>125</v>
      </c>
      <c r="G63" s="79"/>
      <c r="H63" s="86" t="s">
        <v>145</v>
      </c>
    </row>
    <row r="64" spans="1:8">
      <c r="A64" s="79" t="str">
        <f>LeaveData[[#This Row],[ EMP ID]]&amp;LeaveData[[#This Row],[Date]]</f>
        <v>20221801145366</v>
      </c>
      <c r="B64" s="88">
        <v>202218011</v>
      </c>
      <c r="C64" s="79" t="s">
        <v>28</v>
      </c>
      <c r="D64" s="80">
        <v>45366</v>
      </c>
      <c r="E64" s="79" t="s">
        <v>16</v>
      </c>
      <c r="F64" s="79" t="s">
        <v>125</v>
      </c>
      <c r="G64" s="79"/>
      <c r="H64" s="86" t="s">
        <v>145</v>
      </c>
    </row>
    <row r="65" spans="1:8">
      <c r="A65" s="79" t="str">
        <f>LeaveData[[#This Row],[ EMP ID]]&amp;LeaveData[[#This Row],[Date]]</f>
        <v>20221801145367</v>
      </c>
      <c r="B65" s="88">
        <v>202218011</v>
      </c>
      <c r="C65" s="79" t="s">
        <v>28</v>
      </c>
      <c r="D65" s="80">
        <v>45367</v>
      </c>
      <c r="E65" s="79" t="s">
        <v>16</v>
      </c>
      <c r="F65" s="79" t="s">
        <v>125</v>
      </c>
      <c r="G65" s="79"/>
      <c r="H65" s="86" t="s">
        <v>145</v>
      </c>
    </row>
    <row r="66" spans="1:8">
      <c r="A66" s="79" t="str">
        <f>LeaveData[[#This Row],[ EMP ID]]&amp;LeaveData[[#This Row],[Date]]</f>
        <v>20221801145368</v>
      </c>
      <c r="B66" s="88">
        <v>202218011</v>
      </c>
      <c r="C66" s="79" t="s">
        <v>28</v>
      </c>
      <c r="D66" s="80">
        <v>45368</v>
      </c>
      <c r="E66" s="79" t="s">
        <v>16</v>
      </c>
      <c r="F66" s="79" t="s">
        <v>125</v>
      </c>
      <c r="G66" s="79"/>
      <c r="H66" s="86" t="s">
        <v>145</v>
      </c>
    </row>
    <row r="67" spans="1:8">
      <c r="A67" s="79" t="str">
        <f>LeaveData[[#This Row],[ EMP ID]]&amp;LeaveData[[#This Row],[Date]]</f>
        <v>20221801145369</v>
      </c>
      <c r="B67" s="88">
        <v>202218011</v>
      </c>
      <c r="C67" s="79" t="s">
        <v>28</v>
      </c>
      <c r="D67" s="80">
        <v>45369</v>
      </c>
      <c r="E67" s="79" t="s">
        <v>16</v>
      </c>
      <c r="F67" s="79" t="s">
        <v>125</v>
      </c>
      <c r="G67" s="79"/>
      <c r="H67" s="86" t="s">
        <v>145</v>
      </c>
    </row>
    <row r="68" spans="1:8">
      <c r="A68" s="79" t="str">
        <f>LeaveData[[#This Row],[ EMP ID]]&amp;LeaveData[[#This Row],[Date]]</f>
        <v>20221801145370</v>
      </c>
      <c r="B68" s="88">
        <v>202218011</v>
      </c>
      <c r="C68" s="79" t="s">
        <v>28</v>
      </c>
      <c r="D68" s="80">
        <v>45370</v>
      </c>
      <c r="E68" s="79" t="s">
        <v>16</v>
      </c>
      <c r="F68" s="79" t="s">
        <v>125</v>
      </c>
      <c r="G68" s="79"/>
      <c r="H68" s="86" t="s">
        <v>145</v>
      </c>
    </row>
    <row r="69" spans="1:8">
      <c r="A69" s="79" t="str">
        <f>LeaveData[[#This Row],[ EMP ID]]&amp;LeaveData[[#This Row],[Date]]</f>
        <v>20221801145371</v>
      </c>
      <c r="B69" s="88">
        <v>202218011</v>
      </c>
      <c r="C69" s="79" t="s">
        <v>28</v>
      </c>
      <c r="D69" s="80">
        <v>45371</v>
      </c>
      <c r="E69" s="79" t="s">
        <v>16</v>
      </c>
      <c r="F69" s="79" t="s">
        <v>125</v>
      </c>
      <c r="G69" s="79"/>
      <c r="H69" s="86" t="s">
        <v>145</v>
      </c>
    </row>
    <row r="70" spans="1:8">
      <c r="A70" s="79" t="str">
        <f>LeaveData[[#This Row],[ EMP ID]]&amp;LeaveData[[#This Row],[Date]]</f>
        <v>20221801145372</v>
      </c>
      <c r="B70" s="88">
        <v>202218011</v>
      </c>
      <c r="C70" s="79" t="s">
        <v>28</v>
      </c>
      <c r="D70" s="80">
        <v>45372</v>
      </c>
      <c r="E70" s="79" t="s">
        <v>16</v>
      </c>
      <c r="F70" s="79" t="s">
        <v>125</v>
      </c>
      <c r="G70" s="79"/>
      <c r="H70" s="86" t="s">
        <v>145</v>
      </c>
    </row>
    <row r="71" spans="1:8">
      <c r="A71" s="79" t="str">
        <f>LeaveData[[#This Row],[ EMP ID]]&amp;LeaveData[[#This Row],[Date]]</f>
        <v>20221801145373</v>
      </c>
      <c r="B71" s="88">
        <v>202218011</v>
      </c>
      <c r="C71" s="79" t="s">
        <v>28</v>
      </c>
      <c r="D71" s="80">
        <v>45373</v>
      </c>
      <c r="E71" s="79" t="s">
        <v>16</v>
      </c>
      <c r="F71" s="79" t="s">
        <v>125</v>
      </c>
      <c r="G71" s="79"/>
      <c r="H71" s="86" t="s">
        <v>145</v>
      </c>
    </row>
    <row r="72" spans="1:8">
      <c r="A72" s="79" t="str">
        <f>LeaveData[[#This Row],[ EMP ID]]&amp;LeaveData[[#This Row],[Date]]</f>
        <v>20221801145374</v>
      </c>
      <c r="B72" s="88">
        <v>202218011</v>
      </c>
      <c r="C72" s="79" t="s">
        <v>28</v>
      </c>
      <c r="D72" s="80">
        <v>45374</v>
      </c>
      <c r="E72" s="79" t="s">
        <v>16</v>
      </c>
      <c r="F72" s="79" t="s">
        <v>125</v>
      </c>
      <c r="G72" s="79"/>
      <c r="H72" s="86" t="s">
        <v>145</v>
      </c>
    </row>
    <row r="73" spans="1:8">
      <c r="A73" s="79" t="str">
        <f>LeaveData[[#This Row],[ EMP ID]]&amp;LeaveData[[#This Row],[Date]]</f>
        <v>20221801145377</v>
      </c>
      <c r="B73" s="88">
        <v>202218011</v>
      </c>
      <c r="C73" s="79" t="s">
        <v>28</v>
      </c>
      <c r="D73" s="80">
        <v>45377</v>
      </c>
      <c r="E73" s="79" t="s">
        <v>16</v>
      </c>
      <c r="F73" s="79" t="s">
        <v>125</v>
      </c>
      <c r="G73" s="79"/>
      <c r="H73" s="86" t="s">
        <v>145</v>
      </c>
    </row>
    <row r="74" spans="1:8">
      <c r="A74" s="79" t="str">
        <f>LeaveData[[#This Row],[ EMP ID]]&amp;LeaveData[[#This Row],[Date]]</f>
        <v>20221801145378</v>
      </c>
      <c r="B74" s="88">
        <v>202218011</v>
      </c>
      <c r="C74" s="79" t="s">
        <v>28</v>
      </c>
      <c r="D74" s="80">
        <v>45378</v>
      </c>
      <c r="E74" s="79" t="s">
        <v>16</v>
      </c>
      <c r="F74" s="79" t="s">
        <v>125</v>
      </c>
      <c r="G74" s="79"/>
      <c r="H74" s="86" t="s">
        <v>145</v>
      </c>
    </row>
    <row r="75" spans="1:8">
      <c r="A75" s="79" t="str">
        <f>LeaveData[[#This Row],[ EMP ID]]&amp;LeaveData[[#This Row],[Date]]</f>
        <v>20221801145379</v>
      </c>
      <c r="B75" s="88">
        <v>202218011</v>
      </c>
      <c r="C75" s="79" t="s">
        <v>28</v>
      </c>
      <c r="D75" s="80">
        <v>45379</v>
      </c>
      <c r="E75" s="79" t="s">
        <v>16</v>
      </c>
      <c r="F75" s="79" t="s">
        <v>125</v>
      </c>
      <c r="G75" s="79"/>
      <c r="H75" s="86" t="s">
        <v>145</v>
      </c>
    </row>
    <row r="76" spans="1:8">
      <c r="A76" s="79" t="str">
        <f>LeaveData[[#This Row],[ EMP ID]]&amp;LeaveData[[#This Row],[Date]]</f>
        <v>20231802245388</v>
      </c>
      <c r="B76" s="88">
        <v>202318022</v>
      </c>
      <c r="C76" s="79" t="s">
        <v>45</v>
      </c>
      <c r="D76" s="80">
        <v>45388</v>
      </c>
      <c r="E76" s="79" t="s">
        <v>13</v>
      </c>
      <c r="F76" s="79" t="s">
        <v>106</v>
      </c>
      <c r="G76" s="79"/>
      <c r="H76" s="86" t="s">
        <v>146</v>
      </c>
    </row>
    <row r="77" spans="1:8">
      <c r="A77" s="79" t="str">
        <f>LeaveData[[#This Row],[ EMP ID]]&amp;LeaveData[[#This Row],[Date]]</f>
        <v>20211800845383</v>
      </c>
      <c r="B77" s="88">
        <v>202118008</v>
      </c>
      <c r="C77" s="79" t="s">
        <v>25</v>
      </c>
      <c r="D77" s="80">
        <v>45383</v>
      </c>
      <c r="E77" s="79" t="s">
        <v>16</v>
      </c>
      <c r="F77" s="79" t="s">
        <v>128</v>
      </c>
      <c r="G77" s="79"/>
      <c r="H77" s="92" t="s">
        <v>147</v>
      </c>
    </row>
    <row r="78" spans="1:8">
      <c r="A78" s="79" t="str">
        <f>LeaveData[[#This Row],[ EMP ID]]&amp;LeaveData[[#This Row],[Date]]</f>
        <v>20211800845384</v>
      </c>
      <c r="B78" s="88">
        <v>202118008</v>
      </c>
      <c r="C78" s="79" t="s">
        <v>25</v>
      </c>
      <c r="D78" s="80">
        <v>45384</v>
      </c>
      <c r="E78" s="79" t="s">
        <v>16</v>
      </c>
      <c r="F78" s="79" t="s">
        <v>128</v>
      </c>
      <c r="G78" s="79"/>
      <c r="H78" s="92" t="s">
        <v>147</v>
      </c>
    </row>
    <row r="79" spans="1:8">
      <c r="A79" s="79" t="str">
        <f>LeaveData[[#This Row],[ EMP ID]]&amp;LeaveData[[#This Row],[Date]]</f>
        <v>20231802345380</v>
      </c>
      <c r="B79" s="88">
        <v>202318023</v>
      </c>
      <c r="C79" s="79" t="s">
        <v>148</v>
      </c>
      <c r="D79" s="80">
        <v>45380</v>
      </c>
      <c r="E79" s="79" t="s">
        <v>12</v>
      </c>
      <c r="F79" s="79" t="s">
        <v>125</v>
      </c>
      <c r="G79" s="79"/>
      <c r="H79" s="79" t="s">
        <v>119</v>
      </c>
    </row>
    <row r="80" spans="1:8">
      <c r="A80" s="79" t="str">
        <f>LeaveData[[#This Row],[ EMP ID]]&amp;LeaveData[[#This Row],[Date]]</f>
        <v>EMP23026O45398</v>
      </c>
      <c r="B80" s="79" t="s">
        <v>120</v>
      </c>
      <c r="C80" s="79" t="s">
        <v>121</v>
      </c>
      <c r="D80" s="80">
        <v>45398</v>
      </c>
      <c r="E80" s="79" t="s">
        <v>130</v>
      </c>
      <c r="F80" s="79" t="s">
        <v>104</v>
      </c>
      <c r="G80" s="79"/>
      <c r="H80" s="79" t="s">
        <v>131</v>
      </c>
    </row>
    <row r="81" spans="1:8">
      <c r="A81" s="79" t="str">
        <f>LeaveData[[#This Row],[ EMP ID]]&amp;LeaveData[[#This Row],[Date]]</f>
        <v>EMP23026O45399</v>
      </c>
      <c r="B81" s="79" t="s">
        <v>120</v>
      </c>
      <c r="C81" s="79" t="s">
        <v>121</v>
      </c>
      <c r="D81" s="80">
        <v>45399</v>
      </c>
      <c r="E81" s="79" t="s">
        <v>130</v>
      </c>
      <c r="F81" s="79" t="s">
        <v>104</v>
      </c>
      <c r="G81" s="79"/>
      <c r="H81" s="79" t="s">
        <v>131</v>
      </c>
    </row>
    <row r="82" spans="1:8">
      <c r="A82" s="79" t="str">
        <f>LeaveData[[#This Row],[ EMP ID]]&amp;LeaveData[[#This Row],[Date]]</f>
        <v>EMP23026O45400</v>
      </c>
      <c r="B82" s="79" t="s">
        <v>120</v>
      </c>
      <c r="C82" s="79" t="s">
        <v>121</v>
      </c>
      <c r="D82" s="80">
        <v>45400</v>
      </c>
      <c r="E82" s="79" t="s">
        <v>130</v>
      </c>
      <c r="F82" s="79" t="s">
        <v>104</v>
      </c>
      <c r="G82" s="79"/>
      <c r="H82" s="79" t="s">
        <v>131</v>
      </c>
    </row>
    <row r="83" spans="1:8">
      <c r="A83" s="79" t="str">
        <f>LeaveData[[#This Row],[ EMP ID]]&amp;LeaveData[[#This Row],[Date]]</f>
        <v>EMP23026O45401</v>
      </c>
      <c r="B83" s="79" t="s">
        <v>120</v>
      </c>
      <c r="C83" s="79" t="s">
        <v>121</v>
      </c>
      <c r="D83" s="80">
        <v>45401</v>
      </c>
      <c r="E83" s="79" t="s">
        <v>130</v>
      </c>
      <c r="F83" s="79" t="s">
        <v>104</v>
      </c>
      <c r="G83" s="79"/>
      <c r="H83" s="79" t="s">
        <v>131</v>
      </c>
    </row>
    <row r="84" spans="1:8">
      <c r="A84" s="79" t="str">
        <f>LeaveData[[#This Row],[ EMP ID]]&amp;LeaveData[[#This Row],[Date]]</f>
        <v>EMP23026O45402</v>
      </c>
      <c r="B84" s="79" t="s">
        <v>120</v>
      </c>
      <c r="C84" s="79" t="s">
        <v>121</v>
      </c>
      <c r="D84" s="80">
        <v>45402</v>
      </c>
      <c r="E84" s="79" t="s">
        <v>130</v>
      </c>
      <c r="F84" s="79" t="s">
        <v>104</v>
      </c>
      <c r="G84" s="79"/>
      <c r="H84" s="79" t="s">
        <v>131</v>
      </c>
    </row>
    <row r="85" spans="1:8">
      <c r="A85" s="79" t="str">
        <f>LeaveData[[#This Row],[ EMP ID]]&amp;LeaveData[[#This Row],[Date]]</f>
        <v>EMP23026O45403</v>
      </c>
      <c r="B85" s="79" t="s">
        <v>120</v>
      </c>
      <c r="C85" s="79" t="s">
        <v>121</v>
      </c>
      <c r="D85" s="80">
        <v>45403</v>
      </c>
      <c r="E85" s="79" t="s">
        <v>130</v>
      </c>
      <c r="F85" s="79" t="s">
        <v>104</v>
      </c>
      <c r="G85" s="79"/>
      <c r="H85" s="79" t="s">
        <v>131</v>
      </c>
    </row>
    <row r="86" spans="1:8">
      <c r="A86" s="79" t="str">
        <f>LeaveData[[#This Row],[ EMP ID]]&amp;LeaveData[[#This Row],[Date]]</f>
        <v>EMP23026O45404</v>
      </c>
      <c r="B86" s="79" t="s">
        <v>120</v>
      </c>
      <c r="C86" s="79" t="s">
        <v>121</v>
      </c>
      <c r="D86" s="80">
        <v>45404</v>
      </c>
      <c r="E86" s="79" t="s">
        <v>130</v>
      </c>
      <c r="F86" s="79" t="s">
        <v>104</v>
      </c>
      <c r="G86" s="79"/>
      <c r="H86" s="79" t="s">
        <v>131</v>
      </c>
    </row>
    <row r="87" spans="1:8">
      <c r="A87" s="79" t="str">
        <f>LeaveData[[#This Row],[ EMP ID]]&amp;LeaveData[[#This Row],[Date]]</f>
        <v>EMP23026O45405</v>
      </c>
      <c r="B87" s="79" t="s">
        <v>120</v>
      </c>
      <c r="C87" s="79" t="s">
        <v>121</v>
      </c>
      <c r="D87" s="80">
        <v>45405</v>
      </c>
      <c r="E87" s="79" t="s">
        <v>130</v>
      </c>
      <c r="F87" s="79" t="s">
        <v>104</v>
      </c>
      <c r="G87" s="79"/>
      <c r="H87" s="79" t="s">
        <v>131</v>
      </c>
    </row>
    <row r="88" spans="1:8">
      <c r="A88" s="79" t="str">
        <f>LeaveData[[#This Row],[ EMP ID]]&amp;LeaveData[[#This Row],[Date]]</f>
        <v>20232001245388</v>
      </c>
      <c r="B88" s="88">
        <v>202320012</v>
      </c>
      <c r="C88" s="79" t="s">
        <v>55</v>
      </c>
      <c r="D88" s="80">
        <v>45388</v>
      </c>
      <c r="E88" s="79" t="s">
        <v>13</v>
      </c>
      <c r="F88" s="79" t="s">
        <v>104</v>
      </c>
      <c r="G88" s="79"/>
      <c r="H88" s="86" t="s">
        <v>133</v>
      </c>
    </row>
    <row r="89" spans="1:8">
      <c r="A89" s="79" t="str">
        <f>LeaveData[[#This Row],[ EMP ID]]&amp;LeaveData[[#This Row],[Date]]</f>
        <v>20231802445400</v>
      </c>
      <c r="B89" s="88">
        <v>202318024</v>
      </c>
      <c r="C89" s="79" t="s">
        <v>51</v>
      </c>
      <c r="D89" s="80">
        <v>45400</v>
      </c>
      <c r="E89" s="79" t="s">
        <v>13</v>
      </c>
      <c r="F89" s="86" t="s">
        <v>114</v>
      </c>
      <c r="G89" s="79"/>
      <c r="H89" s="86" t="s">
        <v>149</v>
      </c>
    </row>
    <row r="90" spans="1:8">
      <c r="A90" s="79" t="str">
        <f>LeaveData[[#This Row],[ EMP ID]]&amp;LeaveData[[#This Row],[Date]]</f>
        <v>20231802445401</v>
      </c>
      <c r="B90" s="88">
        <v>202318024</v>
      </c>
      <c r="C90" s="79" t="s">
        <v>51</v>
      </c>
      <c r="D90" s="80">
        <v>45401</v>
      </c>
      <c r="E90" s="79" t="s">
        <v>13</v>
      </c>
      <c r="F90" s="86" t="s">
        <v>114</v>
      </c>
      <c r="G90" s="79"/>
      <c r="H90" s="86" t="s">
        <v>149</v>
      </c>
    </row>
    <row r="91" spans="1:8">
      <c r="A91" s="79" t="str">
        <f>LeaveData[[#This Row],[ EMP ID]]&amp;LeaveData[[#This Row],[Date]]</f>
        <v>20231802445402</v>
      </c>
      <c r="B91" s="88">
        <v>202318024</v>
      </c>
      <c r="C91" s="79" t="s">
        <v>51</v>
      </c>
      <c r="D91" s="80">
        <v>45402</v>
      </c>
      <c r="E91" s="79" t="s">
        <v>13</v>
      </c>
      <c r="F91" s="86" t="s">
        <v>114</v>
      </c>
      <c r="G91" s="79"/>
      <c r="H91" s="86" t="s">
        <v>149</v>
      </c>
    </row>
    <row r="92" spans="1:8">
      <c r="A92" s="79" t="str">
        <f>LeaveData[[#This Row],[ EMP ID]]&amp;LeaveData[[#This Row],[Date]]</f>
        <v>20231802445404</v>
      </c>
      <c r="B92" s="88">
        <v>202318024</v>
      </c>
      <c r="C92" s="79" t="s">
        <v>51</v>
      </c>
      <c r="D92" s="80">
        <v>45404</v>
      </c>
      <c r="E92" s="79" t="s">
        <v>13</v>
      </c>
      <c r="F92" s="86" t="s">
        <v>114</v>
      </c>
      <c r="G92" s="79"/>
      <c r="H92" s="86" t="s">
        <v>149</v>
      </c>
    </row>
    <row r="93" spans="1:8">
      <c r="A93" s="79" t="str">
        <f>LeaveData[[#This Row],[ EMP ID]]&amp;LeaveData[[#This Row],[Date]]</f>
        <v>20231802445405</v>
      </c>
      <c r="B93" s="88">
        <v>202318024</v>
      </c>
      <c r="C93" s="79" t="s">
        <v>51</v>
      </c>
      <c r="D93" s="80">
        <v>45405</v>
      </c>
      <c r="E93" s="79" t="s">
        <v>13</v>
      </c>
      <c r="F93" s="86" t="s">
        <v>114</v>
      </c>
      <c r="G93" s="79"/>
      <c r="H93" s="86" t="s">
        <v>149</v>
      </c>
    </row>
    <row r="94" spans="1:8">
      <c r="A94" s="79" t="str">
        <f>LeaveData[[#This Row],[ EMP ID]]&amp;LeaveData[[#This Row],[Date]]</f>
        <v>20231801645393</v>
      </c>
      <c r="B94" s="88">
        <v>202318016</v>
      </c>
      <c r="C94" s="79" t="s">
        <v>36</v>
      </c>
      <c r="D94" s="80">
        <v>45393</v>
      </c>
      <c r="E94" s="79" t="s">
        <v>13</v>
      </c>
      <c r="F94" s="86" t="s">
        <v>114</v>
      </c>
      <c r="G94" s="79"/>
      <c r="H94" s="79" t="s">
        <v>150</v>
      </c>
    </row>
    <row r="95" spans="1:8">
      <c r="A95" s="79" t="str">
        <f>LeaveData[[#This Row],[ EMP ID]]&amp;LeaveData[[#This Row],[Date]]</f>
        <v>20231802445393</v>
      </c>
      <c r="B95" s="88">
        <v>202318024</v>
      </c>
      <c r="C95" s="79" t="s">
        <v>51</v>
      </c>
      <c r="D95" s="80">
        <v>45393</v>
      </c>
      <c r="E95" s="79" t="s">
        <v>14</v>
      </c>
      <c r="F95" s="86" t="s">
        <v>114</v>
      </c>
      <c r="G95" s="79"/>
      <c r="H95" s="90" t="s">
        <v>151</v>
      </c>
    </row>
    <row r="96" spans="1:8">
      <c r="A96" s="79" t="str">
        <f>LeaveData[[#This Row],[ EMP ID]]&amp;LeaveData[[#This Row],[Date]]</f>
        <v>20211800745405</v>
      </c>
      <c r="B96" s="88">
        <v>202118007</v>
      </c>
      <c r="C96" s="86" t="s">
        <v>103</v>
      </c>
      <c r="D96" s="80">
        <v>45405</v>
      </c>
      <c r="E96" s="79" t="s">
        <v>13</v>
      </c>
      <c r="F96" s="79" t="s">
        <v>104</v>
      </c>
      <c r="G96" s="79"/>
      <c r="H96" s="90" t="s">
        <v>152</v>
      </c>
    </row>
    <row r="97" spans="1:8">
      <c r="A97" s="79" t="str">
        <f>LeaveData[[#This Row],[ EMP ID]]&amp;LeaveData[[#This Row],[Date]]</f>
        <v>20232000345398</v>
      </c>
      <c r="B97" s="88">
        <v>202320003</v>
      </c>
      <c r="C97" s="79" t="s">
        <v>33</v>
      </c>
      <c r="D97" s="80">
        <v>45398</v>
      </c>
      <c r="E97" s="79" t="s">
        <v>14</v>
      </c>
      <c r="F97" s="79" t="s">
        <v>104</v>
      </c>
      <c r="G97" s="79"/>
      <c r="H97" s="86" t="s">
        <v>153</v>
      </c>
    </row>
    <row r="98" spans="1:8">
      <c r="A98" s="79" t="str">
        <f>LeaveData[[#This Row],[ EMP ID]]&amp;LeaveData[[#This Row],[Date]]</f>
        <v>20232001045397</v>
      </c>
      <c r="B98" s="88">
        <v>202320010</v>
      </c>
      <c r="C98" s="79" t="s">
        <v>49</v>
      </c>
      <c r="D98" s="80">
        <v>45397</v>
      </c>
      <c r="E98" s="79" t="s">
        <v>130</v>
      </c>
      <c r="F98" s="86" t="s">
        <v>114</v>
      </c>
      <c r="G98" s="79"/>
      <c r="H98" s="79" t="s">
        <v>131</v>
      </c>
    </row>
    <row r="99" spans="1:8">
      <c r="A99" s="79" t="str">
        <f>LeaveData[[#This Row],[ EMP ID]]&amp;LeaveData[[#This Row],[Date]]</f>
        <v>20232001045398</v>
      </c>
      <c r="B99" s="88">
        <v>202320010</v>
      </c>
      <c r="C99" s="79" t="s">
        <v>49</v>
      </c>
      <c r="D99" s="80">
        <v>45398</v>
      </c>
      <c r="E99" s="79" t="s">
        <v>130</v>
      </c>
      <c r="F99" s="86" t="s">
        <v>114</v>
      </c>
      <c r="G99" s="79"/>
      <c r="H99" s="79" t="s">
        <v>131</v>
      </c>
    </row>
    <row r="100" spans="1:8">
      <c r="A100" s="79" t="str">
        <f>LeaveData[[#This Row],[ EMP ID]]&amp;LeaveData[[#This Row],[Date]]</f>
        <v>20232001045399</v>
      </c>
      <c r="B100" s="88">
        <v>202320010</v>
      </c>
      <c r="C100" s="79" t="s">
        <v>49</v>
      </c>
      <c r="D100" s="80">
        <v>45399</v>
      </c>
      <c r="E100" s="79" t="s">
        <v>130</v>
      </c>
      <c r="F100" s="86" t="s">
        <v>114</v>
      </c>
      <c r="G100" s="79"/>
      <c r="H100" s="79" t="s">
        <v>131</v>
      </c>
    </row>
    <row r="101" spans="1:8">
      <c r="A101" s="79" t="str">
        <f>LeaveData[[#This Row],[ EMP ID]]&amp;LeaveData[[#This Row],[Date]]</f>
        <v>20232001045400</v>
      </c>
      <c r="B101" s="88">
        <v>202320010</v>
      </c>
      <c r="C101" s="79" t="s">
        <v>49</v>
      </c>
      <c r="D101" s="80">
        <v>45400</v>
      </c>
      <c r="E101" s="79" t="s">
        <v>130</v>
      </c>
      <c r="F101" s="86" t="s">
        <v>114</v>
      </c>
      <c r="G101" s="79"/>
      <c r="H101" s="79" t="s">
        <v>131</v>
      </c>
    </row>
    <row r="102" spans="1:8">
      <c r="A102" s="79" t="str">
        <f>LeaveData[[#This Row],[ EMP ID]]&amp;LeaveData[[#This Row],[Date]]</f>
        <v>20232001045401</v>
      </c>
      <c r="B102" s="88">
        <v>202320010</v>
      </c>
      <c r="C102" s="79" t="s">
        <v>49</v>
      </c>
      <c r="D102" s="80">
        <v>45401</v>
      </c>
      <c r="E102" s="79" t="s">
        <v>130</v>
      </c>
      <c r="F102" s="86" t="s">
        <v>114</v>
      </c>
      <c r="G102" s="79"/>
      <c r="H102" s="79" t="s">
        <v>131</v>
      </c>
    </row>
    <row r="103" spans="1:8">
      <c r="A103" s="79" t="str">
        <f>LeaveData[[#This Row],[ EMP ID]]&amp;LeaveData[[#This Row],[Date]]</f>
        <v>20232001045402</v>
      </c>
      <c r="B103" s="88">
        <v>202320010</v>
      </c>
      <c r="C103" s="79" t="s">
        <v>49</v>
      </c>
      <c r="D103" s="80">
        <v>45402</v>
      </c>
      <c r="E103" s="79" t="s">
        <v>130</v>
      </c>
      <c r="F103" s="86" t="s">
        <v>114</v>
      </c>
      <c r="G103" s="79"/>
      <c r="H103" s="79" t="s">
        <v>131</v>
      </c>
    </row>
    <row r="104" spans="1:8">
      <c r="A104" s="79" t="str">
        <f>LeaveData[[#This Row],[ EMP ID]]&amp;LeaveData[[#This Row],[Date]]</f>
        <v>20232001045404</v>
      </c>
      <c r="B104" s="88">
        <v>202320010</v>
      </c>
      <c r="C104" s="79" t="s">
        <v>49</v>
      </c>
      <c r="D104" s="80">
        <v>45404</v>
      </c>
      <c r="E104" s="79" t="s">
        <v>130</v>
      </c>
      <c r="F104" s="86" t="s">
        <v>114</v>
      </c>
      <c r="G104" s="79"/>
      <c r="H104" s="79" t="s">
        <v>131</v>
      </c>
    </row>
    <row r="105" spans="1:8">
      <c r="A105" s="79" t="str">
        <f>LeaveData[[#This Row],[ EMP ID]]&amp;LeaveData[[#This Row],[Date]]</f>
        <v>20232001045405</v>
      </c>
      <c r="B105" s="88">
        <v>202320010</v>
      </c>
      <c r="C105" s="79" t="s">
        <v>49</v>
      </c>
      <c r="D105" s="80">
        <v>45405</v>
      </c>
      <c r="E105" s="79" t="s">
        <v>130</v>
      </c>
      <c r="F105" s="86" t="s">
        <v>114</v>
      </c>
      <c r="G105" s="79"/>
      <c r="H105" s="79" t="s">
        <v>131</v>
      </c>
    </row>
    <row r="106" spans="1:8">
      <c r="A106" s="79" t="str">
        <f>LeaveData[[#This Row],[ EMP ID]]&amp;LeaveData[[#This Row],[Date]]</f>
        <v>20232000545395</v>
      </c>
      <c r="B106" s="88">
        <v>202320005</v>
      </c>
      <c r="C106" s="79" t="s">
        <v>38</v>
      </c>
      <c r="D106" s="80">
        <v>45395</v>
      </c>
      <c r="E106" s="79" t="s">
        <v>154</v>
      </c>
      <c r="F106" s="86" t="s">
        <v>114</v>
      </c>
      <c r="G106" s="79"/>
      <c r="H106" s="79" t="s">
        <v>155</v>
      </c>
    </row>
    <row r="107" spans="1:8">
      <c r="A107" s="79" t="str">
        <f>LeaveData[[#This Row],[ EMP ID]]&amp;LeaveData[[#This Row],[Date]]</f>
        <v>20232000545402</v>
      </c>
      <c r="B107" s="88">
        <v>202320005</v>
      </c>
      <c r="C107" s="79" t="s">
        <v>38</v>
      </c>
      <c r="D107" s="80">
        <v>45402</v>
      </c>
      <c r="E107" s="79" t="s">
        <v>13</v>
      </c>
      <c r="F107" s="86" t="s">
        <v>114</v>
      </c>
      <c r="G107" s="79"/>
      <c r="H107" s="86" t="s">
        <v>156</v>
      </c>
    </row>
    <row r="108" spans="1:8">
      <c r="A108" s="79" t="str">
        <f>LeaveData[[#This Row],[ EMP ID]]&amp;LeaveData[[#This Row],[Date]]</f>
        <v>20232000645399</v>
      </c>
      <c r="B108" s="88">
        <v>202320006</v>
      </c>
      <c r="C108" s="79" t="s">
        <v>39</v>
      </c>
      <c r="D108" s="80">
        <v>45399</v>
      </c>
      <c r="E108" s="79" t="s">
        <v>13</v>
      </c>
      <c r="F108" s="79" t="s">
        <v>104</v>
      </c>
      <c r="G108" s="79"/>
      <c r="H108" s="79" t="s">
        <v>157</v>
      </c>
    </row>
    <row r="109" spans="1:8">
      <c r="A109" s="79" t="str">
        <f>LeaveData[[#This Row],[ EMP ID]]&amp;LeaveData[[#This Row],[Date]]</f>
        <v>20232001145399</v>
      </c>
      <c r="B109" s="88">
        <v>202320011</v>
      </c>
      <c r="C109" s="79" t="s">
        <v>52</v>
      </c>
      <c r="D109" s="80">
        <v>45399</v>
      </c>
      <c r="E109" s="79" t="s">
        <v>16</v>
      </c>
      <c r="F109" s="86" t="s">
        <v>114</v>
      </c>
      <c r="G109" s="79"/>
      <c r="H109" s="79" t="s">
        <v>158</v>
      </c>
    </row>
    <row r="110" spans="1:8">
      <c r="A110" s="79" t="str">
        <f>LeaveData[[#This Row],[ EMP ID]]&amp;LeaveData[[#This Row],[Date]]</f>
        <v>20231802245401</v>
      </c>
      <c r="B110" s="88">
        <v>202318022</v>
      </c>
      <c r="C110" s="79" t="s">
        <v>45</v>
      </c>
      <c r="D110" s="80">
        <v>45401</v>
      </c>
      <c r="E110" s="79" t="s">
        <v>13</v>
      </c>
      <c r="F110" s="79" t="s">
        <v>106</v>
      </c>
      <c r="G110" s="79"/>
      <c r="H110" s="86" t="s">
        <v>159</v>
      </c>
    </row>
    <row r="111" spans="1:8">
      <c r="A111" s="79" t="str">
        <f>LeaveData[[#This Row],[ EMP ID]]&amp;LeaveData[[#This Row],[Date]]</f>
        <v>20231802945401</v>
      </c>
      <c r="B111" s="88">
        <v>202318029</v>
      </c>
      <c r="C111" s="79" t="s">
        <v>59</v>
      </c>
      <c r="D111" s="80">
        <v>45401</v>
      </c>
      <c r="E111" s="79" t="s">
        <v>15</v>
      </c>
      <c r="F111" s="86" t="s">
        <v>114</v>
      </c>
      <c r="G111" s="79"/>
      <c r="H111" s="79" t="s">
        <v>140</v>
      </c>
    </row>
    <row r="112" spans="1:8">
      <c r="A112" s="79" t="str">
        <f>LeaveData[[#This Row],[ EMP ID]]&amp;LeaveData[[#This Row],[Date]]</f>
        <v>20222000245401</v>
      </c>
      <c r="B112" s="88">
        <v>202220002</v>
      </c>
      <c r="C112" s="79" t="s">
        <v>31</v>
      </c>
      <c r="D112" s="80">
        <v>45401</v>
      </c>
      <c r="E112" s="79" t="s">
        <v>13</v>
      </c>
      <c r="F112" s="79" t="s">
        <v>104</v>
      </c>
      <c r="G112" s="79"/>
      <c r="H112" s="79" t="s">
        <v>160</v>
      </c>
    </row>
    <row r="113" spans="1:8">
      <c r="A113" s="79" t="str">
        <f>LeaveData[[#This Row],[ EMP ID]]&amp;LeaveData[[#This Row],[Date]]</f>
        <v>20232000945405</v>
      </c>
      <c r="B113" s="88">
        <v>202320009</v>
      </c>
      <c r="C113" s="79" t="s">
        <v>143</v>
      </c>
      <c r="D113" s="80">
        <v>45405</v>
      </c>
      <c r="E113" s="79" t="s">
        <v>13</v>
      </c>
      <c r="F113" s="79" t="s">
        <v>118</v>
      </c>
      <c r="G113" s="79"/>
      <c r="H113" s="79" t="s">
        <v>161</v>
      </c>
    </row>
    <row r="114" spans="1:8">
      <c r="A114" s="79" t="str">
        <f>LeaveData[[#This Row],[ EMP ID]]&amp;LeaveData[[#This Row],[Date]]</f>
        <v>20232000645401</v>
      </c>
      <c r="B114" s="88">
        <v>202320006</v>
      </c>
      <c r="C114" s="79" t="s">
        <v>39</v>
      </c>
      <c r="D114" s="80">
        <v>45401</v>
      </c>
      <c r="E114" s="79" t="s">
        <v>12</v>
      </c>
      <c r="F114" s="79" t="s">
        <v>104</v>
      </c>
      <c r="G114" s="79"/>
      <c r="H114" s="79" t="s">
        <v>119</v>
      </c>
    </row>
    <row r="115" spans="1:8">
      <c r="A115" s="79" t="str">
        <f>LeaveData[[#This Row],[ EMP ID]]&amp;LeaveData[[#This Row],[Date]]</f>
        <v>20231801845408</v>
      </c>
      <c r="B115" s="88">
        <v>202318018</v>
      </c>
      <c r="C115" s="79" t="s">
        <v>40</v>
      </c>
      <c r="D115" s="80">
        <v>45408</v>
      </c>
      <c r="E115" s="79" t="s">
        <v>13</v>
      </c>
      <c r="F115" s="79" t="s">
        <v>106</v>
      </c>
      <c r="G115" s="79"/>
      <c r="H115" s="79" t="s">
        <v>162</v>
      </c>
    </row>
    <row r="116" spans="1:8">
      <c r="A116" s="79" t="str">
        <f>LeaveData[[#This Row],[ EMP ID]]&amp;LeaveData[[#This Row],[Date]]</f>
        <v>20231801845409</v>
      </c>
      <c r="B116" s="88">
        <v>202318018</v>
      </c>
      <c r="C116" s="79" t="s">
        <v>40</v>
      </c>
      <c r="D116" s="80">
        <v>45409</v>
      </c>
      <c r="E116" s="79" t="s">
        <v>13</v>
      </c>
      <c r="F116" s="79" t="s">
        <v>106</v>
      </c>
      <c r="G116" s="79"/>
      <c r="H116" s="79" t="s">
        <v>163</v>
      </c>
    </row>
    <row r="117" spans="1:8">
      <c r="A117" s="79" t="str">
        <f>LeaveData[[#This Row],[ EMP ID]]&amp;LeaveData[[#This Row],[Date]]</f>
        <v>20211800745404</v>
      </c>
      <c r="B117" s="88">
        <v>202118007</v>
      </c>
      <c r="C117" s="86" t="s">
        <v>103</v>
      </c>
      <c r="D117" s="80">
        <v>45404</v>
      </c>
      <c r="E117" s="79" t="s">
        <v>12</v>
      </c>
      <c r="F117" s="79" t="s">
        <v>104</v>
      </c>
      <c r="G117" s="79"/>
      <c r="H117" s="79" t="s">
        <v>140</v>
      </c>
    </row>
    <row r="118" spans="1:8">
      <c r="A118" s="79" t="str">
        <f>LeaveData[[#This Row],[ EMP ID]]&amp;LeaveData[[#This Row],[Date]]</f>
        <v>20171800145407</v>
      </c>
      <c r="B118" s="88">
        <v>201718001</v>
      </c>
      <c r="C118" s="79" t="s">
        <v>17</v>
      </c>
      <c r="D118" s="80">
        <v>45407</v>
      </c>
      <c r="E118" s="79" t="s">
        <v>13</v>
      </c>
      <c r="F118" s="79" t="s">
        <v>106</v>
      </c>
      <c r="G118" s="79"/>
      <c r="H118" s="79" t="s">
        <v>164</v>
      </c>
    </row>
    <row r="119" spans="1:8">
      <c r="A119" s="79" t="str">
        <f>LeaveData[[#This Row],[ EMP ID]]&amp;LeaveData[[#This Row],[Date]]</f>
        <v>20171800145408</v>
      </c>
      <c r="B119" s="88">
        <v>201718001</v>
      </c>
      <c r="C119" s="79" t="s">
        <v>17</v>
      </c>
      <c r="D119" s="80">
        <v>45408</v>
      </c>
      <c r="E119" s="79" t="s">
        <v>13</v>
      </c>
      <c r="F119" s="79" t="s">
        <v>106</v>
      </c>
      <c r="G119" s="79"/>
      <c r="H119" s="79" t="s">
        <v>165</v>
      </c>
    </row>
    <row r="120" spans="1:8">
      <c r="A120" s="79" t="str">
        <f>LeaveData[[#This Row],[ EMP ID]]&amp;LeaveData[[#This Row],[Date]]</f>
        <v>20171800145409</v>
      </c>
      <c r="B120" s="88">
        <v>201718001</v>
      </c>
      <c r="C120" s="79" t="s">
        <v>17</v>
      </c>
      <c r="D120" s="80">
        <v>45409</v>
      </c>
      <c r="E120" s="79" t="s">
        <v>13</v>
      </c>
      <c r="F120" s="79" t="s">
        <v>106</v>
      </c>
      <c r="G120" s="79"/>
      <c r="H120" s="79" t="s">
        <v>165</v>
      </c>
    </row>
    <row r="121" spans="1:8">
      <c r="A121" s="79" t="str">
        <f>LeaveData[[#This Row],[ EMP ID]]&amp;LeaveData[[#This Row],[Date]]</f>
        <v>20231802545414</v>
      </c>
      <c r="B121" s="88">
        <v>202318025</v>
      </c>
      <c r="C121" s="79" t="s">
        <v>122</v>
      </c>
      <c r="D121" s="80">
        <v>45414</v>
      </c>
      <c r="E121" s="79" t="s">
        <v>13</v>
      </c>
      <c r="F121" s="79" t="s">
        <v>106</v>
      </c>
      <c r="G121" s="79"/>
      <c r="H121" s="79" t="s">
        <v>105</v>
      </c>
    </row>
    <row r="122" spans="1:8">
      <c r="A122" s="79" t="str">
        <f>LeaveData[[#This Row],[ EMP ID]]&amp;LeaveData[[#This Row],[Date]]</f>
        <v>20231802545415</v>
      </c>
      <c r="B122" s="88">
        <v>202318025</v>
      </c>
      <c r="C122" s="79" t="s">
        <v>122</v>
      </c>
      <c r="D122" s="80">
        <v>45415</v>
      </c>
      <c r="E122" s="79" t="s">
        <v>13</v>
      </c>
      <c r="F122" s="79" t="s">
        <v>106</v>
      </c>
      <c r="G122" s="79"/>
      <c r="H122" s="79" t="s">
        <v>105</v>
      </c>
    </row>
    <row r="123" spans="1:8">
      <c r="A123" s="79" t="str">
        <f>LeaveData[[#This Row],[ EMP ID]]&amp;LeaveData[[#This Row],[Date]]</f>
        <v>20231802545416</v>
      </c>
      <c r="B123" s="88">
        <v>202318025</v>
      </c>
      <c r="C123" s="79" t="s">
        <v>122</v>
      </c>
      <c r="D123" s="80">
        <v>45416</v>
      </c>
      <c r="E123" s="79" t="s">
        <v>13</v>
      </c>
      <c r="F123" s="79" t="s">
        <v>106</v>
      </c>
      <c r="G123" s="79"/>
      <c r="H123" s="79" t="s">
        <v>105</v>
      </c>
    </row>
    <row r="124" spans="1:8">
      <c r="A124" s="79" t="str">
        <f>LeaveData[[#This Row],[ EMP ID]]&amp;LeaveData[[#This Row],[Date]]</f>
        <v>20231802445406</v>
      </c>
      <c r="B124" s="88">
        <v>202318024</v>
      </c>
      <c r="C124" s="79" t="s">
        <v>51</v>
      </c>
      <c r="D124" s="80">
        <v>45406</v>
      </c>
      <c r="E124" s="79" t="s">
        <v>13</v>
      </c>
      <c r="F124" s="86" t="s">
        <v>114</v>
      </c>
      <c r="G124" s="79"/>
      <c r="H124" s="79" t="s">
        <v>166</v>
      </c>
    </row>
    <row r="125" spans="1:8">
      <c r="A125" s="79" t="str">
        <f>LeaveData[[#This Row],[ EMP ID]]&amp;LeaveData[[#This Row],[Date]]</f>
        <v>20232001245408</v>
      </c>
      <c r="B125" s="88">
        <v>202320012</v>
      </c>
      <c r="C125" s="79" t="s">
        <v>55</v>
      </c>
      <c r="D125" s="80">
        <v>45408</v>
      </c>
      <c r="E125" s="79" t="s">
        <v>13</v>
      </c>
      <c r="F125" s="79" t="s">
        <v>104</v>
      </c>
      <c r="G125" s="79"/>
      <c r="H125" s="79" t="s">
        <v>167</v>
      </c>
    </row>
    <row r="126" spans="1:8">
      <c r="A126" s="79" t="str">
        <f>LeaveData[[#This Row],[ EMP ID]]&amp;LeaveData[[#This Row],[Date]]</f>
        <v>20232001245409</v>
      </c>
      <c r="B126" s="88">
        <v>202320012</v>
      </c>
      <c r="C126" s="79" t="s">
        <v>55</v>
      </c>
      <c r="D126" s="80">
        <v>45409</v>
      </c>
      <c r="E126" s="79" t="s">
        <v>13</v>
      </c>
      <c r="F126" s="79" t="s">
        <v>104</v>
      </c>
      <c r="G126" s="79"/>
      <c r="H126" s="79" t="s">
        <v>167</v>
      </c>
    </row>
    <row r="127" spans="1:8">
      <c r="A127" s="79" t="str">
        <f>LeaveData[[#This Row],[ EMP ID]]&amp;LeaveData[[#This Row],[Date]]</f>
        <v>20231801945407</v>
      </c>
      <c r="B127" s="88">
        <v>202318019</v>
      </c>
      <c r="C127" s="79" t="s">
        <v>89</v>
      </c>
      <c r="D127" s="80">
        <v>45407</v>
      </c>
      <c r="E127" s="79" t="s">
        <v>12</v>
      </c>
      <c r="F127" s="79" t="s">
        <v>104</v>
      </c>
      <c r="G127" s="79"/>
      <c r="H127" s="79" t="s">
        <v>119</v>
      </c>
    </row>
    <row r="128" spans="1:8">
      <c r="A128" s="79" t="str">
        <f>LeaveData[[#This Row],[ EMP ID]]&amp;LeaveData[[#This Row],[Date]]</f>
        <v>20231801645408</v>
      </c>
      <c r="B128" s="88">
        <v>202318016</v>
      </c>
      <c r="C128" s="79" t="s">
        <v>36</v>
      </c>
      <c r="D128" s="80">
        <v>45408</v>
      </c>
      <c r="E128" s="79" t="s">
        <v>13</v>
      </c>
      <c r="F128" s="86" t="s">
        <v>114</v>
      </c>
      <c r="G128" s="79"/>
      <c r="H128" s="79" t="s">
        <v>156</v>
      </c>
    </row>
    <row r="129" spans="1:8">
      <c r="A129" s="79" t="str">
        <f>LeaveData[[#This Row],[ EMP ID]]&amp;LeaveData[[#This Row],[Date]]</f>
        <v>20231802845411</v>
      </c>
      <c r="B129" s="88">
        <v>202318028</v>
      </c>
      <c r="C129" s="79" t="s">
        <v>57</v>
      </c>
      <c r="D129" s="80">
        <v>45411</v>
      </c>
      <c r="E129" s="79" t="s">
        <v>13</v>
      </c>
      <c r="F129" s="79" t="s">
        <v>106</v>
      </c>
      <c r="G129" s="79"/>
      <c r="H129" s="79" t="s">
        <v>168</v>
      </c>
    </row>
    <row r="130" spans="1:8">
      <c r="A130" s="79" t="str">
        <f>LeaveData[[#This Row],[ EMP ID]]&amp;LeaveData[[#This Row],[Date]]</f>
        <v>20231802945409</v>
      </c>
      <c r="B130" s="88">
        <v>202318029</v>
      </c>
      <c r="C130" s="79" t="s">
        <v>59</v>
      </c>
      <c r="D130" s="80">
        <v>45409</v>
      </c>
      <c r="E130" s="79" t="s">
        <v>13</v>
      </c>
      <c r="F130" s="86" t="s">
        <v>114</v>
      </c>
      <c r="G130" s="79"/>
      <c r="H130" s="79" t="s">
        <v>105</v>
      </c>
    </row>
    <row r="131" spans="1:8">
      <c r="A131" s="79" t="str">
        <f>LeaveData[[#This Row],[ EMP ID]]&amp;LeaveData[[#This Row],[Date]]</f>
        <v>EMP23026O45409</v>
      </c>
      <c r="B131" s="79" t="s">
        <v>120</v>
      </c>
      <c r="C131" s="79" t="s">
        <v>121</v>
      </c>
      <c r="D131" s="80">
        <v>45409</v>
      </c>
      <c r="E131" s="79" t="s">
        <v>14</v>
      </c>
      <c r="F131" s="79" t="s">
        <v>104</v>
      </c>
      <c r="G131" s="79"/>
      <c r="H131" s="79" t="s">
        <v>169</v>
      </c>
    </row>
    <row r="132" spans="1:8">
      <c r="A132" s="79" t="str">
        <f>LeaveData[[#This Row],[ EMP ID]]&amp;LeaveData[[#This Row],[Date]]</f>
        <v>20201800645418</v>
      </c>
      <c r="B132" s="88">
        <v>202018006</v>
      </c>
      <c r="C132" s="79" t="s">
        <v>23</v>
      </c>
      <c r="D132" s="80">
        <v>45418</v>
      </c>
      <c r="E132" s="79" t="s">
        <v>13</v>
      </c>
      <c r="F132" s="79" t="s">
        <v>104</v>
      </c>
      <c r="G132" s="79"/>
      <c r="H132" s="79" t="s">
        <v>134</v>
      </c>
    </row>
    <row r="133" spans="1:8">
      <c r="A133" s="79" t="str">
        <f>LeaveData[[#This Row],[ EMP ID]]&amp;LeaveData[[#This Row],[Date]]</f>
        <v>20201800645420</v>
      </c>
      <c r="B133" s="88">
        <v>202018006</v>
      </c>
      <c r="C133" s="79" t="s">
        <v>23</v>
      </c>
      <c r="D133" s="80">
        <v>45420</v>
      </c>
      <c r="E133" s="79" t="s">
        <v>13</v>
      </c>
      <c r="F133" s="79" t="s">
        <v>104</v>
      </c>
      <c r="G133" s="79"/>
      <c r="H133" s="79" t="s">
        <v>134</v>
      </c>
    </row>
    <row r="134" spans="1:8">
      <c r="A134" s="79" t="str">
        <f>LeaveData[[#This Row],[ EMP ID]]&amp;LeaveData[[#This Row],[Date]]</f>
        <v>20201800645421</v>
      </c>
      <c r="B134" s="88">
        <v>202018006</v>
      </c>
      <c r="C134" s="79" t="s">
        <v>23</v>
      </c>
      <c r="D134" s="80">
        <v>45421</v>
      </c>
      <c r="E134" s="79" t="s">
        <v>13</v>
      </c>
      <c r="F134" s="79" t="s">
        <v>104</v>
      </c>
      <c r="G134" s="79"/>
      <c r="H134" s="79" t="s">
        <v>134</v>
      </c>
    </row>
    <row r="135" spans="1:8">
      <c r="A135" s="79" t="str">
        <f>LeaveData[[#This Row],[ EMP ID]]&amp;LeaveData[[#This Row],[Date]]</f>
        <v>20201800645422</v>
      </c>
      <c r="B135" s="88">
        <v>202018006</v>
      </c>
      <c r="C135" s="79" t="s">
        <v>23</v>
      </c>
      <c r="D135" s="80">
        <v>45422</v>
      </c>
      <c r="E135" s="79" t="s">
        <v>13</v>
      </c>
      <c r="F135" s="79" t="s">
        <v>104</v>
      </c>
      <c r="G135" s="79"/>
      <c r="H135" s="79" t="s">
        <v>134</v>
      </c>
    </row>
    <row r="136" spans="1:8">
      <c r="A136" s="79" t="str">
        <f>LeaveData[[#This Row],[ EMP ID]]&amp;LeaveData[[#This Row],[Date]]</f>
        <v>20201800645423</v>
      </c>
      <c r="B136" s="88">
        <v>202018006</v>
      </c>
      <c r="C136" s="79" t="s">
        <v>23</v>
      </c>
      <c r="D136" s="80">
        <v>45423</v>
      </c>
      <c r="E136" s="79" t="s">
        <v>13</v>
      </c>
      <c r="F136" s="79" t="s">
        <v>104</v>
      </c>
      <c r="G136" s="79"/>
      <c r="H136" s="79" t="s">
        <v>134</v>
      </c>
    </row>
    <row r="137" spans="1:8">
      <c r="A137" s="79" t="str">
        <f>LeaveData[[#This Row],[ EMP ID]]&amp;LeaveData[[#This Row],[Date]]</f>
        <v>20231802645423</v>
      </c>
      <c r="B137" s="88">
        <v>202318026</v>
      </c>
      <c r="C137" s="79" t="s">
        <v>53</v>
      </c>
      <c r="D137" s="80">
        <v>45423</v>
      </c>
      <c r="E137" s="79" t="s">
        <v>154</v>
      </c>
      <c r="F137" s="79" t="s">
        <v>45</v>
      </c>
      <c r="G137" s="79"/>
      <c r="H137" s="79" t="s">
        <v>155</v>
      </c>
    </row>
    <row r="138" spans="1:8">
      <c r="A138" s="79" t="str">
        <f>LeaveData[[#This Row],[ EMP ID]]&amp;LeaveData[[#This Row],[Date]]</f>
        <v>20231802345440</v>
      </c>
      <c r="B138" s="88">
        <v>202318023</v>
      </c>
      <c r="C138" s="79" t="s">
        <v>148</v>
      </c>
      <c r="D138" s="80">
        <v>45440</v>
      </c>
      <c r="E138" s="79" t="s">
        <v>13</v>
      </c>
      <c r="F138" s="79" t="s">
        <v>106</v>
      </c>
      <c r="G138" s="79"/>
      <c r="H138" s="79" t="s">
        <v>171</v>
      </c>
    </row>
    <row r="139" spans="1:8">
      <c r="A139" s="79" t="str">
        <f>LeaveData[[#This Row],[ EMP ID]]&amp;LeaveData[[#This Row],[Date]]</f>
        <v>20231802345441</v>
      </c>
      <c r="B139" s="88">
        <v>202318023</v>
      </c>
      <c r="C139" s="79" t="s">
        <v>148</v>
      </c>
      <c r="D139" s="80">
        <v>45441</v>
      </c>
      <c r="E139" s="79" t="s">
        <v>13</v>
      </c>
      <c r="F139" s="79" t="s">
        <v>106</v>
      </c>
      <c r="G139" s="79"/>
      <c r="H139" s="79" t="s">
        <v>171</v>
      </c>
    </row>
    <row r="140" spans="1:8">
      <c r="A140" s="79" t="str">
        <f>LeaveData[[#This Row],[ EMP ID]]&amp;LeaveData[[#This Row],[Date]]</f>
        <v>20231802345442</v>
      </c>
      <c r="B140" s="88">
        <v>202318023</v>
      </c>
      <c r="C140" s="79" t="s">
        <v>148</v>
      </c>
      <c r="D140" s="80">
        <v>45442</v>
      </c>
      <c r="E140" s="79" t="s">
        <v>13</v>
      </c>
      <c r="F140" s="79" t="s">
        <v>106</v>
      </c>
      <c r="G140" s="79"/>
      <c r="H140" s="79" t="s">
        <v>171</v>
      </c>
    </row>
    <row r="141" spans="1:8">
      <c r="A141" s="79" t="str">
        <f>LeaveData[[#This Row],[ EMP ID]]&amp;LeaveData[[#This Row],[Date]]</f>
        <v>20231802345443</v>
      </c>
      <c r="B141" s="88">
        <v>202318023</v>
      </c>
      <c r="C141" s="79" t="s">
        <v>148</v>
      </c>
      <c r="D141" s="80">
        <v>45443</v>
      </c>
      <c r="E141" s="79" t="s">
        <v>13</v>
      </c>
      <c r="F141" s="79" t="s">
        <v>106</v>
      </c>
      <c r="G141" s="79"/>
      <c r="H141" s="79" t="s">
        <v>171</v>
      </c>
    </row>
    <row r="142" spans="1:8">
      <c r="A142" s="79" t="str">
        <f>LeaveData[[#This Row],[ EMP ID]]&amp;LeaveData[[#This Row],[Date]]</f>
        <v>20231802345444</v>
      </c>
      <c r="B142" s="88">
        <v>202318023</v>
      </c>
      <c r="C142" s="79" t="s">
        <v>148</v>
      </c>
      <c r="D142" s="80">
        <v>45444</v>
      </c>
      <c r="E142" s="79" t="s">
        <v>13</v>
      </c>
      <c r="F142" s="79" t="s">
        <v>106</v>
      </c>
      <c r="G142" s="79"/>
      <c r="H142" s="79" t="s">
        <v>171</v>
      </c>
    </row>
    <row r="143" spans="1:8">
      <c r="A143" s="79" t="str">
        <f>LeaveData[[#This Row],[ EMP ID]]&amp;LeaveData[[#This Row],[Date]]</f>
        <v>20231802345446</v>
      </c>
      <c r="B143" s="88">
        <v>202318023</v>
      </c>
      <c r="C143" s="79" t="s">
        <v>148</v>
      </c>
      <c r="D143" s="80">
        <v>45446</v>
      </c>
      <c r="E143" s="79" t="s">
        <v>13</v>
      </c>
      <c r="F143" s="79" t="s">
        <v>106</v>
      </c>
      <c r="G143" s="79"/>
      <c r="H143" s="79" t="s">
        <v>171</v>
      </c>
    </row>
    <row r="144" spans="1:8">
      <c r="A144" s="79" t="str">
        <f>LeaveData[[#This Row],[ EMP ID]]&amp;LeaveData[[#This Row],[Date]]</f>
        <v>20231802345447</v>
      </c>
      <c r="B144" s="88">
        <v>202318023</v>
      </c>
      <c r="C144" s="79" t="s">
        <v>148</v>
      </c>
      <c r="D144" s="80">
        <v>45447</v>
      </c>
      <c r="E144" s="79" t="s">
        <v>13</v>
      </c>
      <c r="F144" s="79" t="s">
        <v>106</v>
      </c>
      <c r="G144" s="79"/>
      <c r="H144" s="79" t="s">
        <v>171</v>
      </c>
    </row>
    <row r="145" spans="1:8">
      <c r="A145" s="79" t="str">
        <f>LeaveData[[#This Row],[ EMP ID]]&amp;LeaveData[[#This Row],[Date]]</f>
        <v>20231802345448</v>
      </c>
      <c r="B145" s="88">
        <v>202318023</v>
      </c>
      <c r="C145" s="79" t="s">
        <v>148</v>
      </c>
      <c r="D145" s="80">
        <v>45448</v>
      </c>
      <c r="E145" s="79" t="s">
        <v>13</v>
      </c>
      <c r="F145" s="79" t="s">
        <v>106</v>
      </c>
      <c r="G145" s="79"/>
      <c r="H145" s="79" t="s">
        <v>171</v>
      </c>
    </row>
    <row r="146" spans="1:8">
      <c r="A146" s="79" t="str">
        <f>LeaveData[[#This Row],[ EMP ID]]&amp;LeaveData[[#This Row],[Date]]</f>
        <v>20231802345449</v>
      </c>
      <c r="B146" s="88">
        <v>202318023</v>
      </c>
      <c r="C146" s="79" t="s">
        <v>148</v>
      </c>
      <c r="D146" s="80">
        <v>45449</v>
      </c>
      <c r="E146" s="79" t="s">
        <v>13</v>
      </c>
      <c r="F146" s="79" t="s">
        <v>106</v>
      </c>
      <c r="G146" s="79"/>
      <c r="H146" s="79" t="s">
        <v>171</v>
      </c>
    </row>
    <row r="147" spans="1:8">
      <c r="A147" s="79" t="str">
        <f>LeaveData[[#This Row],[ EMP ID]]&amp;LeaveData[[#This Row],[Date]]</f>
        <v>20232001045412</v>
      </c>
      <c r="B147" s="88">
        <v>202320010</v>
      </c>
      <c r="C147" s="79" t="s">
        <v>49</v>
      </c>
      <c r="D147" s="80">
        <v>45412</v>
      </c>
      <c r="E147" s="79" t="s">
        <v>13</v>
      </c>
      <c r="F147" s="86" t="s">
        <v>114</v>
      </c>
      <c r="G147" s="79"/>
      <c r="H147" s="79" t="s">
        <v>156</v>
      </c>
    </row>
    <row r="148" spans="1:8">
      <c r="A148" s="79" t="str">
        <f>LeaveData[[#This Row],[ EMP ID]]&amp;LeaveData[[#This Row],[Date]]</f>
        <v>20221801145416</v>
      </c>
      <c r="B148" s="88">
        <v>202218011</v>
      </c>
      <c r="C148" s="79" t="s">
        <v>28</v>
      </c>
      <c r="D148" s="80">
        <v>45416</v>
      </c>
      <c r="E148" s="79" t="s">
        <v>14</v>
      </c>
      <c r="F148" s="79" t="s">
        <v>27</v>
      </c>
      <c r="G148" s="79"/>
      <c r="H148" s="79" t="s">
        <v>172</v>
      </c>
    </row>
    <row r="149" spans="1:8">
      <c r="A149" s="79" t="str">
        <f>LeaveData[[#This Row],[ EMP ID]]&amp;LeaveData[[#This Row],[Date]]</f>
        <v>20221801145419</v>
      </c>
      <c r="B149" s="88">
        <v>202218011</v>
      </c>
      <c r="C149" s="79" t="s">
        <v>28</v>
      </c>
      <c r="D149" s="80">
        <v>45419</v>
      </c>
      <c r="E149" s="79" t="s">
        <v>14</v>
      </c>
      <c r="F149" s="79" t="s">
        <v>27</v>
      </c>
      <c r="G149" s="79"/>
      <c r="H149" s="79" t="s">
        <v>173</v>
      </c>
    </row>
    <row r="150" spans="1:8">
      <c r="A150" s="79" t="str">
        <f>LeaveData[[#This Row],[ EMP ID]]&amp;LeaveData[[#This Row],[Date]]</f>
        <v>20221800945436</v>
      </c>
      <c r="B150" s="88">
        <v>202218009</v>
      </c>
      <c r="C150" s="79" t="s">
        <v>26</v>
      </c>
      <c r="D150" s="80">
        <v>45436</v>
      </c>
      <c r="E150" s="79" t="s">
        <v>13</v>
      </c>
      <c r="F150" s="79" t="s">
        <v>128</v>
      </c>
      <c r="G150" s="79"/>
      <c r="H150" s="79" t="s">
        <v>168</v>
      </c>
    </row>
    <row r="151" spans="1:8">
      <c r="A151" s="79" t="str">
        <f>LeaveData[[#This Row],[ EMP ID]]&amp;LeaveData[[#This Row],[Date]]</f>
        <v>20182000145421</v>
      </c>
      <c r="B151" s="88">
        <v>201820001</v>
      </c>
      <c r="C151" s="79" t="s">
        <v>18</v>
      </c>
      <c r="D151" s="80">
        <v>45421</v>
      </c>
      <c r="E151" s="79" t="s">
        <v>13</v>
      </c>
      <c r="F151" s="79" t="s">
        <v>118</v>
      </c>
      <c r="G151" s="79"/>
      <c r="H151" s="79" t="s">
        <v>174</v>
      </c>
    </row>
    <row r="152" spans="1:8">
      <c r="A152" s="79" t="str">
        <f>LeaveData[[#This Row],[ EMP ID]]&amp;LeaveData[[#This Row],[Date]]</f>
        <v>20231802745418</v>
      </c>
      <c r="B152" s="88">
        <v>202318027</v>
      </c>
      <c r="C152" s="79" t="s">
        <v>54</v>
      </c>
      <c r="D152" s="80">
        <v>45418</v>
      </c>
      <c r="E152" s="79" t="s">
        <v>13</v>
      </c>
      <c r="F152" s="79" t="s">
        <v>106</v>
      </c>
      <c r="G152" s="79"/>
      <c r="H152" s="79" t="s">
        <v>175</v>
      </c>
    </row>
    <row r="153" spans="1:8">
      <c r="A153" s="79" t="str">
        <f>LeaveData[[#This Row],[ EMP ID]]&amp;LeaveData[[#This Row],[Date]]</f>
        <v>20221801145421</v>
      </c>
      <c r="B153" s="88">
        <v>202218011</v>
      </c>
      <c r="C153" s="79" t="s">
        <v>28</v>
      </c>
      <c r="D153" s="80">
        <v>45421</v>
      </c>
      <c r="E153" s="79" t="s">
        <v>13</v>
      </c>
      <c r="F153" s="79" t="s">
        <v>27</v>
      </c>
      <c r="G153" s="79"/>
      <c r="H153" s="79" t="s">
        <v>169</v>
      </c>
    </row>
    <row r="154" spans="1:8">
      <c r="A154" s="79" t="str">
        <f>LeaveData[[#This Row],[ EMP ID]]&amp;LeaveData[[#This Row],[Date]]</f>
        <v>OldLeft145416</v>
      </c>
      <c r="B154" s="79" t="s">
        <v>176</v>
      </c>
      <c r="C154" s="79" t="s">
        <v>177</v>
      </c>
      <c r="D154" s="80">
        <v>45416</v>
      </c>
      <c r="E154" s="79" t="s">
        <v>12</v>
      </c>
      <c r="F154" s="79" t="s">
        <v>118</v>
      </c>
      <c r="G154" s="79"/>
      <c r="H154" s="79" t="s">
        <v>5</v>
      </c>
    </row>
    <row r="155" spans="1:8">
      <c r="A155" s="79" t="str">
        <f>LeaveData[[#This Row],[ EMP ID]]&amp;LeaveData[[#This Row],[Date]]</f>
        <v>20231801645419</v>
      </c>
      <c r="B155" s="88">
        <v>202318016</v>
      </c>
      <c r="C155" s="79" t="s">
        <v>36</v>
      </c>
      <c r="D155" s="80">
        <v>45419</v>
      </c>
      <c r="E155" s="79" t="s">
        <v>12</v>
      </c>
      <c r="F155" s="86" t="s">
        <v>114</v>
      </c>
      <c r="G155" s="79"/>
      <c r="H155" s="79" t="s">
        <v>5</v>
      </c>
    </row>
    <row r="156" spans="1:8">
      <c r="A156" s="79" t="str">
        <f>LeaveData[[#This Row],[ EMP ID]]&amp;LeaveData[[#This Row],[Date]]</f>
        <v>20231801745419</v>
      </c>
      <c r="B156" s="88">
        <v>202318017</v>
      </c>
      <c r="C156" s="79" t="s">
        <v>37</v>
      </c>
      <c r="D156" s="80">
        <v>45419</v>
      </c>
      <c r="E156" s="79" t="s">
        <v>14</v>
      </c>
      <c r="F156" s="79" t="s">
        <v>118</v>
      </c>
      <c r="G156" s="79"/>
      <c r="H156" s="79" t="s">
        <v>178</v>
      </c>
    </row>
    <row r="157" spans="1:8">
      <c r="A157" s="79" t="str">
        <f>LeaveData[[#This Row],[ EMP ID]]&amp;LeaveData[[#This Row],[Date]]</f>
        <v>20231801745420</v>
      </c>
      <c r="B157" s="88">
        <v>202318017</v>
      </c>
      <c r="C157" s="79" t="s">
        <v>37</v>
      </c>
      <c r="D157" s="80">
        <v>45420</v>
      </c>
      <c r="E157" s="79" t="s">
        <v>14</v>
      </c>
      <c r="F157" s="79" t="s">
        <v>118</v>
      </c>
      <c r="G157" s="79"/>
      <c r="H157" s="79" t="s">
        <v>178</v>
      </c>
    </row>
    <row r="158" spans="1:8">
      <c r="A158" s="79" t="str">
        <f>LeaveData[[#This Row],[ EMP ID]]&amp;LeaveData[[#This Row],[Date]]</f>
        <v>20231801745421</v>
      </c>
      <c r="B158" s="88">
        <v>202318017</v>
      </c>
      <c r="C158" s="79" t="s">
        <v>37</v>
      </c>
      <c r="D158" s="80">
        <v>45421</v>
      </c>
      <c r="E158" s="79" t="s">
        <v>14</v>
      </c>
      <c r="F158" s="79" t="s">
        <v>118</v>
      </c>
      <c r="G158" s="79"/>
      <c r="H158" s="79" t="s">
        <v>178</v>
      </c>
    </row>
    <row r="159" spans="1:8">
      <c r="A159" s="79" t="str">
        <f>LeaveData[[#This Row],[ EMP ID]]&amp;LeaveData[[#This Row],[Date]]</f>
        <v>20232000345421</v>
      </c>
      <c r="B159" s="88">
        <v>202320003</v>
      </c>
      <c r="C159" s="79" t="s">
        <v>33</v>
      </c>
      <c r="D159" s="80">
        <v>45421</v>
      </c>
      <c r="E159" s="79" t="s">
        <v>14</v>
      </c>
      <c r="F159" s="79" t="s">
        <v>104</v>
      </c>
      <c r="G159" s="79"/>
      <c r="H159" s="79" t="s">
        <v>179</v>
      </c>
    </row>
    <row r="160" spans="1:8">
      <c r="A160" s="79" t="str">
        <f>LeaveData[[#This Row],[ EMP ID]]&amp;LeaveData[[#This Row],[Date]]</f>
        <v>20171800145429</v>
      </c>
      <c r="B160" s="88">
        <v>201718001</v>
      </c>
      <c r="C160" s="79" t="s">
        <v>17</v>
      </c>
      <c r="D160" s="80">
        <v>45429</v>
      </c>
      <c r="E160" s="79" t="s">
        <v>13</v>
      </c>
      <c r="F160" s="79" t="s">
        <v>106</v>
      </c>
      <c r="G160" s="79"/>
      <c r="H160" s="79" t="s">
        <v>180</v>
      </c>
    </row>
    <row r="161" spans="1:8">
      <c r="A161" s="79" t="str">
        <f>LeaveData[[#This Row],[ EMP ID]]&amp;LeaveData[[#This Row],[Date]]</f>
        <v>20171800145430</v>
      </c>
      <c r="B161" s="88">
        <v>201718001</v>
      </c>
      <c r="C161" s="79" t="s">
        <v>17</v>
      </c>
      <c r="D161" s="80">
        <v>45430</v>
      </c>
      <c r="E161" s="79" t="s">
        <v>13</v>
      </c>
      <c r="F161" s="79" t="s">
        <v>106</v>
      </c>
      <c r="G161" s="79"/>
      <c r="H161" s="79" t="s">
        <v>181</v>
      </c>
    </row>
    <row r="162" spans="1:8">
      <c r="A162" s="79" t="str">
        <f>LeaveData[[#This Row],[ EMP ID]]&amp;LeaveData[[#This Row],[Date]]</f>
        <v>20232000945425</v>
      </c>
      <c r="B162" s="88">
        <v>202320009</v>
      </c>
      <c r="C162" s="79" t="s">
        <v>143</v>
      </c>
      <c r="D162" s="80">
        <v>45425</v>
      </c>
      <c r="E162" s="79" t="s">
        <v>13</v>
      </c>
      <c r="F162" s="79" t="s">
        <v>118</v>
      </c>
      <c r="G162" s="79"/>
      <c r="H162" s="79" t="s">
        <v>116</v>
      </c>
    </row>
    <row r="163" spans="1:8">
      <c r="A163" s="79" t="str">
        <f>LeaveData[[#This Row],[ EMP ID]]&amp;LeaveData[[#This Row],[Date]]</f>
        <v>20232000945435</v>
      </c>
      <c r="B163" s="88">
        <v>202320009</v>
      </c>
      <c r="C163" s="79" t="s">
        <v>143</v>
      </c>
      <c r="D163" s="80">
        <v>45435</v>
      </c>
      <c r="E163" s="79" t="s">
        <v>13</v>
      </c>
      <c r="F163" s="79" t="s">
        <v>118</v>
      </c>
      <c r="G163" s="79"/>
      <c r="H163" s="79" t="s">
        <v>182</v>
      </c>
    </row>
    <row r="164" spans="1:8">
      <c r="A164" s="79" t="str">
        <f>LeaveData[[#This Row],[ EMP ID]]&amp;LeaveData[[#This Row],[Date]]</f>
        <v>20232000745430</v>
      </c>
      <c r="B164" s="88">
        <v>202320007</v>
      </c>
      <c r="C164" s="79" t="s">
        <v>183</v>
      </c>
      <c r="D164" s="80">
        <v>45430</v>
      </c>
      <c r="E164" s="79" t="s">
        <v>13</v>
      </c>
      <c r="F164" s="79" t="s">
        <v>104</v>
      </c>
      <c r="G164" s="79"/>
      <c r="H164" s="79" t="s">
        <v>105</v>
      </c>
    </row>
    <row r="165" spans="1:8">
      <c r="A165" s="79" t="str">
        <f>LeaveData[[#This Row],[ EMP ID]]&amp;LeaveData[[#This Row],[Date]]</f>
        <v>20231802145430</v>
      </c>
      <c r="B165" s="88">
        <v>202318021</v>
      </c>
      <c r="C165" s="79" t="s">
        <v>91</v>
      </c>
      <c r="D165" s="80">
        <v>45430</v>
      </c>
      <c r="E165" s="79" t="s">
        <v>184</v>
      </c>
      <c r="F165" s="79" t="s">
        <v>106</v>
      </c>
      <c r="G165" s="79"/>
      <c r="H165" s="79" t="s">
        <v>185</v>
      </c>
    </row>
    <row r="166" spans="1:8">
      <c r="A166" s="79" t="str">
        <f>LeaveData[[#This Row],[ EMP ID]]&amp;LeaveData[[#This Row],[Date]]</f>
        <v>20231802145432</v>
      </c>
      <c r="B166" s="88">
        <v>202318021</v>
      </c>
      <c r="C166" s="79" t="s">
        <v>91</v>
      </c>
      <c r="D166" s="80">
        <v>45432</v>
      </c>
      <c r="E166" s="79" t="s">
        <v>184</v>
      </c>
      <c r="F166" s="79" t="s">
        <v>106</v>
      </c>
      <c r="G166" s="79"/>
      <c r="H166" s="79" t="s">
        <v>185</v>
      </c>
    </row>
    <row r="167" spans="1:8">
      <c r="A167" s="79" t="str">
        <f>LeaveData[[#This Row],[ EMP ID]]&amp;LeaveData[[#This Row],[Date]]</f>
        <v>20231802145433</v>
      </c>
      <c r="B167" s="88">
        <v>202318021</v>
      </c>
      <c r="C167" s="79" t="s">
        <v>91</v>
      </c>
      <c r="D167" s="80">
        <v>45433</v>
      </c>
      <c r="E167" s="79" t="s">
        <v>184</v>
      </c>
      <c r="F167" s="79" t="s">
        <v>106</v>
      </c>
      <c r="G167" s="79"/>
      <c r="H167" s="79" t="s">
        <v>185</v>
      </c>
    </row>
    <row r="168" spans="1:8">
      <c r="A168" s="79" t="str">
        <f>LeaveData[[#This Row],[ EMP ID]]&amp;LeaveData[[#This Row],[Date]]</f>
        <v>20231802145434</v>
      </c>
      <c r="B168" s="88">
        <v>202318021</v>
      </c>
      <c r="C168" s="79" t="s">
        <v>91</v>
      </c>
      <c r="D168" s="80">
        <v>45434</v>
      </c>
      <c r="E168" s="79" t="s">
        <v>184</v>
      </c>
      <c r="F168" s="79" t="s">
        <v>106</v>
      </c>
      <c r="G168" s="79"/>
      <c r="H168" s="79" t="s">
        <v>185</v>
      </c>
    </row>
    <row r="169" spans="1:8">
      <c r="A169" s="79" t="str">
        <f>LeaveData[[#This Row],[ EMP ID]]&amp;LeaveData[[#This Row],[Date]]</f>
        <v>20231802145435</v>
      </c>
      <c r="B169" s="88">
        <v>202318021</v>
      </c>
      <c r="C169" s="79" t="s">
        <v>91</v>
      </c>
      <c r="D169" s="80">
        <v>45435</v>
      </c>
      <c r="E169" s="79" t="s">
        <v>184</v>
      </c>
      <c r="F169" s="79" t="s">
        <v>106</v>
      </c>
      <c r="G169" s="79"/>
      <c r="H169" s="79" t="s">
        <v>185</v>
      </c>
    </row>
    <row r="170" spans="1:8">
      <c r="A170" s="79" t="str">
        <f>LeaveData[[#This Row],[ EMP ID]]&amp;LeaveData[[#This Row],[Date]]</f>
        <v>20231802145436</v>
      </c>
      <c r="B170" s="88">
        <v>202318021</v>
      </c>
      <c r="C170" s="79" t="s">
        <v>91</v>
      </c>
      <c r="D170" s="80">
        <v>45436</v>
      </c>
      <c r="E170" s="79" t="s">
        <v>184</v>
      </c>
      <c r="F170" s="79" t="s">
        <v>106</v>
      </c>
      <c r="G170" s="79"/>
      <c r="H170" s="79" t="s">
        <v>185</v>
      </c>
    </row>
    <row r="171" spans="1:8">
      <c r="A171" s="79" t="str">
        <f>LeaveData[[#This Row],[ EMP ID]]&amp;LeaveData[[#This Row],[Date]]</f>
        <v>20231802145437</v>
      </c>
      <c r="B171" s="88">
        <v>202318021</v>
      </c>
      <c r="C171" s="79" t="s">
        <v>91</v>
      </c>
      <c r="D171" s="80">
        <v>45437</v>
      </c>
      <c r="E171" s="79" t="s">
        <v>184</v>
      </c>
      <c r="F171" s="79" t="s">
        <v>106</v>
      </c>
      <c r="G171" s="79"/>
      <c r="H171" s="79" t="s">
        <v>185</v>
      </c>
    </row>
    <row r="172" spans="1:8">
      <c r="A172" s="79" t="str">
        <f>LeaveData[[#This Row],[ EMP ID]]&amp;LeaveData[[#This Row],[Date]]</f>
        <v>20231802145439</v>
      </c>
      <c r="B172" s="88">
        <v>202318021</v>
      </c>
      <c r="C172" s="79" t="s">
        <v>91</v>
      </c>
      <c r="D172" s="80">
        <v>45439</v>
      </c>
      <c r="E172" s="79" t="s">
        <v>184</v>
      </c>
      <c r="F172" s="79" t="s">
        <v>106</v>
      </c>
      <c r="G172" s="79"/>
      <c r="H172" s="79" t="s">
        <v>185</v>
      </c>
    </row>
    <row r="173" spans="1:8">
      <c r="A173" s="79" t="str">
        <f>LeaveData[[#This Row],[ EMP ID]]&amp;LeaveData[[#This Row],[Date]]</f>
        <v>20231802245430</v>
      </c>
      <c r="B173" s="88">
        <v>202318022</v>
      </c>
      <c r="C173" s="79" t="s">
        <v>45</v>
      </c>
      <c r="D173" s="80">
        <v>45430</v>
      </c>
      <c r="E173" s="79" t="s">
        <v>14</v>
      </c>
      <c r="F173" s="79" t="s">
        <v>106</v>
      </c>
      <c r="G173" s="79"/>
      <c r="H173" s="79" t="s">
        <v>185</v>
      </c>
    </row>
    <row r="174" spans="1:8">
      <c r="A174" s="79" t="str">
        <f>LeaveData[[#This Row],[ EMP ID]]&amp;LeaveData[[#This Row],[Date]]</f>
        <v>20231802245432</v>
      </c>
      <c r="B174" s="88">
        <v>202318022</v>
      </c>
      <c r="C174" s="79" t="s">
        <v>45</v>
      </c>
      <c r="D174" s="80">
        <v>45432</v>
      </c>
      <c r="E174" s="79" t="s">
        <v>13</v>
      </c>
      <c r="F174" s="79" t="s">
        <v>106</v>
      </c>
      <c r="G174" s="79"/>
      <c r="H174" s="79" t="s">
        <v>185</v>
      </c>
    </row>
    <row r="175" spans="1:8">
      <c r="A175" s="79" t="str">
        <f>LeaveData[[#This Row],[ EMP ID]]&amp;LeaveData[[#This Row],[Date]]</f>
        <v>20231802245433</v>
      </c>
      <c r="B175" s="88">
        <v>202318022</v>
      </c>
      <c r="C175" s="79" t="s">
        <v>45</v>
      </c>
      <c r="D175" s="80">
        <v>45433</v>
      </c>
      <c r="E175" s="79" t="s">
        <v>13</v>
      </c>
      <c r="F175" s="79" t="s">
        <v>106</v>
      </c>
      <c r="G175" s="79"/>
      <c r="H175" s="79" t="s">
        <v>185</v>
      </c>
    </row>
    <row r="176" spans="1:8">
      <c r="A176" s="79" t="str">
        <f>LeaveData[[#This Row],[ EMP ID]]&amp;LeaveData[[#This Row],[Date]]</f>
        <v>20231802245434</v>
      </c>
      <c r="B176" s="88">
        <v>202318022</v>
      </c>
      <c r="C176" s="79" t="s">
        <v>45</v>
      </c>
      <c r="D176" s="80">
        <v>45434</v>
      </c>
      <c r="E176" s="79" t="s">
        <v>13</v>
      </c>
      <c r="F176" s="79" t="s">
        <v>106</v>
      </c>
      <c r="G176" s="79"/>
      <c r="H176" s="79" t="s">
        <v>185</v>
      </c>
    </row>
    <row r="177" spans="1:8">
      <c r="A177" s="79" t="str">
        <f>LeaveData[[#This Row],[ EMP ID]]&amp;LeaveData[[#This Row],[Date]]</f>
        <v>20231802245435</v>
      </c>
      <c r="B177" s="88">
        <v>202318022</v>
      </c>
      <c r="C177" s="79" t="s">
        <v>45</v>
      </c>
      <c r="D177" s="80">
        <v>45435</v>
      </c>
      <c r="E177" s="79" t="s">
        <v>13</v>
      </c>
      <c r="F177" s="79" t="s">
        <v>106</v>
      </c>
      <c r="G177" s="79"/>
      <c r="H177" s="79" t="s">
        <v>185</v>
      </c>
    </row>
    <row r="178" spans="1:8">
      <c r="A178" s="79" t="str">
        <f>LeaveData[[#This Row],[ EMP ID]]&amp;LeaveData[[#This Row],[Date]]</f>
        <v>20231802245436</v>
      </c>
      <c r="B178" s="88">
        <v>202318022</v>
      </c>
      <c r="C178" s="79" t="s">
        <v>45</v>
      </c>
      <c r="D178" s="80">
        <v>45436</v>
      </c>
      <c r="E178" s="79" t="s">
        <v>13</v>
      </c>
      <c r="F178" s="79" t="s">
        <v>106</v>
      </c>
      <c r="G178" s="79"/>
      <c r="H178" s="79" t="s">
        <v>185</v>
      </c>
    </row>
    <row r="179" spans="1:8">
      <c r="A179" s="79" t="str">
        <f>LeaveData[[#This Row],[ EMP ID]]&amp;LeaveData[[#This Row],[Date]]</f>
        <v>20231802245437</v>
      </c>
      <c r="B179" s="88">
        <v>202318022</v>
      </c>
      <c r="C179" s="79" t="s">
        <v>45</v>
      </c>
      <c r="D179" s="80">
        <v>45437</v>
      </c>
      <c r="E179" s="79" t="s">
        <v>13</v>
      </c>
      <c r="F179" s="79" t="s">
        <v>106</v>
      </c>
      <c r="G179" s="79"/>
      <c r="H179" s="79" t="s">
        <v>185</v>
      </c>
    </row>
    <row r="180" spans="1:8">
      <c r="A180" s="79" t="str">
        <f>LeaveData[[#This Row],[ EMP ID]]&amp;LeaveData[[#This Row],[Date]]</f>
        <v>20231802245439</v>
      </c>
      <c r="B180" s="88">
        <v>202318022</v>
      </c>
      <c r="C180" s="79" t="s">
        <v>45</v>
      </c>
      <c r="D180" s="80">
        <v>45439</v>
      </c>
      <c r="E180" s="79" t="s">
        <v>13</v>
      </c>
      <c r="F180" s="79" t="s">
        <v>106</v>
      </c>
      <c r="G180" s="79"/>
      <c r="H180" s="79" t="s">
        <v>185</v>
      </c>
    </row>
    <row r="181" spans="1:8">
      <c r="A181" s="79" t="str">
        <f>LeaveData[[#This Row],[ EMP ID]]&amp;LeaveData[[#This Row],[Date]]</f>
        <v>20231802245440</v>
      </c>
      <c r="B181" s="88">
        <v>202318022</v>
      </c>
      <c r="C181" s="79" t="s">
        <v>45</v>
      </c>
      <c r="D181" s="80">
        <v>45440</v>
      </c>
      <c r="E181" s="79" t="s">
        <v>13</v>
      </c>
      <c r="F181" s="79" t="s">
        <v>106</v>
      </c>
      <c r="G181" s="79"/>
      <c r="H181" s="79" t="s">
        <v>185</v>
      </c>
    </row>
    <row r="182" spans="1:8">
      <c r="A182" s="79" t="str">
        <f>LeaveData[[#This Row],[ EMP ID]]&amp;LeaveData[[#This Row],[Date]]</f>
        <v>20231802045430</v>
      </c>
      <c r="B182" s="88">
        <v>202318020</v>
      </c>
      <c r="C182" s="79" t="s">
        <v>43</v>
      </c>
      <c r="D182" s="80">
        <v>45430</v>
      </c>
      <c r="E182" s="79" t="s">
        <v>14</v>
      </c>
      <c r="F182" s="79" t="s">
        <v>106</v>
      </c>
      <c r="G182" s="79"/>
      <c r="H182" s="79" t="s">
        <v>185</v>
      </c>
    </row>
    <row r="183" spans="1:8">
      <c r="A183" s="79" t="str">
        <f>LeaveData[[#This Row],[ EMP ID]]&amp;LeaveData[[#This Row],[Date]]</f>
        <v>20231802045432</v>
      </c>
      <c r="B183" s="88">
        <v>202318020</v>
      </c>
      <c r="C183" s="79" t="s">
        <v>43</v>
      </c>
      <c r="D183" s="80">
        <v>45432</v>
      </c>
      <c r="E183" s="79" t="s">
        <v>154</v>
      </c>
      <c r="F183" s="79" t="s">
        <v>106</v>
      </c>
      <c r="G183" s="79"/>
      <c r="H183" s="79" t="s">
        <v>156</v>
      </c>
    </row>
    <row r="184" spans="1:8">
      <c r="A184" s="79" t="str">
        <f>LeaveData[[#This Row],[ EMP ID]]&amp;LeaveData[[#This Row],[Date]]</f>
        <v>20231802045433</v>
      </c>
      <c r="B184" s="88">
        <v>202318020</v>
      </c>
      <c r="C184" s="79" t="s">
        <v>43</v>
      </c>
      <c r="D184" s="80">
        <v>45433</v>
      </c>
      <c r="E184" s="79" t="s">
        <v>13</v>
      </c>
      <c r="F184" s="79" t="s">
        <v>106</v>
      </c>
      <c r="G184" s="79"/>
      <c r="H184" s="79" t="s">
        <v>185</v>
      </c>
    </row>
    <row r="185" spans="1:8">
      <c r="A185" s="79" t="str">
        <f>LeaveData[[#This Row],[ EMP ID]]&amp;LeaveData[[#This Row],[Date]]</f>
        <v>20231802045434</v>
      </c>
      <c r="B185" s="88">
        <v>202318020</v>
      </c>
      <c r="C185" s="79" t="s">
        <v>43</v>
      </c>
      <c r="D185" s="80">
        <v>45434</v>
      </c>
      <c r="E185" s="79" t="s">
        <v>13</v>
      </c>
      <c r="F185" s="79" t="s">
        <v>106</v>
      </c>
      <c r="G185" s="79"/>
      <c r="H185" s="79" t="s">
        <v>185</v>
      </c>
    </row>
    <row r="186" spans="1:8">
      <c r="A186" s="79" t="str">
        <f>LeaveData[[#This Row],[ EMP ID]]&amp;LeaveData[[#This Row],[Date]]</f>
        <v>20231802045435</v>
      </c>
      <c r="B186" s="88">
        <v>202318020</v>
      </c>
      <c r="C186" s="79" t="s">
        <v>43</v>
      </c>
      <c r="D186" s="80">
        <v>45435</v>
      </c>
      <c r="E186" s="79" t="s">
        <v>13</v>
      </c>
      <c r="F186" s="79" t="s">
        <v>106</v>
      </c>
      <c r="G186" s="79"/>
      <c r="H186" s="79" t="s">
        <v>185</v>
      </c>
    </row>
    <row r="187" spans="1:8">
      <c r="A187" s="79" t="str">
        <f>LeaveData[[#This Row],[ EMP ID]]&amp;LeaveData[[#This Row],[Date]]</f>
        <v>20231802045436</v>
      </c>
      <c r="B187" s="88">
        <v>202318020</v>
      </c>
      <c r="C187" s="79" t="s">
        <v>43</v>
      </c>
      <c r="D187" s="80">
        <v>45436</v>
      </c>
      <c r="E187" s="79" t="s">
        <v>13</v>
      </c>
      <c r="F187" s="79" t="s">
        <v>106</v>
      </c>
      <c r="G187" s="79"/>
      <c r="H187" s="79" t="s">
        <v>185</v>
      </c>
    </row>
    <row r="188" spans="1:8">
      <c r="A188" s="79" t="str">
        <f>LeaveData[[#This Row],[ EMP ID]]&amp;LeaveData[[#This Row],[Date]]</f>
        <v>20231802045437</v>
      </c>
      <c r="B188" s="88">
        <v>202318020</v>
      </c>
      <c r="C188" s="79" t="s">
        <v>43</v>
      </c>
      <c r="D188" s="80">
        <v>45437</v>
      </c>
      <c r="E188" s="79" t="s">
        <v>13</v>
      </c>
      <c r="F188" s="79" t="s">
        <v>106</v>
      </c>
      <c r="G188" s="79"/>
      <c r="H188" s="79" t="s">
        <v>185</v>
      </c>
    </row>
    <row r="189" spans="1:8">
      <c r="A189" s="79" t="str">
        <f>LeaveData[[#This Row],[ EMP ID]]&amp;LeaveData[[#This Row],[Date]]</f>
        <v>20231802045439</v>
      </c>
      <c r="B189" s="88">
        <v>202318020</v>
      </c>
      <c r="C189" s="79" t="s">
        <v>43</v>
      </c>
      <c r="D189" s="80">
        <v>45439</v>
      </c>
      <c r="E189" s="79" t="s">
        <v>13</v>
      </c>
      <c r="F189" s="79" t="s">
        <v>106</v>
      </c>
      <c r="G189" s="79"/>
      <c r="H189" s="79" t="s">
        <v>185</v>
      </c>
    </row>
    <row r="190" spans="1:8">
      <c r="A190" s="79" t="str">
        <f>LeaveData[[#This Row],[ EMP ID]]&amp;LeaveData[[#This Row],[Date]]</f>
        <v>20231802045440</v>
      </c>
      <c r="B190" s="88">
        <v>202318020</v>
      </c>
      <c r="C190" s="79" t="s">
        <v>43</v>
      </c>
      <c r="D190" s="80">
        <v>45440</v>
      </c>
      <c r="E190" s="79" t="s">
        <v>13</v>
      </c>
      <c r="F190" s="79" t="s">
        <v>106</v>
      </c>
      <c r="G190" s="79"/>
      <c r="H190" s="79" t="s">
        <v>185</v>
      </c>
    </row>
    <row r="191" spans="1:8">
      <c r="A191" s="79" t="str">
        <f>LeaveData[[#This Row],[ EMP ID]]&amp;LeaveData[[#This Row],[Date]]</f>
        <v>20231801745423</v>
      </c>
      <c r="B191" s="88">
        <v>202318017</v>
      </c>
      <c r="C191" s="79" t="s">
        <v>37</v>
      </c>
      <c r="D191" s="80">
        <v>45423</v>
      </c>
      <c r="E191" s="79" t="s">
        <v>154</v>
      </c>
      <c r="F191" s="79" t="s">
        <v>118</v>
      </c>
      <c r="G191" s="79"/>
      <c r="H191" s="79" t="s">
        <v>186</v>
      </c>
    </row>
    <row r="192" spans="1:8">
      <c r="A192" s="79" t="str">
        <f>LeaveData[[#This Row],[ EMP ID]]&amp;LeaveData[[#This Row],[Date]]</f>
        <v>20211800745432</v>
      </c>
      <c r="B192" s="88">
        <v>202118007</v>
      </c>
      <c r="C192" s="86" t="s">
        <v>103</v>
      </c>
      <c r="D192" s="80">
        <v>45432</v>
      </c>
      <c r="E192" s="79" t="s">
        <v>154</v>
      </c>
      <c r="F192" s="79" t="s">
        <v>104</v>
      </c>
      <c r="G192" s="79"/>
      <c r="H192" s="79" t="s">
        <v>156</v>
      </c>
    </row>
    <row r="193" spans="1:8">
      <c r="A193" s="79" t="str">
        <f>LeaveData[[#This Row],[ EMP ID]]&amp;LeaveData[[#This Row],[Date]]</f>
        <v>20221801045432</v>
      </c>
      <c r="B193" s="88">
        <v>202218010</v>
      </c>
      <c r="C193" s="79" t="s">
        <v>27</v>
      </c>
      <c r="D193" s="80">
        <v>45432</v>
      </c>
      <c r="E193" s="79" t="s">
        <v>13</v>
      </c>
      <c r="F193" s="79" t="s">
        <v>118</v>
      </c>
      <c r="G193" s="79"/>
      <c r="H193" s="79" t="s">
        <v>113</v>
      </c>
    </row>
    <row r="194" spans="1:8">
      <c r="A194" s="79" t="str">
        <f>LeaveData[[#This Row],[ EMP ID]]&amp;LeaveData[[#This Row],[Date]]</f>
        <v>20221800945430</v>
      </c>
      <c r="B194" s="88">
        <v>202218009</v>
      </c>
      <c r="C194" s="79" t="s">
        <v>26</v>
      </c>
      <c r="D194" s="80">
        <v>45430</v>
      </c>
      <c r="E194" s="79" t="s">
        <v>12</v>
      </c>
      <c r="F194" s="79" t="s">
        <v>118</v>
      </c>
      <c r="G194" s="79"/>
      <c r="H194" s="79" t="s">
        <v>5</v>
      </c>
    </row>
    <row r="195" spans="1:8">
      <c r="A195" s="79" t="str">
        <f>LeaveData[[#This Row],[ EMP ID]]&amp;LeaveData[[#This Row],[Date]]</f>
        <v>20231801745430</v>
      </c>
      <c r="B195" s="88">
        <v>202318017</v>
      </c>
      <c r="C195" s="79" t="s">
        <v>37</v>
      </c>
      <c r="D195" s="80">
        <v>45430</v>
      </c>
      <c r="E195" s="79" t="s">
        <v>12</v>
      </c>
      <c r="F195" s="79" t="s">
        <v>118</v>
      </c>
      <c r="G195" s="79"/>
      <c r="H195" s="79" t="s">
        <v>5</v>
      </c>
    </row>
    <row r="196" spans="1:8">
      <c r="A196" s="79" t="str">
        <f>LeaveData[[#This Row],[ EMP ID]]&amp;LeaveData[[#This Row],[Date]]</f>
        <v>20241803345430</v>
      </c>
      <c r="B196" s="88">
        <v>202418033</v>
      </c>
      <c r="C196" s="79" t="s">
        <v>65</v>
      </c>
      <c r="D196" s="80">
        <v>45430</v>
      </c>
      <c r="E196" s="79" t="s">
        <v>13</v>
      </c>
      <c r="F196" s="79" t="s">
        <v>118</v>
      </c>
      <c r="G196" s="79"/>
      <c r="H196" s="79" t="s">
        <v>187</v>
      </c>
    </row>
    <row r="197" spans="1:8">
      <c r="A197" s="79" t="str">
        <f>LeaveData[[#This Row],[ EMP ID]]&amp;LeaveData[[#This Row],[Date]]</f>
        <v>20232001345456</v>
      </c>
      <c r="B197" s="88">
        <v>202320013</v>
      </c>
      <c r="C197" s="79" t="s">
        <v>56</v>
      </c>
      <c r="D197" s="80">
        <v>45456</v>
      </c>
      <c r="E197" s="79" t="s">
        <v>13</v>
      </c>
      <c r="F197" s="79" t="s">
        <v>111</v>
      </c>
      <c r="G197" s="79"/>
      <c r="H197" s="79" t="s">
        <v>113</v>
      </c>
    </row>
    <row r="198" spans="1:8">
      <c r="A198" s="79" t="str">
        <f>LeaveData[[#This Row],[ EMP ID]]&amp;LeaveData[[#This Row],[Date]]</f>
        <v>20232001345457</v>
      </c>
      <c r="B198" s="88">
        <v>202320013</v>
      </c>
      <c r="C198" s="79" t="s">
        <v>56</v>
      </c>
      <c r="D198" s="80">
        <v>45457</v>
      </c>
      <c r="E198" s="79" t="s">
        <v>13</v>
      </c>
      <c r="F198" s="79" t="s">
        <v>111</v>
      </c>
      <c r="G198" s="79"/>
      <c r="H198" s="79" t="s">
        <v>113</v>
      </c>
    </row>
    <row r="199" spans="1:8">
      <c r="A199" s="79" t="str">
        <f>LeaveData[[#This Row],[ EMP ID]]&amp;LeaveData[[#This Row],[Date]]</f>
        <v>20232001345458</v>
      </c>
      <c r="B199" s="88">
        <v>202320013</v>
      </c>
      <c r="C199" s="79" t="s">
        <v>56</v>
      </c>
      <c r="D199" s="80">
        <v>45458</v>
      </c>
      <c r="E199" s="79" t="s">
        <v>13</v>
      </c>
      <c r="F199" s="79" t="s">
        <v>111</v>
      </c>
      <c r="G199" s="79"/>
      <c r="H199" s="79" t="s">
        <v>113</v>
      </c>
    </row>
    <row r="200" spans="1:8">
      <c r="A200" s="79" t="str">
        <f>LeaveData[[#This Row],[ EMP ID]]&amp;LeaveData[[#This Row],[Date]]</f>
        <v>20232001345460</v>
      </c>
      <c r="B200" s="88">
        <v>202320013</v>
      </c>
      <c r="C200" s="79" t="s">
        <v>56</v>
      </c>
      <c r="D200" s="80">
        <v>45460</v>
      </c>
      <c r="E200" s="79" t="s">
        <v>13</v>
      </c>
      <c r="F200" s="79" t="s">
        <v>111</v>
      </c>
      <c r="G200" s="79"/>
      <c r="H200" s="79" t="s">
        <v>113</v>
      </c>
    </row>
    <row r="201" spans="1:8">
      <c r="A201" s="79" t="str">
        <f>LeaveData[[#This Row],[ EMP ID]]&amp;LeaveData[[#This Row],[Date]]</f>
        <v>20232001345461</v>
      </c>
      <c r="B201" s="88">
        <v>202320013</v>
      </c>
      <c r="C201" s="79" t="s">
        <v>56</v>
      </c>
      <c r="D201" s="80">
        <v>45461</v>
      </c>
      <c r="E201" s="79" t="s">
        <v>13</v>
      </c>
      <c r="F201" s="79" t="s">
        <v>111</v>
      </c>
      <c r="G201" s="79"/>
      <c r="H201" s="79" t="s">
        <v>113</v>
      </c>
    </row>
    <row r="202" spans="1:8">
      <c r="A202" s="79" t="str">
        <f>LeaveData[[#This Row],[ EMP ID]]&amp;LeaveData[[#This Row],[Date]]</f>
        <v>20232001345462</v>
      </c>
      <c r="B202" s="88">
        <v>202320013</v>
      </c>
      <c r="C202" s="79" t="s">
        <v>56</v>
      </c>
      <c r="D202" s="80">
        <v>45462</v>
      </c>
      <c r="E202" s="79" t="s">
        <v>13</v>
      </c>
      <c r="F202" s="79" t="s">
        <v>111</v>
      </c>
      <c r="G202" s="79"/>
      <c r="H202" s="79" t="s">
        <v>113</v>
      </c>
    </row>
    <row r="203" spans="1:8">
      <c r="A203" s="79" t="str">
        <f>LeaveData[[#This Row],[ EMP ID]]&amp;LeaveData[[#This Row],[Date]]</f>
        <v>20231801945433</v>
      </c>
      <c r="B203" s="88">
        <v>202318019</v>
      </c>
      <c r="C203" s="79" t="s">
        <v>89</v>
      </c>
      <c r="D203" s="80">
        <v>45433</v>
      </c>
      <c r="E203" s="79" t="s">
        <v>13</v>
      </c>
      <c r="F203" s="86" t="s">
        <v>114</v>
      </c>
      <c r="G203" s="79"/>
      <c r="H203" s="79" t="s">
        <v>116</v>
      </c>
    </row>
    <row r="204" spans="1:8">
      <c r="A204" s="79" t="str">
        <f>LeaveData[[#This Row],[ EMP ID]]&amp;LeaveData[[#This Row],[Date]]</f>
        <v>20231802845451</v>
      </c>
      <c r="B204" s="88">
        <v>202318028</v>
      </c>
      <c r="C204" s="79" t="s">
        <v>57</v>
      </c>
      <c r="D204" s="80">
        <v>45451</v>
      </c>
      <c r="E204" s="79" t="s">
        <v>154</v>
      </c>
      <c r="F204" s="86" t="s">
        <v>118</v>
      </c>
      <c r="G204" s="79"/>
      <c r="H204" s="79" t="s">
        <v>188</v>
      </c>
    </row>
    <row r="205" spans="1:8">
      <c r="A205" s="79" t="str">
        <f>LeaveData[[#This Row],[ EMP ID]]&amp;LeaveData[[#This Row],[Date]]</f>
        <v>20231801845436</v>
      </c>
      <c r="B205" s="88">
        <v>202318018</v>
      </c>
      <c r="C205" s="79" t="s">
        <v>40</v>
      </c>
      <c r="D205" s="80">
        <v>45436</v>
      </c>
      <c r="E205" s="79" t="s">
        <v>13</v>
      </c>
      <c r="F205" s="79" t="s">
        <v>125</v>
      </c>
      <c r="G205" s="79"/>
      <c r="H205" s="79" t="s">
        <v>189</v>
      </c>
    </row>
    <row r="206" spans="1:8">
      <c r="A206" s="79" t="str">
        <f>LeaveData[[#This Row],[ EMP ID]]&amp;LeaveData[[#This Row],[Date]]</f>
        <v>20232000745444</v>
      </c>
      <c r="B206" s="88">
        <v>202320007</v>
      </c>
      <c r="C206" s="79" t="s">
        <v>183</v>
      </c>
      <c r="D206" s="80">
        <v>45444</v>
      </c>
      <c r="E206" s="79" t="s">
        <v>13</v>
      </c>
      <c r="F206" s="79" t="s">
        <v>104</v>
      </c>
      <c r="G206" s="79"/>
      <c r="H206" s="79" t="s">
        <v>134</v>
      </c>
    </row>
    <row r="207" spans="1:8">
      <c r="A207" s="79" t="str">
        <f>LeaveData[[#This Row],[ EMP ID]]&amp;LeaveData[[#This Row],[Date]]</f>
        <v>20232000745445</v>
      </c>
      <c r="B207" s="88">
        <v>202320007</v>
      </c>
      <c r="C207" s="79" t="s">
        <v>183</v>
      </c>
      <c r="D207" s="80">
        <v>45445</v>
      </c>
      <c r="E207" s="79" t="s">
        <v>13</v>
      </c>
      <c r="F207" s="79" t="s">
        <v>104</v>
      </c>
      <c r="G207" s="79"/>
      <c r="H207" s="79" t="s">
        <v>134</v>
      </c>
    </row>
    <row r="208" spans="1:8">
      <c r="A208" s="79" t="str">
        <f>LeaveData[[#This Row],[ EMP ID]]&amp;LeaveData[[#This Row],[Date]]</f>
        <v>20232000545437</v>
      </c>
      <c r="B208" s="88">
        <v>202320005</v>
      </c>
      <c r="C208" s="79" t="s">
        <v>38</v>
      </c>
      <c r="D208" s="80">
        <v>45437</v>
      </c>
      <c r="E208" s="79" t="s">
        <v>154</v>
      </c>
      <c r="F208" s="86" t="s">
        <v>114</v>
      </c>
      <c r="G208" s="79"/>
      <c r="H208" s="79" t="s">
        <v>156</v>
      </c>
    </row>
    <row r="209" spans="1:8">
      <c r="A209" s="79" t="str">
        <f>LeaveData[[#This Row],[ EMP ID]]&amp;LeaveData[[#This Row],[Date]]</f>
        <v>20232001245446</v>
      </c>
      <c r="B209" s="88">
        <v>202320012</v>
      </c>
      <c r="C209" s="79" t="s">
        <v>55</v>
      </c>
      <c r="D209" s="80">
        <v>45446</v>
      </c>
      <c r="E209" s="79" t="s">
        <v>13</v>
      </c>
      <c r="F209" s="79" t="s">
        <v>104</v>
      </c>
      <c r="G209" s="79"/>
      <c r="H209" s="79" t="s">
        <v>190</v>
      </c>
    </row>
    <row r="210" spans="1:8">
      <c r="A210" s="79" t="str">
        <f>LeaveData[[#This Row],[ EMP ID]]&amp;LeaveData[[#This Row],[Date]]</f>
        <v>20232001245447</v>
      </c>
      <c r="B210" s="88">
        <v>202320012</v>
      </c>
      <c r="C210" s="79" t="s">
        <v>55</v>
      </c>
      <c r="D210" s="80">
        <v>45447</v>
      </c>
      <c r="E210" s="79" t="s">
        <v>13</v>
      </c>
      <c r="F210" s="79" t="s">
        <v>104</v>
      </c>
      <c r="G210" s="79"/>
      <c r="H210" s="79" t="s">
        <v>190</v>
      </c>
    </row>
    <row r="211" spans="1:8">
      <c r="A211" s="79" t="str">
        <f>LeaveData[[#This Row],[ EMP ID]]&amp;LeaveData[[#This Row],[Date]]</f>
        <v>20232000845440</v>
      </c>
      <c r="B211" s="88">
        <v>202320008</v>
      </c>
      <c r="C211" s="79" t="s">
        <v>46</v>
      </c>
      <c r="D211" s="80">
        <v>45440</v>
      </c>
      <c r="E211" s="79" t="s">
        <v>12</v>
      </c>
      <c r="F211" s="79" t="s">
        <v>104</v>
      </c>
      <c r="G211" s="79"/>
      <c r="H211" s="79" t="s">
        <v>5</v>
      </c>
    </row>
    <row r="212" spans="1:8">
      <c r="A212" s="79" t="str">
        <f>LeaveData[[#This Row],[ EMP ID]]&amp;LeaveData[[#This Row],[Date]]</f>
        <v>20211800745395</v>
      </c>
      <c r="B212" s="88">
        <v>202118007</v>
      </c>
      <c r="C212" s="86" t="s">
        <v>103</v>
      </c>
      <c r="D212" s="80">
        <v>45395</v>
      </c>
      <c r="E212" s="79" t="s">
        <v>154</v>
      </c>
      <c r="F212" s="79" t="s">
        <v>104</v>
      </c>
      <c r="G212" s="79"/>
      <c r="H212" s="79" t="s">
        <v>155</v>
      </c>
    </row>
    <row r="213" spans="1:8">
      <c r="A213" s="79" t="str">
        <f>LeaveData[[#This Row],[ EMP ID]]&amp;LeaveData[[#This Row],[Date]]</f>
        <v>20231802745395</v>
      </c>
      <c r="B213" s="88">
        <v>202318027</v>
      </c>
      <c r="C213" s="79" t="s">
        <v>54</v>
      </c>
      <c r="D213" s="80">
        <v>45395</v>
      </c>
      <c r="E213" s="79" t="s">
        <v>154</v>
      </c>
      <c r="F213" s="79" t="s">
        <v>106</v>
      </c>
      <c r="G213" s="79"/>
      <c r="H213" s="79" t="s">
        <v>155</v>
      </c>
    </row>
    <row r="214" spans="1:8">
      <c r="A214" s="79" t="str">
        <f>LeaveData[[#This Row],[ EMP ID]]&amp;LeaveData[[#This Row],[Date]]</f>
        <v>20231801645395</v>
      </c>
      <c r="B214" s="88">
        <v>202318016</v>
      </c>
      <c r="C214" s="79" t="s">
        <v>36</v>
      </c>
      <c r="D214" s="80">
        <v>45395</v>
      </c>
      <c r="E214" s="79" t="s">
        <v>154</v>
      </c>
      <c r="F214" s="86" t="s">
        <v>114</v>
      </c>
      <c r="G214" s="79"/>
      <c r="H214" s="79" t="s">
        <v>155</v>
      </c>
    </row>
    <row r="215" spans="1:8">
      <c r="A215" s="79" t="str">
        <f>LeaveData[[#This Row],[ EMP ID]]&amp;LeaveData[[#This Row],[Date]]</f>
        <v>20231801845395</v>
      </c>
      <c r="B215" s="88">
        <v>202318018</v>
      </c>
      <c r="C215" s="79" t="s">
        <v>40</v>
      </c>
      <c r="D215" s="80">
        <v>45395</v>
      </c>
      <c r="E215" s="79" t="s">
        <v>154</v>
      </c>
      <c r="F215" s="79" t="s">
        <v>106</v>
      </c>
      <c r="G215" s="79"/>
      <c r="H215" s="79" t="s">
        <v>155</v>
      </c>
    </row>
    <row r="216" spans="1:8">
      <c r="A216" s="79" t="str">
        <f>LeaveData[[#This Row],[ EMP ID]]&amp;LeaveData[[#This Row],[Date]]</f>
        <v>20231801945395</v>
      </c>
      <c r="B216" s="88">
        <v>202318019</v>
      </c>
      <c r="C216" s="79" t="s">
        <v>89</v>
      </c>
      <c r="D216" s="80">
        <v>45395</v>
      </c>
      <c r="E216" s="79" t="s">
        <v>154</v>
      </c>
      <c r="F216" s="86" t="s">
        <v>114</v>
      </c>
      <c r="G216" s="79"/>
      <c r="H216" s="79" t="s">
        <v>155</v>
      </c>
    </row>
    <row r="217" spans="1:8">
      <c r="A217" s="79" t="str">
        <f>LeaveData[[#This Row],[ EMP ID]]&amp;LeaveData[[#This Row],[Date]]</f>
        <v>20232001045395</v>
      </c>
      <c r="B217" s="88">
        <v>202320010</v>
      </c>
      <c r="C217" s="79" t="s">
        <v>49</v>
      </c>
      <c r="D217" s="80">
        <v>45395</v>
      </c>
      <c r="E217" s="79" t="s">
        <v>154</v>
      </c>
      <c r="F217" s="86" t="s">
        <v>114</v>
      </c>
      <c r="G217" s="79"/>
      <c r="H217" s="79" t="s">
        <v>155</v>
      </c>
    </row>
    <row r="218" spans="1:8">
      <c r="A218" s="79" t="str">
        <f>LeaveData[[#This Row],[ EMP ID]]&amp;LeaveData[[#This Row],[Date]]</f>
        <v>20231802045395</v>
      </c>
      <c r="B218" s="88">
        <v>202318020</v>
      </c>
      <c r="C218" s="79" t="s">
        <v>43</v>
      </c>
      <c r="D218" s="80">
        <v>45395</v>
      </c>
      <c r="E218" s="79" t="s">
        <v>154</v>
      </c>
      <c r="F218" s="79" t="s">
        <v>104</v>
      </c>
      <c r="G218" s="79"/>
      <c r="H218" s="79" t="s">
        <v>155</v>
      </c>
    </row>
    <row r="219" spans="1:8">
      <c r="A219" s="79" t="str">
        <f>LeaveData[[#This Row],[ EMP ID]]&amp;LeaveData[[#This Row],[Date]]</f>
        <v>20231802645395</v>
      </c>
      <c r="B219" s="88">
        <v>202318026</v>
      </c>
      <c r="C219" s="79" t="s">
        <v>53</v>
      </c>
      <c r="D219" s="80">
        <v>45395</v>
      </c>
      <c r="E219" s="79" t="s">
        <v>154</v>
      </c>
      <c r="F219" s="79" t="s">
        <v>45</v>
      </c>
      <c r="G219" s="79"/>
      <c r="H219" s="79" t="s">
        <v>155</v>
      </c>
    </row>
    <row r="220" spans="1:8">
      <c r="A220" s="79" t="str">
        <f>LeaveData[[#This Row],[ EMP ID]]&amp;LeaveData[[#This Row],[Date]]</f>
        <v>20171800145441</v>
      </c>
      <c r="B220" s="88">
        <v>201718001</v>
      </c>
      <c r="C220" s="79" t="s">
        <v>17</v>
      </c>
      <c r="D220" s="80">
        <v>45441</v>
      </c>
      <c r="E220" s="79" t="s">
        <v>12</v>
      </c>
      <c r="F220" s="79" t="s">
        <v>106</v>
      </c>
      <c r="G220" s="79"/>
      <c r="H220" s="79" t="s">
        <v>5</v>
      </c>
    </row>
    <row r="221" spans="1:8">
      <c r="A221" s="79" t="str">
        <f>LeaveData[[#This Row],[ EMP ID]]&amp;LeaveData[[#This Row],[Date]]</f>
        <v>EMP24055O45446</v>
      </c>
      <c r="B221" s="79" t="s">
        <v>191</v>
      </c>
      <c r="C221" s="79" t="s">
        <v>192</v>
      </c>
      <c r="D221" s="80">
        <v>45446</v>
      </c>
      <c r="E221" s="79" t="s">
        <v>13</v>
      </c>
      <c r="F221" s="79" t="s">
        <v>125</v>
      </c>
      <c r="G221" s="79"/>
      <c r="H221" s="79" t="s">
        <v>193</v>
      </c>
    </row>
    <row r="222" spans="1:8">
      <c r="A222" s="79" t="str">
        <f>LeaveData[[#This Row],[ EMP ID]]&amp;LeaveData[[#This Row],[Date]]</f>
        <v>EMP24055O45447</v>
      </c>
      <c r="B222" s="79" t="s">
        <v>191</v>
      </c>
      <c r="C222" s="79" t="s">
        <v>192</v>
      </c>
      <c r="D222" s="80">
        <v>45447</v>
      </c>
      <c r="E222" s="79" t="s">
        <v>13</v>
      </c>
      <c r="F222" s="79" t="s">
        <v>125</v>
      </c>
      <c r="G222" s="79"/>
      <c r="H222" s="79" t="s">
        <v>193</v>
      </c>
    </row>
    <row r="223" spans="1:8">
      <c r="A223" s="79" t="str">
        <f>LeaveData[[#This Row],[ EMP ID]]&amp;LeaveData[[#This Row],[Date]]</f>
        <v>EMP24055O45449</v>
      </c>
      <c r="B223" s="79" t="s">
        <v>191</v>
      </c>
      <c r="C223" s="79" t="s">
        <v>192</v>
      </c>
      <c r="D223" s="80">
        <v>45449</v>
      </c>
      <c r="E223" s="79" t="s">
        <v>13</v>
      </c>
      <c r="F223" s="79" t="s">
        <v>125</v>
      </c>
      <c r="G223" s="79"/>
      <c r="H223" s="79" t="s">
        <v>193</v>
      </c>
    </row>
    <row r="224" spans="1:8">
      <c r="A224" s="79" t="str">
        <f>LeaveData[[#This Row],[ EMP ID]]&amp;LeaveData[[#This Row],[Date]]</f>
        <v>20232001245441</v>
      </c>
      <c r="B224" s="88">
        <v>202320012</v>
      </c>
      <c r="C224" s="79" t="s">
        <v>55</v>
      </c>
      <c r="D224" s="80">
        <v>45441</v>
      </c>
      <c r="E224" s="79" t="s">
        <v>12</v>
      </c>
      <c r="F224" s="79" t="s">
        <v>104</v>
      </c>
      <c r="G224" s="79"/>
      <c r="H224" s="79" t="s">
        <v>5</v>
      </c>
    </row>
    <row r="225" spans="1:8">
      <c r="A225" s="79" t="str">
        <f>LeaveData[[#This Row],[ EMP ID]]&amp;LeaveData[[#This Row],[Date]]</f>
        <v>20222000245441</v>
      </c>
      <c r="B225" s="88">
        <v>202220002</v>
      </c>
      <c r="C225" s="79" t="s">
        <v>31</v>
      </c>
      <c r="D225" s="80">
        <v>45441</v>
      </c>
      <c r="E225" s="79" t="s">
        <v>13</v>
      </c>
      <c r="F225" s="79" t="s">
        <v>104</v>
      </c>
      <c r="G225" s="79"/>
      <c r="H225" s="79" t="s">
        <v>194</v>
      </c>
    </row>
    <row r="226" spans="1:8">
      <c r="A226" s="79" t="str">
        <f>LeaveData[[#This Row],[ EMP ID]]&amp;LeaveData[[#This Row],[Date]]</f>
        <v>20231802445439</v>
      </c>
      <c r="B226" s="88">
        <v>202318024</v>
      </c>
      <c r="C226" s="97" t="s">
        <v>51</v>
      </c>
      <c r="D226" s="80">
        <v>45439</v>
      </c>
      <c r="E226" s="79" t="s">
        <v>195</v>
      </c>
      <c r="F226" s="79" t="s">
        <v>106</v>
      </c>
      <c r="G226" s="79"/>
      <c r="H226" s="79" t="s">
        <v>196</v>
      </c>
    </row>
    <row r="227" spans="1:8">
      <c r="A227" s="79" t="str">
        <f>LeaveData[[#This Row],[ EMP ID]]&amp;LeaveData[[#This Row],[Date]]</f>
        <v>EMP24053O45418</v>
      </c>
      <c r="B227" s="79" t="s">
        <v>197</v>
      </c>
      <c r="C227" s="79" t="s">
        <v>198</v>
      </c>
      <c r="D227" s="80">
        <v>45418</v>
      </c>
      <c r="E227" s="79" t="s">
        <v>199</v>
      </c>
      <c r="F227" s="79" t="s">
        <v>125</v>
      </c>
      <c r="G227" s="79"/>
      <c r="H227" s="79" t="s">
        <v>200</v>
      </c>
    </row>
    <row r="228" spans="1:8">
      <c r="A228" s="79" t="str">
        <f>LeaveData[[#This Row],[ EMP ID]]&amp;LeaveData[[#This Row],[Date]]</f>
        <v>EMP24054O45419</v>
      </c>
      <c r="B228" s="79" t="s">
        <v>201</v>
      </c>
      <c r="C228" s="79" t="s">
        <v>202</v>
      </c>
      <c r="D228" s="80">
        <v>45419</v>
      </c>
      <c r="E228" s="79" t="s">
        <v>199</v>
      </c>
      <c r="F228" s="79" t="s">
        <v>125</v>
      </c>
      <c r="G228" s="79"/>
      <c r="H228" s="79" t="s">
        <v>200</v>
      </c>
    </row>
    <row r="229" spans="1:8">
      <c r="A229" s="79" t="str">
        <f>LeaveData[[#This Row],[ EMP ID]]&amp;LeaveData[[#This Row],[Date]]</f>
        <v>EMP24055O45418</v>
      </c>
      <c r="B229" s="79" t="s">
        <v>191</v>
      </c>
      <c r="C229" s="79" t="s">
        <v>192</v>
      </c>
      <c r="D229" s="80">
        <v>45418</v>
      </c>
      <c r="E229" s="79" t="s">
        <v>199</v>
      </c>
      <c r="F229" s="79" t="s">
        <v>125</v>
      </c>
      <c r="G229" s="79"/>
      <c r="H229" s="79" t="s">
        <v>200</v>
      </c>
    </row>
    <row r="230" spans="1:8">
      <c r="A230" s="79" t="str">
        <f>LeaveData[[#This Row],[ EMP ID]]&amp;LeaveData[[#This Row],[Date]]</f>
        <v>20221801345425</v>
      </c>
      <c r="B230" s="88">
        <v>202218013</v>
      </c>
      <c r="C230" s="79" t="s">
        <v>85</v>
      </c>
      <c r="D230" s="80">
        <v>45425</v>
      </c>
      <c r="E230" s="79" t="s">
        <v>199</v>
      </c>
      <c r="F230" s="79" t="s">
        <v>106</v>
      </c>
      <c r="G230" s="79"/>
      <c r="H230" s="79" t="s">
        <v>200</v>
      </c>
    </row>
    <row r="231" spans="1:8">
      <c r="A231" s="79" t="str">
        <f>LeaveData[[#This Row],[ EMP ID]]&amp;LeaveData[[#This Row],[Date]]</f>
        <v>20181800245432</v>
      </c>
      <c r="B231" s="88">
        <v>201818002</v>
      </c>
      <c r="C231" s="79" t="s">
        <v>83</v>
      </c>
      <c r="D231" s="80">
        <v>45432</v>
      </c>
      <c r="E231" s="79" t="s">
        <v>199</v>
      </c>
      <c r="F231" s="79" t="s">
        <v>106</v>
      </c>
      <c r="G231" s="79"/>
      <c r="H231" s="79" t="s">
        <v>200</v>
      </c>
    </row>
    <row r="232" spans="1:8">
      <c r="A232" s="79" t="str">
        <f>LeaveData[[#This Row],[ EMP ID]]&amp;LeaveData[[#This Row],[Date]]</f>
        <v>20232000645443</v>
      </c>
      <c r="B232" s="88">
        <v>202320006</v>
      </c>
      <c r="C232" s="79" t="s">
        <v>39</v>
      </c>
      <c r="D232" s="80">
        <v>45443</v>
      </c>
      <c r="E232" s="79" t="s">
        <v>14</v>
      </c>
      <c r="F232" s="79" t="s">
        <v>104</v>
      </c>
      <c r="G232" s="79"/>
      <c r="H232" s="79" t="s">
        <v>105</v>
      </c>
    </row>
    <row r="233" spans="1:8">
      <c r="A233" s="79" t="str">
        <f>LeaveData[[#This Row],[ EMP ID]]&amp;LeaveData[[#This Row],[Date]]</f>
        <v>20221801345443</v>
      </c>
      <c r="B233" s="88">
        <v>202218013</v>
      </c>
      <c r="C233" s="79" t="s">
        <v>85</v>
      </c>
      <c r="D233" s="80">
        <v>45443</v>
      </c>
      <c r="E233" s="79" t="s">
        <v>13</v>
      </c>
      <c r="F233" s="79" t="s">
        <v>106</v>
      </c>
      <c r="G233" s="79"/>
      <c r="H233" s="79" t="s">
        <v>203</v>
      </c>
    </row>
    <row r="234" spans="1:8">
      <c r="A234" s="79" t="str">
        <f>LeaveData[[#This Row],[ EMP ID]]&amp;LeaveData[[#This Row],[Date]]</f>
        <v>20231801745444</v>
      </c>
      <c r="B234" s="88">
        <v>202318017</v>
      </c>
      <c r="C234" s="79" t="s">
        <v>37</v>
      </c>
      <c r="D234" s="80">
        <v>45444</v>
      </c>
      <c r="E234" s="79" t="s">
        <v>130</v>
      </c>
      <c r="F234" s="79" t="s">
        <v>118</v>
      </c>
      <c r="G234" s="79"/>
      <c r="H234" s="79" t="s">
        <v>204</v>
      </c>
    </row>
    <row r="235" spans="1:8">
      <c r="A235" s="79" t="str">
        <f>LeaveData[[#This Row],[ EMP ID]]&amp;LeaveData[[#This Row],[Date]]</f>
        <v>20241803345447</v>
      </c>
      <c r="B235" s="88">
        <v>202418033</v>
      </c>
      <c r="C235" s="79" t="s">
        <v>65</v>
      </c>
      <c r="D235" s="80">
        <v>45447</v>
      </c>
      <c r="E235" s="79" t="s">
        <v>13</v>
      </c>
      <c r="F235" s="79" t="s">
        <v>43</v>
      </c>
      <c r="G235" s="79"/>
      <c r="H235" s="79" t="s">
        <v>170</v>
      </c>
    </row>
    <row r="236" spans="1:8">
      <c r="A236" s="79" t="str">
        <f>LeaveData[[#This Row],[ EMP ID]]&amp;LeaveData[[#This Row],[Date]]</f>
        <v>20241803345448</v>
      </c>
      <c r="B236" s="88">
        <v>202418033</v>
      </c>
      <c r="C236" s="79" t="s">
        <v>65</v>
      </c>
      <c r="D236" s="80">
        <v>45448</v>
      </c>
      <c r="E236" s="79" t="s">
        <v>13</v>
      </c>
      <c r="F236" s="79" t="s">
        <v>43</v>
      </c>
      <c r="G236" s="79"/>
      <c r="H236" s="79" t="s">
        <v>170</v>
      </c>
    </row>
    <row r="237" spans="1:8">
      <c r="A237" s="79" t="str">
        <f>LeaveData[[#This Row],[ EMP ID]]&amp;LeaveData[[#This Row],[Date]]</f>
        <v>20241803345449</v>
      </c>
      <c r="B237" s="88">
        <v>202418033</v>
      </c>
      <c r="C237" s="79" t="s">
        <v>65</v>
      </c>
      <c r="D237" s="80">
        <v>45449</v>
      </c>
      <c r="E237" s="79" t="s">
        <v>13</v>
      </c>
      <c r="F237" s="79" t="s">
        <v>43</v>
      </c>
      <c r="G237" s="79"/>
      <c r="H237" s="79" t="s">
        <v>170</v>
      </c>
    </row>
    <row r="238" spans="1:8">
      <c r="A238" s="79" t="str">
        <f>LeaveData[[#This Row],[ EMP ID]]&amp;LeaveData[[#This Row],[Date]]</f>
        <v>20232000945465</v>
      </c>
      <c r="B238" s="88">
        <v>202320009</v>
      </c>
      <c r="C238" s="79" t="s">
        <v>143</v>
      </c>
      <c r="D238" s="80">
        <v>45465</v>
      </c>
      <c r="E238" s="79" t="s">
        <v>13</v>
      </c>
      <c r="F238" s="79" t="s">
        <v>118</v>
      </c>
      <c r="G238" s="79"/>
      <c r="H238" s="79" t="s">
        <v>182</v>
      </c>
    </row>
    <row r="239" spans="1:8">
      <c r="A239" s="79" t="str">
        <f>LeaveData[[#This Row],[ EMP ID]]&amp;LeaveData[[#This Row],[Date]]</f>
        <v>20242100345474</v>
      </c>
      <c r="B239" s="79">
        <v>202421003</v>
      </c>
      <c r="C239" s="79" t="s">
        <v>205</v>
      </c>
      <c r="D239" s="80">
        <v>45474</v>
      </c>
      <c r="E239" s="79" t="s">
        <v>199</v>
      </c>
      <c r="F239" s="79" t="s">
        <v>206</v>
      </c>
      <c r="G239" s="79"/>
      <c r="H239" s="104" t="s">
        <v>200</v>
      </c>
    </row>
    <row r="240" spans="1:8">
      <c r="A240" s="79" t="str">
        <f>LeaveData[[#This Row],[ EMP ID]]&amp;LeaveData[[#This Row],[Date]]</f>
        <v>20232000945484</v>
      </c>
      <c r="B240" s="88">
        <v>202320009</v>
      </c>
      <c r="C240" s="79" t="s">
        <v>143</v>
      </c>
      <c r="D240" s="80">
        <v>45484</v>
      </c>
      <c r="E240" s="79" t="s">
        <v>13</v>
      </c>
      <c r="F240" s="79" t="s">
        <v>118</v>
      </c>
      <c r="G240" s="79"/>
      <c r="H240" s="98" t="s">
        <v>207</v>
      </c>
    </row>
    <row r="241" spans="1:8">
      <c r="A241" s="79" t="str">
        <f>LeaveData[[#This Row],[ EMP ID]]&amp;LeaveData[[#This Row],[Date]]</f>
        <v>20232000945485</v>
      </c>
      <c r="B241" s="88">
        <v>202320009</v>
      </c>
      <c r="C241" s="79" t="s">
        <v>143</v>
      </c>
      <c r="D241" s="80">
        <v>45485</v>
      </c>
      <c r="E241" s="79" t="s">
        <v>13</v>
      </c>
      <c r="F241" s="79" t="s">
        <v>118</v>
      </c>
      <c r="G241" s="79"/>
      <c r="H241" s="98" t="s">
        <v>207</v>
      </c>
    </row>
    <row r="242" spans="1:8">
      <c r="A242" s="79" t="str">
        <f>LeaveData[[#This Row],[ EMP ID]]&amp;LeaveData[[#This Row],[Date]]</f>
        <v>20232000945488</v>
      </c>
      <c r="B242" s="88">
        <v>202320009</v>
      </c>
      <c r="C242" s="79" t="s">
        <v>143</v>
      </c>
      <c r="D242" s="80">
        <v>45488</v>
      </c>
      <c r="E242" s="79" t="s">
        <v>13</v>
      </c>
      <c r="F242" s="79" t="s">
        <v>118</v>
      </c>
      <c r="G242" s="79"/>
      <c r="H242" s="98" t="s">
        <v>207</v>
      </c>
    </row>
    <row r="243" spans="1:8">
      <c r="A243" s="79" t="str">
        <f>LeaveData[[#This Row],[ EMP ID]]&amp;LeaveData[[#This Row],[Date]]</f>
        <v>20232000945489</v>
      </c>
      <c r="B243" s="88">
        <v>202320009</v>
      </c>
      <c r="C243" s="79" t="s">
        <v>143</v>
      </c>
      <c r="D243" s="80">
        <v>45489</v>
      </c>
      <c r="E243" s="79" t="s">
        <v>13</v>
      </c>
      <c r="F243" s="79" t="s">
        <v>118</v>
      </c>
      <c r="G243" s="79"/>
      <c r="H243" s="98" t="s">
        <v>207</v>
      </c>
    </row>
    <row r="244" spans="1:8">
      <c r="A244" s="79" t="str">
        <f>LeaveData[[#This Row],[ EMP ID]]&amp;LeaveData[[#This Row],[Date]]</f>
        <v>20232000945490</v>
      </c>
      <c r="B244" s="88">
        <v>202320009</v>
      </c>
      <c r="C244" s="79" t="s">
        <v>143</v>
      </c>
      <c r="D244" s="80">
        <v>45490</v>
      </c>
      <c r="E244" s="79" t="s">
        <v>13</v>
      </c>
      <c r="F244" s="79" t="s">
        <v>118</v>
      </c>
      <c r="G244" s="79"/>
      <c r="H244" s="98" t="s">
        <v>207</v>
      </c>
    </row>
    <row r="245" spans="1:8">
      <c r="A245" s="79" t="str">
        <f>LeaveData[[#This Row],[ EMP ID]]&amp;LeaveData[[#This Row],[Date]]</f>
        <v>20232000945491</v>
      </c>
      <c r="B245" s="88">
        <v>202320009</v>
      </c>
      <c r="C245" s="79" t="s">
        <v>143</v>
      </c>
      <c r="D245" s="80">
        <v>45491</v>
      </c>
      <c r="E245" s="79" t="s">
        <v>13</v>
      </c>
      <c r="F245" s="79" t="s">
        <v>118</v>
      </c>
      <c r="G245" s="79"/>
      <c r="H245" s="98" t="s">
        <v>207</v>
      </c>
    </row>
    <row r="246" spans="1:8">
      <c r="A246" s="79" t="str">
        <f>LeaveData[[#This Row],[ EMP ID]]&amp;LeaveData[[#This Row],[Date]]</f>
        <v>20232000945492</v>
      </c>
      <c r="B246" s="88">
        <v>202320009</v>
      </c>
      <c r="C246" s="79" t="s">
        <v>143</v>
      </c>
      <c r="D246" s="80">
        <v>45492</v>
      </c>
      <c r="E246" s="79" t="s">
        <v>13</v>
      </c>
      <c r="F246" s="79" t="s">
        <v>118</v>
      </c>
      <c r="G246" s="79"/>
      <c r="H246" s="98" t="s">
        <v>207</v>
      </c>
    </row>
    <row r="247" spans="1:8">
      <c r="A247" s="79" t="str">
        <f>LeaveData[[#This Row],[ EMP ID]]&amp;LeaveData[[#This Row],[Date]]</f>
        <v>20232000945493</v>
      </c>
      <c r="B247" s="88">
        <v>202320009</v>
      </c>
      <c r="C247" s="79" t="s">
        <v>143</v>
      </c>
      <c r="D247" s="80">
        <v>45493</v>
      </c>
      <c r="E247" s="79" t="s">
        <v>13</v>
      </c>
      <c r="F247" s="79" t="s">
        <v>118</v>
      </c>
      <c r="G247" s="79"/>
      <c r="H247" s="98" t="s">
        <v>207</v>
      </c>
    </row>
    <row r="248" spans="1:8">
      <c r="A248" s="79" t="str">
        <f>LeaveData[[#This Row],[ EMP ID]]&amp;LeaveData[[#This Row],[Date]]</f>
        <v>20201800645450</v>
      </c>
      <c r="B248" s="88">
        <v>202018006</v>
      </c>
      <c r="C248" s="79" t="s">
        <v>23</v>
      </c>
      <c r="D248" s="80">
        <v>45450</v>
      </c>
      <c r="E248" s="79" t="s">
        <v>13</v>
      </c>
      <c r="F248" s="79" t="s">
        <v>104</v>
      </c>
      <c r="G248" s="79"/>
      <c r="H248" s="79" t="s">
        <v>208</v>
      </c>
    </row>
    <row r="249" spans="1:8">
      <c r="A249" s="79" t="str">
        <f>LeaveData[[#This Row],[ EMP ID]]&amp;LeaveData[[#This Row],[Date]]</f>
        <v>20232001145448</v>
      </c>
      <c r="B249" s="88">
        <v>202320011</v>
      </c>
      <c r="C249" s="79" t="s">
        <v>52</v>
      </c>
      <c r="D249" s="80">
        <v>45448</v>
      </c>
      <c r="E249" s="79" t="s">
        <v>12</v>
      </c>
      <c r="F249" s="86" t="s">
        <v>114</v>
      </c>
      <c r="G249" s="79"/>
      <c r="H249" s="79" t="s">
        <v>5</v>
      </c>
    </row>
    <row r="250" spans="1:8">
      <c r="A250" s="79" t="str">
        <f>LeaveData[[#This Row],[ EMP ID]]&amp;LeaveData[[#This Row],[Date]]</f>
        <v>20232001145449</v>
      </c>
      <c r="B250" s="88">
        <v>202320011</v>
      </c>
      <c r="C250" s="79" t="s">
        <v>52</v>
      </c>
      <c r="D250" s="80">
        <v>45449</v>
      </c>
      <c r="E250" s="79" t="s">
        <v>12</v>
      </c>
      <c r="F250" s="86" t="s">
        <v>114</v>
      </c>
      <c r="G250" s="79"/>
      <c r="H250" s="79" t="s">
        <v>5</v>
      </c>
    </row>
    <row r="251" spans="1:8">
      <c r="A251" s="79" t="str">
        <f>LeaveData[[#This Row],[ EMP ID]]&amp;LeaveData[[#This Row],[Date]]</f>
        <v>20171800145450</v>
      </c>
      <c r="B251" s="88">
        <v>201718001</v>
      </c>
      <c r="C251" s="79" t="s">
        <v>17</v>
      </c>
      <c r="D251" s="80">
        <v>45450</v>
      </c>
      <c r="E251" s="79" t="s">
        <v>13</v>
      </c>
      <c r="F251" s="79" t="s">
        <v>106</v>
      </c>
      <c r="G251" s="79"/>
      <c r="H251" s="79" t="s">
        <v>181</v>
      </c>
    </row>
    <row r="252" spans="1:8">
      <c r="A252" s="79" t="str">
        <f>LeaveData[[#This Row],[ EMP ID]]&amp;LeaveData[[#This Row],[Date]]</f>
        <v>20231802945450</v>
      </c>
      <c r="B252" s="88">
        <v>202318029</v>
      </c>
      <c r="C252" s="79" t="s">
        <v>59</v>
      </c>
      <c r="D252" s="80">
        <v>45450</v>
      </c>
      <c r="E252" s="79" t="s">
        <v>15</v>
      </c>
      <c r="F252" s="79" t="s">
        <v>43</v>
      </c>
      <c r="G252" s="79"/>
      <c r="H252" s="79" t="s">
        <v>209</v>
      </c>
    </row>
    <row r="253" spans="1:8">
      <c r="A253" s="79" t="str">
        <f>LeaveData[[#This Row],[ EMP ID]]&amp;LeaveData[[#This Row],[Date]]</f>
        <v>20231802945478</v>
      </c>
      <c r="B253" s="88">
        <v>202318029</v>
      </c>
      <c r="C253" s="79" t="s">
        <v>59</v>
      </c>
      <c r="D253" s="80">
        <v>45478</v>
      </c>
      <c r="E253" s="79" t="s">
        <v>13</v>
      </c>
      <c r="F253" s="79" t="s">
        <v>43</v>
      </c>
      <c r="G253" s="79"/>
      <c r="H253" s="90" t="s">
        <v>210</v>
      </c>
    </row>
    <row r="254" spans="1:8">
      <c r="A254" s="79" t="str">
        <f>LeaveData[[#This Row],[ EMP ID]]&amp;LeaveData[[#This Row],[Date]]</f>
        <v>20231802945479</v>
      </c>
      <c r="B254" s="88">
        <v>202318029</v>
      </c>
      <c r="C254" s="79" t="s">
        <v>59</v>
      </c>
      <c r="D254" s="80">
        <v>45479</v>
      </c>
      <c r="E254" s="79" t="s">
        <v>13</v>
      </c>
      <c r="F254" s="79" t="s">
        <v>43</v>
      </c>
      <c r="G254" s="79"/>
      <c r="H254" s="90" t="s">
        <v>210</v>
      </c>
    </row>
    <row r="255" spans="1:8">
      <c r="A255" s="79" t="str">
        <f>LeaveData[[#This Row],[ EMP ID]]&amp;LeaveData[[#This Row],[Date]]</f>
        <v>20231802945481</v>
      </c>
      <c r="B255" s="88">
        <v>202318029</v>
      </c>
      <c r="C255" s="79" t="s">
        <v>59</v>
      </c>
      <c r="D255" s="80">
        <v>45481</v>
      </c>
      <c r="E255" s="79" t="s">
        <v>13</v>
      </c>
      <c r="F255" s="79" t="s">
        <v>43</v>
      </c>
      <c r="G255" s="79"/>
      <c r="H255" s="90" t="s">
        <v>210</v>
      </c>
    </row>
    <row r="256" spans="1:8">
      <c r="A256" s="79" t="str">
        <f>LeaveData[[#This Row],[ EMP ID]]&amp;LeaveData[[#This Row],[Date]]</f>
        <v>20231802945482</v>
      </c>
      <c r="B256" s="88">
        <v>202318029</v>
      </c>
      <c r="C256" s="79" t="s">
        <v>59</v>
      </c>
      <c r="D256" s="80">
        <v>45482</v>
      </c>
      <c r="E256" s="79" t="s">
        <v>13</v>
      </c>
      <c r="F256" s="79" t="s">
        <v>43</v>
      </c>
      <c r="G256" s="79"/>
      <c r="H256" s="90" t="s">
        <v>210</v>
      </c>
    </row>
    <row r="257" spans="1:8">
      <c r="A257" s="79" t="str">
        <f>LeaveData[[#This Row],[ EMP ID]]&amp;LeaveData[[#This Row],[Date]]</f>
        <v>20231802945483</v>
      </c>
      <c r="B257" s="88">
        <v>202318029</v>
      </c>
      <c r="C257" s="79" t="s">
        <v>59</v>
      </c>
      <c r="D257" s="80">
        <v>45483</v>
      </c>
      <c r="E257" s="79" t="s">
        <v>13</v>
      </c>
      <c r="F257" s="79" t="s">
        <v>43</v>
      </c>
      <c r="G257" s="79"/>
      <c r="H257" s="90" t="s">
        <v>210</v>
      </c>
    </row>
    <row r="258" spans="1:8">
      <c r="A258" s="79" t="str">
        <f>LeaveData[[#This Row],[ EMP ID]]&amp;LeaveData[[#This Row],[Date]]</f>
        <v>20231802945484</v>
      </c>
      <c r="B258" s="88">
        <v>202318029</v>
      </c>
      <c r="C258" s="79" t="s">
        <v>59</v>
      </c>
      <c r="D258" s="80">
        <v>45484</v>
      </c>
      <c r="E258" s="79" t="s">
        <v>13</v>
      </c>
      <c r="F258" s="79" t="s">
        <v>43</v>
      </c>
      <c r="G258" s="79"/>
      <c r="H258" s="90" t="s">
        <v>210</v>
      </c>
    </row>
    <row r="259" spans="1:8">
      <c r="A259" s="79" t="str">
        <f>LeaveData[[#This Row],[ EMP ID]]&amp;LeaveData[[#This Row],[Date]]</f>
        <v>20231802945485</v>
      </c>
      <c r="B259" s="88">
        <v>202318029</v>
      </c>
      <c r="C259" s="79" t="s">
        <v>59</v>
      </c>
      <c r="D259" s="80">
        <v>45485</v>
      </c>
      <c r="E259" s="79" t="s">
        <v>13</v>
      </c>
      <c r="F259" s="79" t="s">
        <v>43</v>
      </c>
      <c r="G259" s="79"/>
      <c r="H259" s="90" t="s">
        <v>210</v>
      </c>
    </row>
    <row r="260" spans="1:8">
      <c r="A260" s="79" t="str">
        <f>LeaveData[[#This Row],[ EMP ID]]&amp;LeaveData[[#This Row],[Date]]</f>
        <v>20231801745453</v>
      </c>
      <c r="B260" s="88">
        <v>202318017</v>
      </c>
      <c r="C260" s="79" t="s">
        <v>37</v>
      </c>
      <c r="D260" s="80">
        <v>45453</v>
      </c>
      <c r="E260" s="79" t="s">
        <v>130</v>
      </c>
      <c r="F260" s="79" t="s">
        <v>118</v>
      </c>
      <c r="G260" s="79"/>
      <c r="H260" s="79" t="s">
        <v>211</v>
      </c>
    </row>
    <row r="261" spans="1:8">
      <c r="A261" s="79" t="str">
        <f>LeaveData[[#This Row],[ EMP ID]]&amp;LeaveData[[#This Row],[Date]]</f>
        <v>20231801745454</v>
      </c>
      <c r="B261" s="88">
        <v>202318017</v>
      </c>
      <c r="C261" s="79" t="s">
        <v>37</v>
      </c>
      <c r="D261" s="80">
        <v>45454</v>
      </c>
      <c r="E261" s="79" t="s">
        <v>130</v>
      </c>
      <c r="F261" s="79" t="s">
        <v>118</v>
      </c>
      <c r="G261" s="79"/>
      <c r="H261" s="79" t="s">
        <v>211</v>
      </c>
    </row>
    <row r="262" spans="1:8">
      <c r="A262" s="79" t="str">
        <f>LeaveData[[#This Row],[ EMP ID]]&amp;LeaveData[[#This Row],[Date]]</f>
        <v>20231801745455</v>
      </c>
      <c r="B262" s="88">
        <v>202318017</v>
      </c>
      <c r="C262" s="79" t="s">
        <v>37</v>
      </c>
      <c r="D262" s="80">
        <v>45455</v>
      </c>
      <c r="E262" s="79" t="s">
        <v>130</v>
      </c>
      <c r="F262" s="79" t="s">
        <v>118</v>
      </c>
      <c r="G262" s="79"/>
      <c r="H262" s="79" t="s">
        <v>211</v>
      </c>
    </row>
    <row r="263" spans="1:8">
      <c r="A263" s="79" t="str">
        <f>LeaveData[[#This Row],[ EMP ID]]&amp;LeaveData[[#This Row],[Date]]</f>
        <v>20231802845453</v>
      </c>
      <c r="B263" s="88">
        <v>202318028</v>
      </c>
      <c r="C263" s="79" t="s">
        <v>57</v>
      </c>
      <c r="D263" s="80">
        <v>45453</v>
      </c>
      <c r="E263" s="79" t="s">
        <v>12</v>
      </c>
      <c r="F263" s="79" t="s">
        <v>118</v>
      </c>
      <c r="G263" s="79"/>
      <c r="H263" s="79" t="s">
        <v>5</v>
      </c>
    </row>
    <row r="264" spans="1:8">
      <c r="A264" s="79" t="str">
        <f>LeaveData[[#This Row],[ EMP ID]]&amp;LeaveData[[#This Row],[Date]]</f>
        <v>20181800245460</v>
      </c>
      <c r="B264" s="88">
        <v>201818002</v>
      </c>
      <c r="C264" s="79" t="s">
        <v>83</v>
      </c>
      <c r="D264" s="80">
        <v>45460</v>
      </c>
      <c r="E264" s="79" t="s">
        <v>130</v>
      </c>
      <c r="F264" s="79" t="s">
        <v>106</v>
      </c>
      <c r="G264" s="79"/>
      <c r="H264" s="79" t="s">
        <v>211</v>
      </c>
    </row>
    <row r="265" spans="1:8">
      <c r="A265" s="79" t="str">
        <f>LeaveData[[#This Row],[ EMP ID]]&amp;LeaveData[[#This Row],[Date]]</f>
        <v>20181800245461</v>
      </c>
      <c r="B265" s="88">
        <v>201818002</v>
      </c>
      <c r="C265" s="79" t="s">
        <v>83</v>
      </c>
      <c r="D265" s="80">
        <v>45461</v>
      </c>
      <c r="E265" s="79" t="s">
        <v>130</v>
      </c>
      <c r="F265" s="79" t="s">
        <v>106</v>
      </c>
      <c r="G265" s="79"/>
      <c r="H265" s="79" t="s">
        <v>211</v>
      </c>
    </row>
    <row r="266" spans="1:8">
      <c r="A266" s="79" t="str">
        <f>LeaveData[[#This Row],[ EMP ID]]&amp;LeaveData[[#This Row],[Date]]</f>
        <v>20181800245462</v>
      </c>
      <c r="B266" s="88">
        <v>201818002</v>
      </c>
      <c r="C266" s="79" t="s">
        <v>83</v>
      </c>
      <c r="D266" s="80">
        <v>45462</v>
      </c>
      <c r="E266" s="79" t="s">
        <v>130</v>
      </c>
      <c r="F266" s="79" t="s">
        <v>106</v>
      </c>
      <c r="G266" s="79"/>
      <c r="H266" s="79" t="s">
        <v>211</v>
      </c>
    </row>
    <row r="267" spans="1:8">
      <c r="A267" s="79" t="str">
        <f>LeaveData[[#This Row],[ EMP ID]]&amp;LeaveData[[#This Row],[Date]]</f>
        <v>20232000945469</v>
      </c>
      <c r="B267" s="88">
        <v>202320009</v>
      </c>
      <c r="C267" s="79" t="s">
        <v>143</v>
      </c>
      <c r="D267" s="80">
        <v>45469</v>
      </c>
      <c r="E267" s="79" t="s">
        <v>13</v>
      </c>
      <c r="F267" s="79" t="s">
        <v>118</v>
      </c>
      <c r="G267" s="79"/>
      <c r="H267" s="79" t="s">
        <v>212</v>
      </c>
    </row>
    <row r="268" spans="1:8">
      <c r="A268" s="79" t="str">
        <f>LeaveData[[#This Row],[ EMP ID]]&amp;LeaveData[[#This Row],[Date]]</f>
        <v>20232000345468</v>
      </c>
      <c r="B268" s="88">
        <v>202320003</v>
      </c>
      <c r="C268" s="79" t="s">
        <v>33</v>
      </c>
      <c r="D268" s="80">
        <v>45468</v>
      </c>
      <c r="E268" s="79" t="s">
        <v>13</v>
      </c>
      <c r="F268" s="79" t="s">
        <v>104</v>
      </c>
      <c r="G268" s="79"/>
      <c r="H268" s="79" t="s">
        <v>213</v>
      </c>
    </row>
    <row r="269" spans="1:8">
      <c r="A269" s="79" t="str">
        <f>LeaveData[[#This Row],[ EMP ID]]&amp;LeaveData[[#This Row],[Date]]</f>
        <v>20241803545462</v>
      </c>
      <c r="B269" s="88">
        <v>202418035</v>
      </c>
      <c r="C269" s="79" t="s">
        <v>96</v>
      </c>
      <c r="D269" s="80">
        <v>45462</v>
      </c>
      <c r="E269" s="79" t="s">
        <v>199</v>
      </c>
      <c r="F269" s="79" t="s">
        <v>118</v>
      </c>
      <c r="G269" s="79"/>
      <c r="H269" s="79" t="s">
        <v>200</v>
      </c>
    </row>
    <row r="270" spans="1:8">
      <c r="A270" s="79" t="str">
        <f>LeaveData[[#This Row],[ EMP ID]]&amp;LeaveData[[#This Row],[Date]]</f>
        <v>20221803445458</v>
      </c>
      <c r="B270" s="88">
        <v>202218034</v>
      </c>
      <c r="C270" s="99" t="s">
        <v>95</v>
      </c>
      <c r="D270" s="80">
        <v>45458</v>
      </c>
      <c r="E270" s="79" t="s">
        <v>195</v>
      </c>
      <c r="F270" s="79" t="s">
        <v>106</v>
      </c>
      <c r="G270" s="79"/>
      <c r="H270" s="79" t="s">
        <v>214</v>
      </c>
    </row>
    <row r="271" spans="1:8">
      <c r="A271" s="79" t="str">
        <f>LeaveData[[#This Row],[ EMP ID]]&amp;LeaveData[[#This Row],[Date]]</f>
        <v>20232001145473</v>
      </c>
      <c r="B271" s="88">
        <v>202320011</v>
      </c>
      <c r="C271" s="79" t="s">
        <v>52</v>
      </c>
      <c r="D271" s="80">
        <v>45473</v>
      </c>
      <c r="E271" s="79" t="s">
        <v>195</v>
      </c>
      <c r="F271" s="79" t="s">
        <v>106</v>
      </c>
      <c r="G271" s="79"/>
      <c r="H271" s="79" t="s">
        <v>214</v>
      </c>
    </row>
    <row r="272" spans="1:8">
      <c r="A272" s="79" t="str">
        <f>LeaveData[[#This Row],[ EMP ID]]&amp;LeaveData[[#This Row],[Date]]</f>
        <v>20231801645471</v>
      </c>
      <c r="B272" s="88">
        <v>202318016</v>
      </c>
      <c r="C272" s="79" t="s">
        <v>36</v>
      </c>
      <c r="D272" s="80">
        <v>45471</v>
      </c>
      <c r="E272" s="79" t="s">
        <v>12</v>
      </c>
      <c r="F272" s="86" t="s">
        <v>114</v>
      </c>
      <c r="G272" s="79"/>
      <c r="H272" s="79" t="s">
        <v>5</v>
      </c>
    </row>
    <row r="273" spans="1:8">
      <c r="A273" s="79" t="str">
        <f>LeaveData[[#This Row],[ EMP ID]]&amp;LeaveData[[#This Row],[Date]]</f>
        <v>20211800845475</v>
      </c>
      <c r="B273" s="79">
        <v>202118008</v>
      </c>
      <c r="C273" s="79" t="s">
        <v>25</v>
      </c>
      <c r="D273" s="80">
        <v>45475</v>
      </c>
      <c r="E273" s="79" t="s">
        <v>13</v>
      </c>
      <c r="F273" s="79" t="s">
        <v>128</v>
      </c>
      <c r="G273" s="79"/>
      <c r="H273" s="79" t="s">
        <v>215</v>
      </c>
    </row>
    <row r="274" spans="1:8">
      <c r="A274" s="79" t="str">
        <f>LeaveData[[#This Row],[ EMP ID]]&amp;LeaveData[[#This Row],[Date]]</f>
        <v>20232000345481</v>
      </c>
      <c r="B274" s="79">
        <v>202320003</v>
      </c>
      <c r="C274" s="79" t="s">
        <v>86</v>
      </c>
      <c r="D274" s="80">
        <v>45481</v>
      </c>
      <c r="E274" s="79" t="s">
        <v>216</v>
      </c>
      <c r="F274" s="79" t="s">
        <v>104</v>
      </c>
      <c r="G274" s="79"/>
      <c r="H274" s="79" t="s">
        <v>217</v>
      </c>
    </row>
    <row r="275" spans="1:8">
      <c r="A275" s="79" t="str">
        <f>LeaveData[[#This Row],[ EMP ID]]&amp;LeaveData[[#This Row],[Date]]</f>
        <v>20231801745473</v>
      </c>
      <c r="B275" s="79">
        <v>202318017</v>
      </c>
      <c r="C275" s="79" t="s">
        <v>37</v>
      </c>
      <c r="D275" s="80">
        <v>45473</v>
      </c>
      <c r="E275" s="79" t="s">
        <v>154</v>
      </c>
      <c r="F275" s="79" t="s">
        <v>118</v>
      </c>
      <c r="G275" s="79"/>
      <c r="H275" s="79" t="s">
        <v>218</v>
      </c>
    </row>
    <row r="276" spans="1:8">
      <c r="A276" s="79" t="str">
        <f>LeaveData[[#This Row],[ EMP ID]]&amp;LeaveData[[#This Row],[Date]]</f>
        <v>20232000345482</v>
      </c>
      <c r="B276" s="79">
        <v>202320003</v>
      </c>
      <c r="C276" s="79" t="s">
        <v>86</v>
      </c>
      <c r="D276" s="80">
        <v>45482</v>
      </c>
      <c r="E276" s="79" t="s">
        <v>216</v>
      </c>
      <c r="F276" s="79" t="s">
        <v>104</v>
      </c>
      <c r="G276" s="79"/>
      <c r="H276" s="79" t="s">
        <v>217</v>
      </c>
    </row>
    <row r="277" spans="1:8">
      <c r="A277" s="79" t="str">
        <f>LeaveData[[#This Row],[ EMP ID]]&amp;LeaveData[[#This Row],[Date]]</f>
        <v>20242001545479</v>
      </c>
      <c r="B277" s="79">
        <v>202420015</v>
      </c>
      <c r="C277" s="79" t="s">
        <v>64</v>
      </c>
      <c r="D277" s="80">
        <v>45479</v>
      </c>
      <c r="E277" s="79" t="s">
        <v>13</v>
      </c>
      <c r="F277" s="79" t="s">
        <v>111</v>
      </c>
      <c r="G277" s="79"/>
      <c r="H277" s="79" t="s">
        <v>105</v>
      </c>
    </row>
    <row r="278" spans="1:8">
      <c r="A278" s="79" t="str">
        <f>LeaveData[[#This Row],[ EMP ID]]&amp;LeaveData[[#This Row],[Date]]</f>
        <v>20242001545481</v>
      </c>
      <c r="B278" s="79">
        <v>202420015</v>
      </c>
      <c r="C278" s="79" t="s">
        <v>64</v>
      </c>
      <c r="D278" s="80">
        <v>45481</v>
      </c>
      <c r="E278" s="79" t="s">
        <v>13</v>
      </c>
      <c r="F278" s="79" t="s">
        <v>111</v>
      </c>
      <c r="G278" s="79"/>
      <c r="H278" s="79" t="s">
        <v>105</v>
      </c>
    </row>
    <row r="279" spans="1:8">
      <c r="A279" s="79" t="str">
        <f>LeaveData[[#This Row],[ EMP ID]]&amp;LeaveData[[#This Row],[Date]]</f>
        <v>20242001545482</v>
      </c>
      <c r="B279" s="79">
        <v>202420015</v>
      </c>
      <c r="C279" s="79" t="s">
        <v>64</v>
      </c>
      <c r="D279" s="80">
        <v>45482</v>
      </c>
      <c r="E279" s="79" t="s">
        <v>13</v>
      </c>
      <c r="F279" s="79" t="s">
        <v>111</v>
      </c>
      <c r="G279" s="79"/>
      <c r="H279" s="79" t="s">
        <v>105</v>
      </c>
    </row>
    <row r="280" spans="1:8">
      <c r="A280" s="79" t="str">
        <f>LeaveData[[#This Row],[ EMP ID]]&amp;LeaveData[[#This Row],[Date]]</f>
        <v>20242001545483</v>
      </c>
      <c r="B280" s="79">
        <v>202420015</v>
      </c>
      <c r="C280" s="79" t="s">
        <v>64</v>
      </c>
      <c r="D280" s="80">
        <v>45483</v>
      </c>
      <c r="E280" s="79" t="s">
        <v>13</v>
      </c>
      <c r="F280" s="79" t="s">
        <v>111</v>
      </c>
      <c r="G280" s="79"/>
      <c r="H280" s="79" t="s">
        <v>105</v>
      </c>
    </row>
    <row r="281" spans="1:8">
      <c r="A281" s="79" t="str">
        <f>LeaveData[[#This Row],[ EMP ID]]&amp;LeaveData[[#This Row],[Date]]</f>
        <v>20242001545484</v>
      </c>
      <c r="B281" s="79">
        <v>202420015</v>
      </c>
      <c r="C281" s="79" t="s">
        <v>64</v>
      </c>
      <c r="D281" s="80">
        <v>45484</v>
      </c>
      <c r="E281" s="79" t="s">
        <v>13</v>
      </c>
      <c r="F281" s="79" t="s">
        <v>111</v>
      </c>
      <c r="G281" s="79"/>
      <c r="H281" s="79" t="s">
        <v>105</v>
      </c>
    </row>
    <row r="282" spans="1:8">
      <c r="A282" s="79" t="str">
        <f>LeaveData[[#This Row],[ EMP ID]]&amp;LeaveData[[#This Row],[Date]]</f>
        <v>20242001545485</v>
      </c>
      <c r="B282" s="79">
        <v>202420015</v>
      </c>
      <c r="C282" s="79" t="s">
        <v>64</v>
      </c>
      <c r="D282" s="80">
        <v>45485</v>
      </c>
      <c r="E282" s="79" t="s">
        <v>13</v>
      </c>
      <c r="F282" s="79" t="s">
        <v>111</v>
      </c>
      <c r="G282" s="79"/>
      <c r="H282" s="79" t="s">
        <v>105</v>
      </c>
    </row>
    <row r="283" spans="1:8">
      <c r="A283" s="79" t="str">
        <f>LeaveData[[#This Row],[ EMP ID]]&amp;LeaveData[[#This Row],[Date]]</f>
        <v>20241803545488</v>
      </c>
      <c r="B283" s="79">
        <v>202418035</v>
      </c>
      <c r="C283" s="79" t="s">
        <v>96</v>
      </c>
      <c r="D283" s="80">
        <v>45488</v>
      </c>
      <c r="E283" s="79" t="s">
        <v>13</v>
      </c>
      <c r="F283" s="79" t="s">
        <v>118</v>
      </c>
      <c r="G283" s="79"/>
      <c r="H283" s="79" t="s">
        <v>219</v>
      </c>
    </row>
    <row r="284" spans="1:8">
      <c r="A284" s="79" t="str">
        <f>LeaveData[[#This Row],[ EMP ID]]&amp;LeaveData[[#This Row],[Date]]</f>
        <v>20241803545489</v>
      </c>
      <c r="B284" s="79">
        <v>202418035</v>
      </c>
      <c r="C284" s="79" t="s">
        <v>96</v>
      </c>
      <c r="D284" s="80">
        <v>45489</v>
      </c>
      <c r="E284" s="79" t="s">
        <v>13</v>
      </c>
      <c r="F284" s="79" t="s">
        <v>118</v>
      </c>
      <c r="G284" s="79"/>
      <c r="H284" s="79" t="s">
        <v>219</v>
      </c>
    </row>
    <row r="285" spans="1:8">
      <c r="A285" s="79" t="str">
        <f>LeaveData[[#This Row],[ EMP ID]]&amp;LeaveData[[#This Row],[Date]]</f>
        <v>20241803545490</v>
      </c>
      <c r="B285" s="79">
        <v>202418035</v>
      </c>
      <c r="C285" s="79" t="s">
        <v>96</v>
      </c>
      <c r="D285" s="80">
        <v>45490</v>
      </c>
      <c r="E285" s="79" t="s">
        <v>13</v>
      </c>
      <c r="F285" s="79" t="s">
        <v>118</v>
      </c>
      <c r="G285" s="79"/>
      <c r="H285" s="79" t="s">
        <v>219</v>
      </c>
    </row>
    <row r="286" spans="1:8">
      <c r="A286" s="79" t="str">
        <f>LeaveData[[#This Row],[ EMP ID]]&amp;LeaveData[[#This Row],[Date]]</f>
        <v>20241803545479</v>
      </c>
      <c r="B286" s="79">
        <v>202418035</v>
      </c>
      <c r="C286" s="79" t="s">
        <v>96</v>
      </c>
      <c r="D286" s="80">
        <v>45479</v>
      </c>
      <c r="E286" s="79" t="s">
        <v>14</v>
      </c>
      <c r="F286" s="79" t="s">
        <v>118</v>
      </c>
      <c r="G286" s="79"/>
      <c r="H286" s="79" t="s">
        <v>220</v>
      </c>
    </row>
    <row r="287" spans="1:8">
      <c r="A287" s="79" t="str">
        <f>LeaveData[[#This Row],[ EMP ID]]&amp;LeaveData[[#This Row],[Date]]</f>
        <v>20242100145455</v>
      </c>
      <c r="B287" s="79">
        <v>202421001</v>
      </c>
      <c r="C287" s="79" t="s">
        <v>221</v>
      </c>
      <c r="D287" s="80">
        <v>45455</v>
      </c>
      <c r="E287" s="79" t="s">
        <v>199</v>
      </c>
      <c r="F287" s="79" t="s">
        <v>206</v>
      </c>
      <c r="G287" s="79"/>
      <c r="H287" s="79" t="s">
        <v>222</v>
      </c>
    </row>
    <row r="288" spans="1:8">
      <c r="A288" s="79" t="str">
        <f>LeaveData[[#This Row],[ EMP ID]]&amp;LeaveData[[#This Row],[Date]]</f>
        <v>20242100245455</v>
      </c>
      <c r="B288" s="79">
        <v>202421002</v>
      </c>
      <c r="C288" s="79" t="s">
        <v>223</v>
      </c>
      <c r="D288" s="80">
        <v>45455</v>
      </c>
      <c r="E288" s="79" t="s">
        <v>199</v>
      </c>
      <c r="F288" s="79" t="s">
        <v>206</v>
      </c>
      <c r="G288" s="79"/>
      <c r="H288" s="79" t="s">
        <v>222</v>
      </c>
    </row>
    <row r="289" spans="1:8">
      <c r="A289" s="79" t="str">
        <f>LeaveData[[#This Row],[ EMP ID]]&amp;LeaveData[[#This Row],[Date]]</f>
        <v>20221801045488</v>
      </c>
      <c r="B289" s="79">
        <v>202218010</v>
      </c>
      <c r="C289" s="79" t="s">
        <v>27</v>
      </c>
      <c r="D289" s="80">
        <v>45488</v>
      </c>
      <c r="E289" s="79" t="s">
        <v>13</v>
      </c>
      <c r="F289" s="79" t="s">
        <v>118</v>
      </c>
      <c r="G289" s="79"/>
      <c r="H289" s="79" t="s">
        <v>224</v>
      </c>
    </row>
    <row r="290" spans="1:8">
      <c r="A290" s="79" t="str">
        <f>LeaveData[[#This Row],[ EMP ID]]&amp;LeaveData[[#This Row],[Date]]</f>
        <v>20182000145478</v>
      </c>
      <c r="B290" s="79">
        <v>201820001</v>
      </c>
      <c r="C290" s="79" t="s">
        <v>18</v>
      </c>
      <c r="D290" s="80">
        <v>45478</v>
      </c>
      <c r="E290" s="79" t="s">
        <v>12</v>
      </c>
      <c r="F290" s="79" t="s">
        <v>118</v>
      </c>
      <c r="G290" s="79"/>
      <c r="H290" s="79" t="s">
        <v>5</v>
      </c>
    </row>
    <row r="291" spans="1:8">
      <c r="A291" s="79" t="str">
        <f>LeaveData[[#This Row],[ EMP ID]]&amp;LeaveData[[#This Row],[Date]]</f>
        <v>20182000145479</v>
      </c>
      <c r="B291" s="79">
        <v>201820001</v>
      </c>
      <c r="C291" s="79" t="s">
        <v>18</v>
      </c>
      <c r="D291" s="80">
        <v>45479</v>
      </c>
      <c r="E291" s="79" t="s">
        <v>13</v>
      </c>
      <c r="F291" s="79" t="s">
        <v>118</v>
      </c>
      <c r="G291" s="79"/>
      <c r="H291" s="79" t="s">
        <v>225</v>
      </c>
    </row>
    <row r="292" spans="1:8">
      <c r="A292" s="79" t="str">
        <f>LeaveData[[#This Row],[ EMP ID]]&amp;LeaveData[[#This Row],[Date]]</f>
        <v>20232000545481</v>
      </c>
      <c r="B292" s="79">
        <v>202320005</v>
      </c>
      <c r="C292" s="79" t="s">
        <v>38</v>
      </c>
      <c r="D292" s="80">
        <v>45481</v>
      </c>
      <c r="E292" s="79" t="s">
        <v>13</v>
      </c>
      <c r="F292" s="79" t="s">
        <v>118</v>
      </c>
      <c r="G292" s="79"/>
      <c r="H292" s="90" t="s">
        <v>226</v>
      </c>
    </row>
    <row r="293" spans="1:8">
      <c r="A293" s="79" t="str">
        <f>LeaveData[[#This Row],[ EMP ID]]&amp;LeaveData[[#This Row],[Date]]</f>
        <v>20231802545478</v>
      </c>
      <c r="B293" s="79">
        <v>202318025</v>
      </c>
      <c r="C293" s="79" t="s">
        <v>122</v>
      </c>
      <c r="D293" s="80">
        <v>45478</v>
      </c>
      <c r="E293" s="79" t="s">
        <v>14</v>
      </c>
      <c r="F293" s="79" t="s">
        <v>125</v>
      </c>
      <c r="G293" s="79"/>
      <c r="H293" s="79" t="s">
        <v>169</v>
      </c>
    </row>
    <row r="294" spans="1:8">
      <c r="A294" s="79" t="str">
        <f>LeaveData[[#This Row],[ EMP ID]]&amp;LeaveData[[#This Row],[Date]]</f>
        <v>20221801145485</v>
      </c>
      <c r="B294" s="79">
        <v>202218011</v>
      </c>
      <c r="C294" s="79" t="s">
        <v>28</v>
      </c>
      <c r="D294" s="80">
        <v>45485</v>
      </c>
      <c r="E294" s="79" t="s">
        <v>13</v>
      </c>
      <c r="F294" s="79" t="s">
        <v>27</v>
      </c>
      <c r="G294" s="79"/>
      <c r="H294" s="79" t="s">
        <v>227</v>
      </c>
    </row>
    <row r="295" spans="1:8">
      <c r="A295" s="79" t="str">
        <f>LeaveData[[#This Row],[ EMP ID]]&amp;LeaveData[[#This Row],[Date]]</f>
        <v>20231802845478</v>
      </c>
      <c r="B295" s="79">
        <v>202318028</v>
      </c>
      <c r="C295" s="79" t="s">
        <v>57</v>
      </c>
      <c r="D295" s="80">
        <v>45478</v>
      </c>
      <c r="E295" s="79" t="s">
        <v>13</v>
      </c>
      <c r="F295" s="79" t="s">
        <v>118</v>
      </c>
      <c r="G295" s="79"/>
      <c r="H295" s="79" t="s">
        <v>228</v>
      </c>
    </row>
    <row r="296" spans="1:8">
      <c r="A296" s="79" t="str">
        <f>LeaveData[[#This Row],[ EMP ID]]&amp;LeaveData[[#This Row],[Date]]</f>
        <v>20231802345485</v>
      </c>
      <c r="B296" s="79">
        <v>202318023</v>
      </c>
      <c r="C296" s="79" t="s">
        <v>148</v>
      </c>
      <c r="D296" s="80">
        <v>45485</v>
      </c>
      <c r="E296" s="79" t="s">
        <v>14</v>
      </c>
      <c r="F296" s="79" t="s">
        <v>128</v>
      </c>
      <c r="G296" s="79"/>
      <c r="H296" s="79" t="s">
        <v>229</v>
      </c>
    </row>
    <row r="297" spans="1:8">
      <c r="A297" s="79" t="str">
        <f>LeaveData[[#This Row],[ EMP ID]]&amp;LeaveData[[#This Row],[Date]]</f>
        <v>20221801245477</v>
      </c>
      <c r="B297" s="79">
        <v>202218012</v>
      </c>
      <c r="C297" s="79" t="s">
        <v>29</v>
      </c>
      <c r="D297" s="80">
        <v>45477</v>
      </c>
      <c r="E297" s="79" t="s">
        <v>12</v>
      </c>
      <c r="F297" s="79" t="s">
        <v>118</v>
      </c>
      <c r="G297" s="79"/>
      <c r="H297" s="79" t="s">
        <v>5</v>
      </c>
    </row>
    <row r="298" spans="1:8">
      <c r="A298" s="79" t="str">
        <f>LeaveData[[#This Row],[ EMP ID]]&amp;LeaveData[[#This Row],[Date]]</f>
        <v>20201800645485</v>
      </c>
      <c r="B298" s="79">
        <v>202018006</v>
      </c>
      <c r="C298" s="79" t="s">
        <v>23</v>
      </c>
      <c r="D298" s="80">
        <v>45485</v>
      </c>
      <c r="E298" s="79" t="s">
        <v>13</v>
      </c>
      <c r="F298" s="79" t="s">
        <v>104</v>
      </c>
      <c r="G298" s="79"/>
      <c r="H298" s="79" t="s">
        <v>169</v>
      </c>
    </row>
    <row r="299" spans="1:8">
      <c r="A299" s="79" t="str">
        <f>LeaveData[[#This Row],[ EMP ID]]&amp;LeaveData[[#This Row],[Date]]</f>
        <v>20201800645488</v>
      </c>
      <c r="B299" s="79">
        <v>202018006</v>
      </c>
      <c r="C299" s="79" t="s">
        <v>23</v>
      </c>
      <c r="D299" s="80">
        <v>45488</v>
      </c>
      <c r="E299" s="79" t="s">
        <v>13</v>
      </c>
      <c r="F299" s="79" t="s">
        <v>104</v>
      </c>
      <c r="G299" s="79"/>
      <c r="H299" s="79" t="s">
        <v>169</v>
      </c>
    </row>
    <row r="300" spans="1:8">
      <c r="A300" s="79" t="str">
        <f>LeaveData[[#This Row],[ EMP ID]]&amp;LeaveData[[#This Row],[Date]]</f>
        <v>20171800145485</v>
      </c>
      <c r="B300" s="79">
        <v>201718001</v>
      </c>
      <c r="C300" s="79" t="s">
        <v>17</v>
      </c>
      <c r="D300" s="80">
        <v>45485</v>
      </c>
      <c r="E300" s="79" t="s">
        <v>13</v>
      </c>
      <c r="F300" s="79" t="s">
        <v>106</v>
      </c>
      <c r="G300" s="79"/>
      <c r="H300" s="79" t="s">
        <v>230</v>
      </c>
    </row>
    <row r="301" spans="1:8">
      <c r="A301" s="79" t="str">
        <f>LeaveData[[#This Row],[ EMP ID]]&amp;LeaveData[[#This Row],[Date]]</f>
        <v>20221801145489</v>
      </c>
      <c r="B301" s="79">
        <v>202218011</v>
      </c>
      <c r="C301" s="79" t="s">
        <v>28</v>
      </c>
      <c r="D301" s="80">
        <v>45489</v>
      </c>
      <c r="E301" s="79" t="s">
        <v>12</v>
      </c>
      <c r="F301" s="79" t="s">
        <v>27</v>
      </c>
      <c r="G301" s="79"/>
      <c r="H301" s="79" t="s">
        <v>5</v>
      </c>
    </row>
    <row r="302" spans="1:8">
      <c r="A302" s="79" t="str">
        <f>LeaveData[[#This Row],[ EMP ID]]&amp;LeaveData[[#This Row],[Date]]</f>
        <v>20221800945489</v>
      </c>
      <c r="B302" s="79">
        <v>202218009</v>
      </c>
      <c r="C302" s="79" t="s">
        <v>26</v>
      </c>
      <c r="D302" s="80">
        <v>45489</v>
      </c>
      <c r="E302" s="79" t="s">
        <v>12</v>
      </c>
      <c r="F302" s="79" t="s">
        <v>118</v>
      </c>
      <c r="G302" s="79"/>
      <c r="H302" s="79" t="s">
        <v>5</v>
      </c>
    </row>
    <row r="303" spans="1:8">
      <c r="A303" s="79" t="str">
        <f>LeaveData[[#This Row],[ EMP ID]]&amp;LeaveData[[#This Row],[Date]]</f>
        <v>20240100145486</v>
      </c>
      <c r="B303" s="79">
        <v>202401001</v>
      </c>
      <c r="C303" s="79" t="s">
        <v>61</v>
      </c>
      <c r="D303" s="80">
        <v>45486</v>
      </c>
      <c r="E303" s="79" t="s">
        <v>154</v>
      </c>
      <c r="F303" s="79" t="s">
        <v>43</v>
      </c>
      <c r="G303" s="79"/>
      <c r="H303" s="79"/>
    </row>
    <row r="304" spans="1:8">
      <c r="A304" s="79" t="str">
        <f>LeaveData[[#This Row],[ EMP ID]]&amp;LeaveData[[#This Row],[Date]]</f>
        <v>20240100145489</v>
      </c>
      <c r="B304" s="79">
        <v>202401001</v>
      </c>
      <c r="C304" s="79" t="s">
        <v>61</v>
      </c>
      <c r="D304" s="80">
        <v>45489</v>
      </c>
      <c r="E304" s="79" t="s">
        <v>13</v>
      </c>
      <c r="F304" s="79" t="s">
        <v>43</v>
      </c>
      <c r="G304" s="79"/>
      <c r="H304" s="79"/>
    </row>
    <row r="305" spans="1:8">
      <c r="A305" s="79" t="str">
        <f>LeaveData[[#This Row],[ EMP ID]]&amp;LeaveData[[#This Row],[Date]]</f>
        <v>20240100145480</v>
      </c>
      <c r="B305" s="79">
        <v>202401001</v>
      </c>
      <c r="C305" s="79" t="s">
        <v>61</v>
      </c>
      <c r="D305" s="80">
        <v>45480</v>
      </c>
      <c r="E305" s="79" t="s">
        <v>154</v>
      </c>
      <c r="F305" s="79" t="s">
        <v>43</v>
      </c>
      <c r="G305" s="79"/>
      <c r="H305" s="79"/>
    </row>
    <row r="306" spans="1:8">
      <c r="A306" s="79" t="str">
        <f>LeaveData[[#This Row],[ EMP ID]]&amp;LeaveData[[#This Row],[Date]]</f>
        <v>20240100145485</v>
      </c>
      <c r="B306" s="79">
        <v>202401001</v>
      </c>
      <c r="C306" s="79" t="s">
        <v>61</v>
      </c>
      <c r="D306" s="80">
        <v>45485</v>
      </c>
      <c r="E306" s="79" t="s">
        <v>13</v>
      </c>
      <c r="F306" s="79" t="s">
        <v>125</v>
      </c>
      <c r="G306" s="79"/>
      <c r="H306" s="79"/>
    </row>
    <row r="307" spans="1:8">
      <c r="A307" s="79" t="str">
        <f>LeaveData[[#This Row],[ EMP ID]]&amp;LeaveData[[#This Row],[Date]]</f>
        <v>20231801945491</v>
      </c>
      <c r="B307" s="79">
        <v>202318019</v>
      </c>
      <c r="C307" s="79" t="s">
        <v>89</v>
      </c>
      <c r="D307" s="80">
        <v>45491</v>
      </c>
      <c r="E307" s="79" t="s">
        <v>12</v>
      </c>
      <c r="F307" s="86" t="s">
        <v>114</v>
      </c>
      <c r="G307" s="79"/>
      <c r="H307" s="79" t="s">
        <v>5</v>
      </c>
    </row>
    <row r="308" spans="1:8">
      <c r="A308" s="79" t="str">
        <f>LeaveData[[#This Row],[ EMP ID]]&amp;LeaveData[[#This Row],[Date]]</f>
        <v>20221801345493</v>
      </c>
      <c r="B308" s="79">
        <v>202218013</v>
      </c>
      <c r="C308" s="79" t="s">
        <v>85</v>
      </c>
      <c r="D308" s="80">
        <v>45493</v>
      </c>
      <c r="E308" s="79" t="s">
        <v>13</v>
      </c>
      <c r="F308" s="79" t="s">
        <v>118</v>
      </c>
      <c r="G308" s="79"/>
      <c r="H308" s="90" t="s">
        <v>231</v>
      </c>
    </row>
    <row r="309" spans="1:8">
      <c r="A309" s="79" t="str">
        <f>LeaveData[[#This Row],[ EMP ID]]&amp;LeaveData[[#This Row],[Date]]</f>
        <v>20231802145493</v>
      </c>
      <c r="B309" s="79">
        <v>202318021</v>
      </c>
      <c r="C309" s="79" t="s">
        <v>91</v>
      </c>
      <c r="D309" s="80">
        <v>45493</v>
      </c>
      <c r="E309" s="79" t="s">
        <v>13</v>
      </c>
      <c r="F309" s="79" t="s">
        <v>43</v>
      </c>
      <c r="G309" s="79"/>
      <c r="H309" s="79" t="s">
        <v>105</v>
      </c>
    </row>
    <row r="310" spans="1:8">
      <c r="A310" s="79" t="str">
        <f>LeaveData[[#This Row],[ EMP ID]]&amp;LeaveData[[#This Row],[Date]]</f>
        <v>20231801645493</v>
      </c>
      <c r="B310" s="79">
        <v>202318016</v>
      </c>
      <c r="C310" s="79" t="s">
        <v>36</v>
      </c>
      <c r="D310" s="80">
        <v>45493</v>
      </c>
      <c r="E310" s="79" t="s">
        <v>13</v>
      </c>
      <c r="F310" s="86" t="s">
        <v>114</v>
      </c>
      <c r="G310" s="79"/>
      <c r="H310" s="79" t="s">
        <v>116</v>
      </c>
    </row>
    <row r="311" spans="1:8">
      <c r="A311" s="79" t="str">
        <f>LeaveData[[#This Row],[ EMP ID]]&amp;LeaveData[[#This Row],[Date]]</f>
        <v>20221800945492</v>
      </c>
      <c r="B311" s="79">
        <v>202218009</v>
      </c>
      <c r="C311" s="79" t="s">
        <v>26</v>
      </c>
      <c r="D311" s="80">
        <v>45492</v>
      </c>
      <c r="E311" s="79" t="s">
        <v>12</v>
      </c>
      <c r="F311" s="79" t="s">
        <v>29</v>
      </c>
      <c r="G311" s="79"/>
      <c r="H311" s="79" t="s">
        <v>5</v>
      </c>
    </row>
    <row r="312" spans="1:8">
      <c r="A312" s="79" t="str">
        <f>LeaveData[[#This Row],[ EMP ID]]&amp;LeaveData[[#This Row],[Date]]</f>
        <v>20241803645495</v>
      </c>
      <c r="B312" s="79">
        <v>202418036</v>
      </c>
      <c r="C312" s="79" t="s">
        <v>232</v>
      </c>
      <c r="D312" s="80">
        <v>45495</v>
      </c>
      <c r="E312" s="79" t="s">
        <v>199</v>
      </c>
      <c r="F312" s="79" t="s">
        <v>29</v>
      </c>
      <c r="G312" s="79"/>
      <c r="H312" s="79" t="s">
        <v>233</v>
      </c>
    </row>
    <row r="313" spans="1:8">
      <c r="A313" s="79" t="str">
        <f>LeaveData[[#This Row],[ EMP ID]]&amp;LeaveData[[#This Row],[Date]]</f>
        <v>20201800645495</v>
      </c>
      <c r="B313" s="79">
        <v>202018006</v>
      </c>
      <c r="C313" s="79" t="s">
        <v>23</v>
      </c>
      <c r="D313" s="80">
        <v>45495</v>
      </c>
      <c r="E313" s="79" t="s">
        <v>13</v>
      </c>
      <c r="F313" s="79" t="s">
        <v>104</v>
      </c>
      <c r="G313" s="79"/>
      <c r="H313" s="79" t="s">
        <v>169</v>
      </c>
    </row>
    <row r="314" spans="1:8">
      <c r="A314" s="79" t="str">
        <f>LeaveData[[#This Row],[ EMP ID]]&amp;LeaveData[[#This Row],[Date]]</f>
        <v>20232000745496</v>
      </c>
      <c r="B314" s="79">
        <v>202320007</v>
      </c>
      <c r="C314" s="79" t="s">
        <v>183</v>
      </c>
      <c r="D314" s="80">
        <v>45496</v>
      </c>
      <c r="E314" s="79" t="s">
        <v>14</v>
      </c>
      <c r="F314" s="79" t="s">
        <v>104</v>
      </c>
      <c r="G314" s="79"/>
      <c r="H314" s="79" t="s">
        <v>105</v>
      </c>
    </row>
    <row r="315" spans="1:8">
      <c r="A315" s="79" t="str">
        <f>LeaveData[[#This Row],[ EMP ID]]&amp;LeaveData[[#This Row],[Date]]</f>
        <v>20241803645496</v>
      </c>
      <c r="B315" s="79">
        <v>202418036</v>
      </c>
      <c r="C315" s="79" t="s">
        <v>232</v>
      </c>
      <c r="D315" s="80">
        <v>45496</v>
      </c>
      <c r="E315" s="79" t="s">
        <v>12</v>
      </c>
      <c r="F315" s="79" t="s">
        <v>118</v>
      </c>
      <c r="G315" s="79"/>
      <c r="H315" s="79" t="s">
        <v>5</v>
      </c>
    </row>
    <row r="316" spans="1:8">
      <c r="A316" s="79" t="str">
        <f>LeaveData[[#This Row],[ EMP ID]]&amp;LeaveData[[#This Row],[Date]]</f>
        <v>20211800745502</v>
      </c>
      <c r="B316" s="79">
        <v>202118007</v>
      </c>
      <c r="C316" s="86" t="s">
        <v>103</v>
      </c>
      <c r="D316" s="80">
        <v>45502</v>
      </c>
      <c r="E316" s="79" t="s">
        <v>13</v>
      </c>
      <c r="F316" s="79" t="s">
        <v>104</v>
      </c>
      <c r="G316" s="79"/>
      <c r="H316" s="79" t="s">
        <v>168</v>
      </c>
    </row>
    <row r="317" spans="1:8">
      <c r="A317" s="79" t="str">
        <f>LeaveData[[#This Row],[ EMP ID]]&amp;LeaveData[[#This Row],[Date]]</f>
        <v>20211800745503</v>
      </c>
      <c r="B317" s="79">
        <v>202118007</v>
      </c>
      <c r="C317" s="86" t="s">
        <v>103</v>
      </c>
      <c r="D317" s="80">
        <v>45503</v>
      </c>
      <c r="E317" s="79" t="s">
        <v>13</v>
      </c>
      <c r="F317" s="79" t="s">
        <v>104</v>
      </c>
      <c r="G317" s="79"/>
      <c r="H317" s="79" t="s">
        <v>168</v>
      </c>
    </row>
    <row r="318" spans="1:8">
      <c r="A318" s="79" t="str">
        <f>LeaveData[[#This Row],[ EMP ID]]&amp;LeaveData[[#This Row],[Date]]</f>
        <v>20182000145497</v>
      </c>
      <c r="B318" s="79">
        <v>201820001</v>
      </c>
      <c r="C318" s="79" t="s">
        <v>18</v>
      </c>
      <c r="D318" s="80">
        <v>45497</v>
      </c>
      <c r="E318" s="79" t="s">
        <v>14</v>
      </c>
      <c r="F318" s="79" t="s">
        <v>118</v>
      </c>
      <c r="G318" s="79"/>
      <c r="H318" s="79" t="s">
        <v>234</v>
      </c>
    </row>
    <row r="319" spans="1:8">
      <c r="A319" s="79" t="str">
        <f>LeaveData[[#This Row],[ EMP ID]]&amp;LeaveData[[#This Row],[Date]]</f>
        <v>20211800745499</v>
      </c>
      <c r="B319" s="79">
        <f>VLOOKUP(LeaveData[[#This Row],[ Name]],EEMaster[#All],2,0)</f>
        <v>202118007</v>
      </c>
      <c r="C319" s="79" t="s">
        <v>103</v>
      </c>
      <c r="D319" s="80">
        <v>45499</v>
      </c>
      <c r="E319" s="79" t="s">
        <v>12</v>
      </c>
      <c r="F319" s="79" t="s">
        <v>104</v>
      </c>
      <c r="G319" s="79"/>
      <c r="H319" s="79" t="s">
        <v>5</v>
      </c>
    </row>
    <row r="320" spans="1:8">
      <c r="A320" s="100" t="str">
        <f>LeaveData[[#This Row],[ EMP ID]]&amp;LeaveData[[#This Row],[Date]]</f>
        <v>20231801945506</v>
      </c>
      <c r="B320" s="100">
        <v>202318019</v>
      </c>
      <c r="C320" s="100" t="s">
        <v>89</v>
      </c>
      <c r="D320" s="101">
        <v>45506</v>
      </c>
      <c r="E320" s="100" t="s">
        <v>13</v>
      </c>
      <c r="F320" s="100" t="s">
        <v>235</v>
      </c>
      <c r="G320" s="100"/>
      <c r="H320" s="100" t="s">
        <v>169</v>
      </c>
    </row>
    <row r="321" spans="1:8">
      <c r="A321" s="100" t="str">
        <f>LeaveData[[#This Row],[ EMP ID]]&amp;LeaveData[[#This Row],[Date]]</f>
        <v>20231801945507</v>
      </c>
      <c r="B321" s="100">
        <v>202318019</v>
      </c>
      <c r="C321" s="100" t="s">
        <v>89</v>
      </c>
      <c r="D321" s="101">
        <v>45507</v>
      </c>
      <c r="E321" s="100" t="s">
        <v>13</v>
      </c>
      <c r="F321" s="100" t="s">
        <v>235</v>
      </c>
      <c r="G321" s="100"/>
      <c r="H321" s="100" t="s">
        <v>169</v>
      </c>
    </row>
    <row r="322" spans="1:8">
      <c r="A322" s="100" t="str">
        <f>LeaveData[[#This Row],[ EMP ID]]&amp;LeaveData[[#This Row],[Date]]</f>
        <v>20221801045498</v>
      </c>
      <c r="B322" s="100">
        <v>202218010</v>
      </c>
      <c r="C322" s="100" t="s">
        <v>27</v>
      </c>
      <c r="D322" s="101">
        <v>45498</v>
      </c>
      <c r="E322" s="100" t="s">
        <v>12</v>
      </c>
      <c r="F322" s="100" t="s">
        <v>118</v>
      </c>
      <c r="G322" s="100"/>
      <c r="H322" s="100" t="s">
        <v>5</v>
      </c>
    </row>
    <row r="323" spans="1:8">
      <c r="A323" s="100" t="str">
        <f>LeaveData[[#This Row],[ EMP ID]]&amp;LeaveData[[#This Row],[Date]]</f>
        <v>20221801045499</v>
      </c>
      <c r="B323" s="100">
        <v>202218010</v>
      </c>
      <c r="C323" s="100" t="s">
        <v>27</v>
      </c>
      <c r="D323" s="101">
        <v>45499</v>
      </c>
      <c r="E323" s="100" t="s">
        <v>12</v>
      </c>
      <c r="F323" s="100" t="s">
        <v>118</v>
      </c>
      <c r="G323" s="100"/>
      <c r="H323" s="100" t="s">
        <v>5</v>
      </c>
    </row>
    <row r="324" spans="1:8">
      <c r="A324" s="79" t="str">
        <f>LeaveData[[#This Row],[ EMP ID]]&amp;LeaveData[[#This Row],[Date]]</f>
        <v>20221801045500</v>
      </c>
      <c r="B324" s="79">
        <v>202218010</v>
      </c>
      <c r="C324" s="79" t="s">
        <v>27</v>
      </c>
      <c r="D324" s="80">
        <v>45500</v>
      </c>
      <c r="E324" s="79" t="s">
        <v>12</v>
      </c>
      <c r="F324" s="79" t="s">
        <v>118</v>
      </c>
      <c r="G324" s="79"/>
      <c r="H324" s="79" t="s">
        <v>5</v>
      </c>
    </row>
    <row r="325" spans="1:8">
      <c r="A325" s="100" t="str">
        <f>LeaveData[[#This Row],[ EMP ID]]&amp;LeaveData[[#This Row],[Date]]</f>
        <v>20231801945473</v>
      </c>
      <c r="B325" s="100">
        <v>202318019</v>
      </c>
      <c r="C325" s="100" t="s">
        <v>89</v>
      </c>
      <c r="D325" s="101">
        <v>45473</v>
      </c>
      <c r="E325" s="100" t="s">
        <v>154</v>
      </c>
      <c r="F325" s="86" t="s">
        <v>114</v>
      </c>
      <c r="G325" s="100"/>
      <c r="H325" s="100" t="s">
        <v>155</v>
      </c>
    </row>
    <row r="326" spans="1:8">
      <c r="A326" s="79" t="str">
        <f>LeaveData[[#This Row],[ EMP ID]]&amp;LeaveData[[#This Row],[Date]]</f>
        <v>20231801945486</v>
      </c>
      <c r="B326" s="79">
        <v>202318019</v>
      </c>
      <c r="C326" s="79" t="s">
        <v>89</v>
      </c>
      <c r="D326" s="80">
        <v>45486</v>
      </c>
      <c r="E326" s="79" t="s">
        <v>154</v>
      </c>
      <c r="F326" s="86" t="s">
        <v>114</v>
      </c>
      <c r="G326" s="79"/>
      <c r="H326" s="79" t="s">
        <v>155</v>
      </c>
    </row>
    <row r="327" spans="1:8">
      <c r="A327" s="79" t="str">
        <f>LeaveData[[#This Row],[ EMP ID]]&amp;LeaveData[[#This Row],[Date]]</f>
        <v>20241803245492</v>
      </c>
      <c r="B327" s="79">
        <v>202418032</v>
      </c>
      <c r="C327" s="79" t="s">
        <v>63</v>
      </c>
      <c r="D327" s="80">
        <v>45492</v>
      </c>
      <c r="E327" s="79" t="s">
        <v>195</v>
      </c>
      <c r="F327" s="79" t="s">
        <v>118</v>
      </c>
      <c r="G327" s="79"/>
      <c r="H327" s="79" t="s">
        <v>196</v>
      </c>
    </row>
    <row r="328" spans="1:8">
      <c r="A328" s="79" t="str">
        <f>LeaveData[[#This Row],[ EMP ID]]&amp;LeaveData[[#This Row],[Date]]</f>
        <v>20231802745498</v>
      </c>
      <c r="B328" s="100">
        <v>202318027</v>
      </c>
      <c r="C328" s="100" t="s">
        <v>54</v>
      </c>
      <c r="D328" s="101">
        <v>45498</v>
      </c>
      <c r="E328" s="100" t="s">
        <v>13</v>
      </c>
      <c r="F328" s="100" t="s">
        <v>106</v>
      </c>
      <c r="G328" s="100"/>
      <c r="H328" s="90" t="s">
        <v>236</v>
      </c>
    </row>
    <row r="329" spans="1:8">
      <c r="A329" s="100" t="str">
        <f>LeaveData[[#This Row],[ EMP ID]]&amp;LeaveData[[#This Row],[Date]]</f>
        <v>20231802745499</v>
      </c>
      <c r="B329" s="100">
        <v>202318027</v>
      </c>
      <c r="C329" s="100" t="s">
        <v>54</v>
      </c>
      <c r="D329" s="101">
        <v>45499</v>
      </c>
      <c r="E329" s="100" t="s">
        <v>13</v>
      </c>
      <c r="F329" s="100" t="s">
        <v>106</v>
      </c>
      <c r="G329" s="100"/>
      <c r="H329" s="90" t="s">
        <v>236</v>
      </c>
    </row>
    <row r="330" spans="1:8">
      <c r="A330" s="79" t="str">
        <f>LeaveData[[#This Row],[ EMP ID]]&amp;LeaveData[[#This Row],[Date]]</f>
        <v>20231802745500</v>
      </c>
      <c r="B330" s="100">
        <v>202318027</v>
      </c>
      <c r="C330" s="100" t="s">
        <v>54</v>
      </c>
      <c r="D330" s="101">
        <v>45500</v>
      </c>
      <c r="E330" s="100" t="s">
        <v>13</v>
      </c>
      <c r="F330" s="100" t="s">
        <v>106</v>
      </c>
      <c r="G330" s="79"/>
      <c r="H330" s="90" t="s">
        <v>236</v>
      </c>
    </row>
    <row r="331" spans="1:8">
      <c r="A331" s="79" t="str">
        <f>LeaveData[[#This Row],[ EMP ID]]&amp;LeaveData[[#This Row],[Date]]</f>
        <v>20221801445502</v>
      </c>
      <c r="B331" s="79">
        <v>202218014</v>
      </c>
      <c r="C331" s="79" t="s">
        <v>32</v>
      </c>
      <c r="D331" s="80">
        <v>45502</v>
      </c>
      <c r="E331" s="79" t="s">
        <v>12</v>
      </c>
      <c r="F331" s="79" t="s">
        <v>125</v>
      </c>
      <c r="G331" s="79"/>
      <c r="H331" s="79" t="s">
        <v>119</v>
      </c>
    </row>
    <row r="332" spans="1:8">
      <c r="A332" s="79" t="str">
        <f>LeaveData[[#This Row],[ EMP ID]]&amp;LeaveData[[#This Row],[Date]]</f>
        <v>20232001045504</v>
      </c>
      <c r="B332" s="102">
        <v>202320010</v>
      </c>
      <c r="C332" s="100" t="s">
        <v>49</v>
      </c>
      <c r="D332" s="101">
        <v>45504</v>
      </c>
      <c r="E332" s="79" t="s">
        <v>13</v>
      </c>
      <c r="F332" s="86" t="s">
        <v>114</v>
      </c>
      <c r="G332" s="79"/>
      <c r="H332" s="79" t="s">
        <v>116</v>
      </c>
    </row>
    <row r="333" spans="1:8">
      <c r="A333" s="79" t="str">
        <f>LeaveData[[#This Row],[ EMP ID]]&amp;LeaveData[[#This Row],[Date]]</f>
        <v>20221801245473</v>
      </c>
      <c r="B333" s="79">
        <v>202218012</v>
      </c>
      <c r="C333" s="79" t="s">
        <v>29</v>
      </c>
      <c r="D333" s="80">
        <v>45473</v>
      </c>
      <c r="E333" s="79" t="s">
        <v>154</v>
      </c>
      <c r="F333" s="79" t="s">
        <v>118</v>
      </c>
      <c r="G333" s="79"/>
      <c r="H333" s="79" t="s">
        <v>155</v>
      </c>
    </row>
    <row r="334" spans="1:8">
      <c r="A334" s="79" t="str">
        <f>LeaveData[[#This Row],[ EMP ID]]&amp;LeaveData[[#This Row],[Date]]</f>
        <v>20221801245505</v>
      </c>
      <c r="B334" s="79">
        <v>202218012</v>
      </c>
      <c r="C334" s="79" t="s">
        <v>29</v>
      </c>
      <c r="D334" s="80">
        <v>45505</v>
      </c>
      <c r="E334" s="79" t="s">
        <v>13</v>
      </c>
      <c r="F334" s="79" t="s">
        <v>118</v>
      </c>
      <c r="G334" s="79"/>
      <c r="H334" s="79" t="s">
        <v>105</v>
      </c>
    </row>
    <row r="335" spans="1:8">
      <c r="A335" s="79" t="str">
        <f>LeaveData[[#This Row],[ EMP ID]]&amp;LeaveData[[#This Row],[Date]]</f>
        <v>20221801445423</v>
      </c>
      <c r="B335" s="79">
        <v>202218014</v>
      </c>
      <c r="C335" s="79" t="s">
        <v>32</v>
      </c>
      <c r="D335" s="80">
        <v>45423</v>
      </c>
      <c r="E335" s="79" t="s">
        <v>154</v>
      </c>
      <c r="F335" s="79" t="s">
        <v>125</v>
      </c>
      <c r="G335" s="79"/>
      <c r="H335" s="79" t="s">
        <v>155</v>
      </c>
    </row>
    <row r="336" spans="1:8">
      <c r="A336" s="79" t="str">
        <f>LeaveData[[#This Row],[ EMP ID]]&amp;LeaveData[[#This Row],[Date]]</f>
        <v>20221801445520</v>
      </c>
      <c r="B336" s="79">
        <v>202218014</v>
      </c>
      <c r="C336" s="79" t="s">
        <v>32</v>
      </c>
      <c r="D336" s="80">
        <v>45520</v>
      </c>
      <c r="E336" s="79" t="s">
        <v>13</v>
      </c>
      <c r="F336" s="79" t="s">
        <v>125</v>
      </c>
      <c r="G336" s="79"/>
      <c r="H336" s="79" t="s">
        <v>237</v>
      </c>
    </row>
    <row r="337" spans="1:12">
      <c r="A337" s="79" t="str">
        <f>LeaveData[[#This Row],[ EMP ID]]&amp;LeaveData[[#This Row],[Date]]</f>
        <v>20221801445521</v>
      </c>
      <c r="B337" s="79">
        <v>202218014</v>
      </c>
      <c r="C337" s="79" t="s">
        <v>32</v>
      </c>
      <c r="D337" s="80">
        <v>45521</v>
      </c>
      <c r="E337" s="79" t="s">
        <v>13</v>
      </c>
      <c r="F337" s="79" t="s">
        <v>125</v>
      </c>
      <c r="G337" s="79"/>
      <c r="H337" s="79" t="s">
        <v>237</v>
      </c>
    </row>
    <row r="338" spans="1:12">
      <c r="A338" s="79" t="str">
        <f>LeaveData[[#This Row],[ EMP ID]]&amp;LeaveData[[#This Row],[Date]]</f>
        <v>20231802045473</v>
      </c>
      <c r="B338" s="79">
        <v>202318020</v>
      </c>
      <c r="C338" s="79" t="s">
        <v>43</v>
      </c>
      <c r="D338" s="80">
        <v>45473</v>
      </c>
      <c r="E338" s="79" t="s">
        <v>154</v>
      </c>
      <c r="F338" s="79" t="s">
        <v>104</v>
      </c>
      <c r="G338" s="79"/>
      <c r="H338" s="79" t="s">
        <v>155</v>
      </c>
    </row>
    <row r="339" spans="1:12">
      <c r="A339" s="79" t="str">
        <f>LeaveData[[#This Row],[ EMP ID]]&amp;LeaveData[[#This Row],[Date]]</f>
        <v>20231802045480</v>
      </c>
      <c r="B339" s="79">
        <v>202318020</v>
      </c>
      <c r="C339" s="79" t="s">
        <v>43</v>
      </c>
      <c r="D339" s="80">
        <v>45480</v>
      </c>
      <c r="E339" s="79" t="s">
        <v>154</v>
      </c>
      <c r="F339" s="79" t="s">
        <v>104</v>
      </c>
      <c r="G339" s="79"/>
      <c r="H339" s="79" t="s">
        <v>155</v>
      </c>
    </row>
    <row r="340" spans="1:12">
      <c r="A340" s="79" t="str">
        <f>LeaveData[[#This Row],[ EMP ID]]&amp;LeaveData[[#This Row],[Date]]</f>
        <v>20231802045520</v>
      </c>
      <c r="B340" s="79">
        <v>202318020</v>
      </c>
      <c r="C340" s="79" t="s">
        <v>43</v>
      </c>
      <c r="D340" s="80">
        <v>45520</v>
      </c>
      <c r="E340" s="79" t="s">
        <v>13</v>
      </c>
      <c r="F340" s="79" t="s">
        <v>104</v>
      </c>
      <c r="G340" s="79"/>
      <c r="H340" s="79" t="s">
        <v>238</v>
      </c>
    </row>
    <row r="341" spans="1:12">
      <c r="A341" s="79" t="str">
        <f>LeaveData[[#This Row],[ EMP ID]]&amp;LeaveData[[#This Row],[Date]]</f>
        <v>20231802045521</v>
      </c>
      <c r="B341" s="79">
        <v>202318020</v>
      </c>
      <c r="C341" s="79" t="s">
        <v>43</v>
      </c>
      <c r="D341" s="80">
        <v>45521</v>
      </c>
      <c r="E341" s="79" t="s">
        <v>13</v>
      </c>
      <c r="F341" s="79" t="s">
        <v>104</v>
      </c>
      <c r="G341" s="79"/>
      <c r="H341" s="79" t="s">
        <v>238</v>
      </c>
    </row>
    <row r="342" spans="1:12">
      <c r="A342" s="79" t="str">
        <f>LeaveData[[#This Row],[ EMP ID]]&amp;LeaveData[[#This Row],[Date]]</f>
        <v>20231802345506</v>
      </c>
      <c r="B342" s="79">
        <v>202318023</v>
      </c>
      <c r="C342" s="79" t="s">
        <v>148</v>
      </c>
      <c r="D342" s="80">
        <v>45506</v>
      </c>
      <c r="E342" s="79" t="s">
        <v>14</v>
      </c>
      <c r="F342" s="79" t="s">
        <v>29</v>
      </c>
      <c r="G342" s="79"/>
      <c r="H342" s="79" t="s">
        <v>239</v>
      </c>
    </row>
    <row r="343" spans="1:12">
      <c r="A343" s="79" t="str">
        <f>LeaveData[[#This Row],[ EMP ID]]&amp;LeaveData[[#This Row],[Date]]</f>
        <v>20231802945505</v>
      </c>
      <c r="B343" s="79">
        <v>202318029</v>
      </c>
      <c r="C343" s="79" t="s">
        <v>59</v>
      </c>
      <c r="D343" s="80">
        <v>45505</v>
      </c>
      <c r="E343" s="79" t="s">
        <v>12</v>
      </c>
      <c r="F343" s="79" t="s">
        <v>43</v>
      </c>
      <c r="G343" s="79"/>
      <c r="H343" s="90" t="s">
        <v>240</v>
      </c>
    </row>
    <row r="344" spans="1:12">
      <c r="A344" s="79" t="str">
        <f>LeaveData[[#This Row],[ EMP ID]]&amp;LeaveData[[#This Row],[Date]]</f>
        <v>20242100345502</v>
      </c>
      <c r="B344" s="79">
        <v>202421003</v>
      </c>
      <c r="C344" s="79" t="s">
        <v>205</v>
      </c>
      <c r="D344" s="80">
        <v>45502</v>
      </c>
      <c r="E344" s="79" t="s">
        <v>12</v>
      </c>
      <c r="F344" s="79" t="s">
        <v>206</v>
      </c>
      <c r="G344" s="79"/>
      <c r="H344" s="79" t="s">
        <v>5</v>
      </c>
    </row>
    <row r="345" spans="1:12">
      <c r="A345" s="79" t="str">
        <f>LeaveData[[#This Row],[ EMP ID]]&amp;LeaveData[[#This Row],[Date]]</f>
        <v>20242100345503</v>
      </c>
      <c r="B345" s="79">
        <v>202421003</v>
      </c>
      <c r="C345" s="79" t="s">
        <v>205</v>
      </c>
      <c r="D345" s="80">
        <v>45503</v>
      </c>
      <c r="E345" s="79" t="s">
        <v>12</v>
      </c>
      <c r="F345" s="79" t="s">
        <v>206</v>
      </c>
      <c r="G345" s="79"/>
      <c r="H345" s="79" t="s">
        <v>5</v>
      </c>
    </row>
    <row r="346" spans="1:12">
      <c r="A346" s="79" t="str">
        <f>LeaveData[[#This Row],[ EMP ID]]&amp;LeaveData[[#This Row],[Date]]</f>
        <v>20231801645507</v>
      </c>
      <c r="B346" s="79">
        <v>202318016</v>
      </c>
      <c r="C346" s="79" t="s">
        <v>36</v>
      </c>
      <c r="D346" s="80">
        <v>45507</v>
      </c>
      <c r="E346" s="79" t="s">
        <v>13</v>
      </c>
      <c r="F346" s="79" t="s">
        <v>235</v>
      </c>
      <c r="G346" s="79"/>
      <c r="H346" s="79" t="s">
        <v>116</v>
      </c>
    </row>
    <row r="347" spans="1:12">
      <c r="A347" s="79" t="str">
        <f>LeaveData[[#This Row],[ EMP ID]]&amp;LeaveData[[#This Row],[Date]]</f>
        <v>20231802845516</v>
      </c>
      <c r="B347" s="79">
        <v>202318028</v>
      </c>
      <c r="C347" s="79" t="s">
        <v>57</v>
      </c>
      <c r="D347" s="80">
        <v>45516</v>
      </c>
      <c r="E347" s="79" t="s">
        <v>13</v>
      </c>
      <c r="F347" s="79" t="s">
        <v>118</v>
      </c>
      <c r="G347" s="79"/>
      <c r="H347" s="79" t="s">
        <v>116</v>
      </c>
    </row>
    <row r="348" spans="1:12">
      <c r="A348" s="79" t="str">
        <f>LeaveData[[#This Row],[ EMP ID]]&amp;LeaveData[[#This Row],[Date]]</f>
        <v>20231802845517</v>
      </c>
      <c r="B348" s="79">
        <v>202318028</v>
      </c>
      <c r="C348" s="79" t="s">
        <v>57</v>
      </c>
      <c r="D348" s="80">
        <v>45517</v>
      </c>
      <c r="E348" s="79" t="s">
        <v>13</v>
      </c>
      <c r="F348" s="79" t="s">
        <v>118</v>
      </c>
      <c r="G348" s="79"/>
      <c r="H348" s="79" t="s">
        <v>116</v>
      </c>
    </row>
    <row r="349" spans="1:12">
      <c r="A349" s="79" t="str">
        <f>LeaveData[[#This Row],[ EMP ID]]&amp;LeaveData[[#This Row],[Date]]</f>
        <v>20231802845521</v>
      </c>
      <c r="B349" s="79">
        <v>202318028</v>
      </c>
      <c r="C349" s="79" t="s">
        <v>57</v>
      </c>
      <c r="D349" s="80">
        <v>45521</v>
      </c>
      <c r="E349" s="79" t="s">
        <v>13</v>
      </c>
      <c r="F349" s="79" t="s">
        <v>118</v>
      </c>
      <c r="G349" s="79"/>
      <c r="H349" s="79" t="s">
        <v>116</v>
      </c>
      <c r="L349" t="s">
        <v>241</v>
      </c>
    </row>
    <row r="350" spans="1:12">
      <c r="A350" s="79" t="str">
        <f>LeaveData[[#This Row],[ EMP ID]]&amp;LeaveData[[#This Row],[Date]]</f>
        <v>20211800845509</v>
      </c>
      <c r="B350" s="79">
        <v>202118008</v>
      </c>
      <c r="C350" s="79" t="s">
        <v>25</v>
      </c>
      <c r="D350" s="80">
        <v>45509</v>
      </c>
      <c r="E350" s="79" t="s">
        <v>13</v>
      </c>
      <c r="F350" s="79" t="s">
        <v>29</v>
      </c>
      <c r="G350" s="79"/>
      <c r="H350" s="79" t="s">
        <v>242</v>
      </c>
    </row>
    <row r="351" spans="1:12">
      <c r="A351" s="79" t="str">
        <f>LeaveData[[#This Row],[ EMP ID]]&amp;LeaveData[[#This Row],[Date]]</f>
        <v>20241803745509</v>
      </c>
      <c r="B351" s="79">
        <v>202418037</v>
      </c>
      <c r="C351" s="79" t="s">
        <v>243</v>
      </c>
      <c r="D351" s="80">
        <v>45509</v>
      </c>
      <c r="E351" s="79" t="s">
        <v>199</v>
      </c>
      <c r="F351" s="79" t="s">
        <v>118</v>
      </c>
      <c r="G351" s="79"/>
      <c r="H351" s="79" t="s">
        <v>200</v>
      </c>
    </row>
    <row r="352" spans="1:12">
      <c r="A352" s="79" t="str">
        <f>LeaveData[[#This Row],[ EMP ID]]&amp;LeaveData[[#This Row],[Date]]</f>
        <v>20231802145510</v>
      </c>
      <c r="B352" s="79">
        <v>202318021</v>
      </c>
      <c r="C352" s="79" t="s">
        <v>91</v>
      </c>
      <c r="D352" s="80">
        <v>45510</v>
      </c>
      <c r="E352" s="79" t="s">
        <v>13</v>
      </c>
      <c r="F352" s="79" t="s">
        <v>43</v>
      </c>
      <c r="G352" s="79"/>
      <c r="H352" s="79" t="s">
        <v>105</v>
      </c>
    </row>
    <row r="353" spans="1:8">
      <c r="A353" s="79" t="str">
        <f>LeaveData[[#This Row],[ EMP ID]]&amp;LeaveData[[#This Row],[Date]]</f>
        <v>20232000545507</v>
      </c>
      <c r="B353" s="79">
        <v>202320005</v>
      </c>
      <c r="C353" s="79" t="s">
        <v>38</v>
      </c>
      <c r="D353" s="80">
        <v>45507</v>
      </c>
      <c r="E353" s="79" t="s">
        <v>13</v>
      </c>
      <c r="F353" s="79" t="s">
        <v>118</v>
      </c>
      <c r="G353" s="79"/>
      <c r="H353" s="90" t="s">
        <v>244</v>
      </c>
    </row>
    <row r="354" spans="1:8">
      <c r="A354" s="79" t="str">
        <f>LeaveData[[#This Row],[ EMP ID]]&amp;LeaveData[[#This Row],[Date]]</f>
        <v>20232001245513</v>
      </c>
      <c r="B354" s="79">
        <v>202320012</v>
      </c>
      <c r="C354" s="79" t="s">
        <v>55</v>
      </c>
      <c r="D354" s="80">
        <v>45513</v>
      </c>
      <c r="E354" s="79" t="s">
        <v>13</v>
      </c>
      <c r="F354" s="79" t="s">
        <v>104</v>
      </c>
      <c r="G354" s="79"/>
      <c r="H354" s="90" t="s">
        <v>245</v>
      </c>
    </row>
    <row r="355" spans="1:8">
      <c r="A355" s="79" t="str">
        <f>LeaveData[[#This Row],[ EMP ID]]&amp;LeaveData[[#This Row],[Date]]</f>
        <v>20232001245527</v>
      </c>
      <c r="B355" s="79">
        <v>202320012</v>
      </c>
      <c r="C355" s="79" t="s">
        <v>55</v>
      </c>
      <c r="D355" s="80">
        <v>45527</v>
      </c>
      <c r="E355" s="79" t="s">
        <v>13</v>
      </c>
      <c r="F355" s="79" t="s">
        <v>104</v>
      </c>
      <c r="G355" s="79"/>
      <c r="H355" s="90" t="s">
        <v>245</v>
      </c>
    </row>
    <row r="356" spans="1:8">
      <c r="A356" s="79" t="str">
        <f>LeaveData[[#This Row],[ EMP ID]]&amp;LeaveData[[#This Row],[Date]]</f>
        <v>20232000645515</v>
      </c>
      <c r="B356" s="79">
        <v>202320006</v>
      </c>
      <c r="C356" s="79" t="s">
        <v>39</v>
      </c>
      <c r="D356" s="80">
        <v>45515</v>
      </c>
      <c r="E356" s="79" t="s">
        <v>195</v>
      </c>
      <c r="F356" s="79" t="s">
        <v>43</v>
      </c>
      <c r="G356" s="79"/>
      <c r="H356" s="79" t="s">
        <v>196</v>
      </c>
    </row>
    <row r="357" spans="1:8">
      <c r="A357" s="79" t="str">
        <f>LeaveData[[#This Row],[ EMP ID]]&amp;LeaveData[[#This Row],[Date]]</f>
        <v>20241803845516</v>
      </c>
      <c r="B357" s="79">
        <v>202418038</v>
      </c>
      <c r="C357" s="79" t="s">
        <v>246</v>
      </c>
      <c r="D357" s="80">
        <v>45516</v>
      </c>
      <c r="E357" s="79" t="s">
        <v>199</v>
      </c>
      <c r="F357" s="79" t="s">
        <v>125</v>
      </c>
      <c r="G357" s="79"/>
      <c r="H357" s="79" t="s">
        <v>200</v>
      </c>
    </row>
    <row r="358" spans="1:8">
      <c r="A358" s="79" t="str">
        <f>LeaveData[[#This Row],[ EMP ID]]&amp;LeaveData[[#This Row],[Date]]</f>
        <v>20231802645473</v>
      </c>
      <c r="B358" s="79">
        <v>202318026</v>
      </c>
      <c r="C358" s="79" t="s">
        <v>53</v>
      </c>
      <c r="D358" s="80">
        <v>45473</v>
      </c>
      <c r="E358" s="79" t="s">
        <v>154</v>
      </c>
      <c r="F358" s="79" t="s">
        <v>45</v>
      </c>
      <c r="G358" s="79"/>
      <c r="H358" s="79" t="s">
        <v>155</v>
      </c>
    </row>
    <row r="359" spans="1:8">
      <c r="A359" s="79" t="str">
        <f>LeaveData[[#This Row],[ EMP ID]]&amp;LeaveData[[#This Row],[Date]]</f>
        <v>20231802645480</v>
      </c>
      <c r="B359" s="79">
        <v>202318026</v>
      </c>
      <c r="C359" s="79" t="s">
        <v>53</v>
      </c>
      <c r="D359" s="80">
        <v>45480</v>
      </c>
      <c r="E359" s="79" t="s">
        <v>154</v>
      </c>
      <c r="F359" s="79" t="s">
        <v>45</v>
      </c>
      <c r="G359" s="79"/>
      <c r="H359" s="79" t="s">
        <v>155</v>
      </c>
    </row>
    <row r="360" spans="1:8">
      <c r="A360" s="79" t="str">
        <f>LeaveData[[#This Row],[ EMP ID]]&amp;LeaveData[[#This Row],[Date]]</f>
        <v>20231802645520</v>
      </c>
      <c r="B360" s="79">
        <v>202318026</v>
      </c>
      <c r="C360" s="79" t="s">
        <v>53</v>
      </c>
      <c r="D360" s="80">
        <v>45520</v>
      </c>
      <c r="E360" s="79" t="s">
        <v>13</v>
      </c>
      <c r="F360" s="79" t="s">
        <v>45</v>
      </c>
      <c r="G360" s="79"/>
      <c r="H360" s="79" t="s">
        <v>237</v>
      </c>
    </row>
    <row r="361" spans="1:8">
      <c r="A361" s="79" t="str">
        <f>LeaveData[[#This Row],[ EMP ID]]&amp;LeaveData[[#This Row],[Date]]</f>
        <v>20231802645521</v>
      </c>
      <c r="B361" s="79">
        <v>202318026</v>
      </c>
      <c r="C361" s="79" t="s">
        <v>53</v>
      </c>
      <c r="D361" s="80">
        <v>45521</v>
      </c>
      <c r="E361" s="79" t="s">
        <v>13</v>
      </c>
      <c r="F361" s="79" t="s">
        <v>45</v>
      </c>
      <c r="G361" s="79"/>
      <c r="H361" s="79" t="s">
        <v>237</v>
      </c>
    </row>
    <row r="362" spans="1:8">
      <c r="A362" s="79" t="str">
        <f>LeaveData[[#This Row],[ EMP ID]]&amp;LeaveData[[#This Row],[Date]]</f>
        <v>20231802645531</v>
      </c>
      <c r="B362" s="79">
        <v>202318026</v>
      </c>
      <c r="C362" s="79" t="s">
        <v>53</v>
      </c>
      <c r="D362" s="80">
        <v>45531</v>
      </c>
      <c r="E362" s="79" t="s">
        <v>16</v>
      </c>
      <c r="F362" s="79" t="s">
        <v>45</v>
      </c>
      <c r="G362" s="79"/>
      <c r="H362" s="79" t="s">
        <v>247</v>
      </c>
    </row>
    <row r="363" spans="1:8">
      <c r="A363" s="79" t="str">
        <f>LeaveData[[#This Row],[ EMP ID]]&amp;LeaveData[[#This Row],[Date]]</f>
        <v>20231802645532</v>
      </c>
      <c r="B363" s="79">
        <v>202318026</v>
      </c>
      <c r="C363" s="79" t="s">
        <v>53</v>
      </c>
      <c r="D363" s="80">
        <v>45532</v>
      </c>
      <c r="E363" s="79" t="s">
        <v>16</v>
      </c>
      <c r="F363" s="79" t="s">
        <v>45</v>
      </c>
      <c r="G363" s="79"/>
      <c r="H363" s="79" t="s">
        <v>247</v>
      </c>
    </row>
    <row r="364" spans="1:8">
      <c r="A364" s="79" t="str">
        <f>LeaveData[[#This Row],[ EMP ID]]&amp;LeaveData[[#This Row],[Date]]</f>
        <v>20231802645533</v>
      </c>
      <c r="B364" s="79">
        <v>202318026</v>
      </c>
      <c r="C364" s="79" t="s">
        <v>53</v>
      </c>
      <c r="D364" s="80">
        <v>45533</v>
      </c>
      <c r="E364" s="79" t="s">
        <v>16</v>
      </c>
      <c r="F364" s="79" t="s">
        <v>45</v>
      </c>
      <c r="G364" s="79"/>
      <c r="H364" s="79" t="s">
        <v>247</v>
      </c>
    </row>
    <row r="365" spans="1:8">
      <c r="A365" s="79" t="str">
        <f>LeaveData[[#This Row],[ EMP ID]]&amp;LeaveData[[#This Row],[Date]]</f>
        <v>20231802645534</v>
      </c>
      <c r="B365" s="79">
        <v>202318026</v>
      </c>
      <c r="C365" s="79" t="s">
        <v>53</v>
      </c>
      <c r="D365" s="80">
        <v>45534</v>
      </c>
      <c r="E365" s="79" t="s">
        <v>16</v>
      </c>
      <c r="F365" s="79" t="s">
        <v>45</v>
      </c>
      <c r="G365" s="79"/>
      <c r="H365" s="79" t="s">
        <v>247</v>
      </c>
    </row>
    <row r="366" spans="1:8">
      <c r="A366" s="79" t="str">
        <f>LeaveData[[#This Row],[ EMP ID]]&amp;LeaveData[[#This Row],[Date]]</f>
        <v>20231802645535</v>
      </c>
      <c r="B366" s="79">
        <v>202318026</v>
      </c>
      <c r="C366" s="79" t="s">
        <v>53</v>
      </c>
      <c r="D366" s="80">
        <v>45535</v>
      </c>
      <c r="E366" s="79" t="s">
        <v>16</v>
      </c>
      <c r="F366" s="79" t="s">
        <v>45</v>
      </c>
      <c r="G366" s="79"/>
      <c r="H366" s="79" t="s">
        <v>247</v>
      </c>
    </row>
    <row r="367" spans="1:8">
      <c r="A367" s="79" t="str">
        <f>LeaveData[[#This Row],[ EMP ID]]&amp;LeaveData[[#This Row],[Date]]</f>
        <v>20241803145799</v>
      </c>
      <c r="B367" s="79">
        <v>202418031</v>
      </c>
      <c r="C367" s="79" t="s">
        <v>62</v>
      </c>
      <c r="D367" s="80">
        <v>45799</v>
      </c>
      <c r="E367" s="79" t="s">
        <v>199</v>
      </c>
      <c r="F367" s="79" t="s">
        <v>118</v>
      </c>
      <c r="G367" s="79"/>
      <c r="H367" s="79" t="s">
        <v>200</v>
      </c>
    </row>
    <row r="368" spans="1:8">
      <c r="A368" s="79" t="str">
        <f>LeaveData[[#This Row],[ EMP ID]]&amp;LeaveData[[#This Row],[Date]]</f>
        <v>20231802245473</v>
      </c>
      <c r="B368" s="79">
        <v>202318022</v>
      </c>
      <c r="C368" s="79" t="s">
        <v>45</v>
      </c>
      <c r="D368" s="80">
        <v>45473</v>
      </c>
      <c r="E368" s="79" t="s">
        <v>154</v>
      </c>
      <c r="F368" s="79" t="s">
        <v>118</v>
      </c>
      <c r="G368" s="79"/>
      <c r="H368" s="79" t="s">
        <v>155</v>
      </c>
    </row>
    <row r="369" spans="1:8">
      <c r="A369" s="79" t="str">
        <f>LeaveData[[#This Row],[ EMP ID]]&amp;LeaveData[[#This Row],[Date]]</f>
        <v>20231802245520</v>
      </c>
      <c r="B369" s="79">
        <v>202318022</v>
      </c>
      <c r="C369" s="79" t="s">
        <v>45</v>
      </c>
      <c r="D369" s="80">
        <v>45520</v>
      </c>
      <c r="E369" s="79" t="s">
        <v>13</v>
      </c>
      <c r="F369" s="79" t="s">
        <v>118</v>
      </c>
      <c r="G369" s="79"/>
      <c r="H369" s="90" t="s">
        <v>248</v>
      </c>
    </row>
    <row r="370" spans="1:8">
      <c r="A370" s="79" t="str">
        <f>LeaveData[[#This Row],[ EMP ID]]&amp;LeaveData[[#This Row],[Date]]</f>
        <v>20231802245521</v>
      </c>
      <c r="B370" s="79">
        <v>202318022</v>
      </c>
      <c r="C370" s="79" t="s">
        <v>45</v>
      </c>
      <c r="D370" s="80">
        <v>45521</v>
      </c>
      <c r="E370" s="79" t="s">
        <v>13</v>
      </c>
      <c r="F370" s="79" t="s">
        <v>118</v>
      </c>
      <c r="G370" s="79"/>
      <c r="H370" s="90" t="s">
        <v>248</v>
      </c>
    </row>
    <row r="371" spans="1:8">
      <c r="A371" s="79" t="str">
        <f>LeaveData[[#This Row],[ EMP ID]]&amp;LeaveData[[#This Row],[Date]]</f>
        <v>20221801345516</v>
      </c>
      <c r="B371" s="79">
        <v>202218013</v>
      </c>
      <c r="C371" s="79" t="s">
        <v>85</v>
      </c>
      <c r="D371" s="80">
        <v>45516</v>
      </c>
      <c r="E371" s="79" t="s">
        <v>13</v>
      </c>
      <c r="F371" s="79" t="s">
        <v>118</v>
      </c>
      <c r="G371" s="79"/>
      <c r="H371" s="90" t="s">
        <v>249</v>
      </c>
    </row>
    <row r="372" spans="1:8">
      <c r="A372" s="79" t="str">
        <f>LeaveData[[#This Row],[ EMP ID]]&amp;LeaveData[[#This Row],[Date]]</f>
        <v>20232001345511</v>
      </c>
      <c r="B372" s="79">
        <v>202320013</v>
      </c>
      <c r="C372" s="79" t="s">
        <v>56</v>
      </c>
      <c r="D372" s="80">
        <v>45511</v>
      </c>
      <c r="E372" s="79" t="s">
        <v>13</v>
      </c>
      <c r="F372" s="79" t="s">
        <v>111</v>
      </c>
      <c r="G372" s="79"/>
      <c r="H372" s="79" t="s">
        <v>116</v>
      </c>
    </row>
    <row r="373" spans="1:8">
      <c r="A373" s="79" t="str">
        <f>LeaveData[[#This Row],[ EMP ID]]&amp;LeaveData[[#This Row],[Date]]</f>
        <v>20221801345511</v>
      </c>
      <c r="B373" s="79">
        <v>202218013</v>
      </c>
      <c r="C373" s="79" t="s">
        <v>85</v>
      </c>
      <c r="D373" s="80">
        <v>45511</v>
      </c>
      <c r="E373" s="79" t="s">
        <v>12</v>
      </c>
      <c r="F373" s="79" t="s">
        <v>118</v>
      </c>
      <c r="G373" s="79"/>
      <c r="H373" s="79" t="s">
        <v>119</v>
      </c>
    </row>
    <row r="374" spans="1:8">
      <c r="A374" s="79" t="str">
        <f>LeaveData[[#This Row],[ EMP ID]]&amp;LeaveData[[#This Row],[Date]]</f>
        <v>20221801345512</v>
      </c>
      <c r="B374" s="79">
        <v>202218013</v>
      </c>
      <c r="C374" s="79" t="s">
        <v>85</v>
      </c>
      <c r="D374" s="80">
        <v>45512</v>
      </c>
      <c r="E374" s="79" t="s">
        <v>16</v>
      </c>
      <c r="F374" s="79" t="s">
        <v>106</v>
      </c>
      <c r="G374" s="79"/>
      <c r="H374" s="79" t="s">
        <v>16</v>
      </c>
    </row>
    <row r="375" spans="1:8">
      <c r="A375" s="79" t="str">
        <f>LeaveData[[#This Row],[ EMP ID]]&amp;LeaveData[[#This Row],[Date]]</f>
        <v>20242100145513</v>
      </c>
      <c r="B375" s="79">
        <v>202421001</v>
      </c>
      <c r="C375" s="79" t="s">
        <v>221</v>
      </c>
      <c r="D375" s="80">
        <v>45513</v>
      </c>
      <c r="E375" s="79" t="s">
        <v>13</v>
      </c>
      <c r="F375" s="79" t="s">
        <v>206</v>
      </c>
      <c r="G375" s="79"/>
      <c r="H375" s="79" t="s">
        <v>250</v>
      </c>
    </row>
    <row r="376" spans="1:8">
      <c r="A376" s="79" t="str">
        <f>LeaveData[[#This Row],[ EMP ID]]&amp;LeaveData[[#This Row],[Date]]</f>
        <v>20182000145516</v>
      </c>
      <c r="B376" s="79">
        <v>201820001</v>
      </c>
      <c r="C376" s="79" t="s">
        <v>18</v>
      </c>
      <c r="D376" s="80">
        <v>45516</v>
      </c>
      <c r="E376" s="79" t="s">
        <v>12</v>
      </c>
      <c r="F376" s="79" t="s">
        <v>118</v>
      </c>
      <c r="G376" s="79"/>
      <c r="H376" s="79" t="s">
        <v>5</v>
      </c>
    </row>
    <row r="377" spans="1:8">
      <c r="A377" s="79" t="str">
        <f>LeaveData[[#This Row],[ EMP ID]]&amp;LeaveData[[#This Row],[Date]]</f>
        <v>20231801645521</v>
      </c>
      <c r="B377" s="79">
        <v>202318016</v>
      </c>
      <c r="C377" s="79" t="s">
        <v>36</v>
      </c>
      <c r="D377" s="80">
        <v>45521</v>
      </c>
      <c r="E377" s="79" t="s">
        <v>13</v>
      </c>
      <c r="F377" s="79" t="s">
        <v>235</v>
      </c>
      <c r="G377" s="79"/>
      <c r="H377" s="79" t="s">
        <v>189</v>
      </c>
    </row>
    <row r="378" spans="1:8">
      <c r="A378" s="79" t="str">
        <f>LeaveData[[#This Row],[ EMP ID]]&amp;LeaveData[[#This Row],[Date]]</f>
        <v>20221800945517</v>
      </c>
      <c r="B378" s="79">
        <v>202218009</v>
      </c>
      <c r="C378" s="79" t="s">
        <v>26</v>
      </c>
      <c r="D378" s="80">
        <v>45517</v>
      </c>
      <c r="E378" s="79" t="s">
        <v>12</v>
      </c>
      <c r="F378" s="79" t="s">
        <v>29</v>
      </c>
      <c r="G378" s="79"/>
      <c r="H378" s="79" t="s">
        <v>251</v>
      </c>
    </row>
    <row r="379" spans="1:8">
      <c r="A379" s="79" t="str">
        <f>LeaveData[[#This Row],[ EMP ID]]&amp;LeaveData[[#This Row],[Date]]</f>
        <v>20221801145517</v>
      </c>
      <c r="B379" s="79">
        <v>202218011</v>
      </c>
      <c r="C379" s="79" t="s">
        <v>28</v>
      </c>
      <c r="D379" s="80">
        <v>45517</v>
      </c>
      <c r="E379" s="79" t="s">
        <v>12</v>
      </c>
      <c r="F379" s="79" t="s">
        <v>27</v>
      </c>
      <c r="G379" s="79"/>
      <c r="H379" s="79" t="s">
        <v>251</v>
      </c>
    </row>
    <row r="380" spans="1:8">
      <c r="A380" s="79" t="str">
        <f>LeaveData[[#This Row],[ EMP ID]]&amp;LeaveData[[#This Row],[Date]]</f>
        <v>20221800945518</v>
      </c>
      <c r="B380" s="79">
        <v>202218009</v>
      </c>
      <c r="C380" s="79" t="s">
        <v>26</v>
      </c>
      <c r="D380" s="80">
        <v>45518</v>
      </c>
      <c r="E380" s="79" t="s">
        <v>16</v>
      </c>
      <c r="F380" s="79" t="s">
        <v>27</v>
      </c>
      <c r="G380" s="79"/>
      <c r="H380" s="79" t="s">
        <v>251</v>
      </c>
    </row>
    <row r="381" spans="1:8">
      <c r="A381" s="79" t="str">
        <f>LeaveData[[#This Row],[ EMP ID]]&amp;LeaveData[[#This Row],[Date]]</f>
        <v>20221801145518</v>
      </c>
      <c r="B381" s="79">
        <v>202218011</v>
      </c>
      <c r="C381" s="79" t="s">
        <v>28</v>
      </c>
      <c r="D381" s="80">
        <v>45518</v>
      </c>
      <c r="E381" s="79" t="s">
        <v>16</v>
      </c>
      <c r="F381" s="79" t="s">
        <v>118</v>
      </c>
      <c r="G381" s="79"/>
      <c r="H381" s="79" t="s">
        <v>251</v>
      </c>
    </row>
    <row r="382" spans="1:8">
      <c r="A382" s="79" t="str">
        <f>LeaveData[[#This Row],[ EMP ID]]&amp;LeaveData[[#This Row],[Date]]</f>
        <v>20242100345520</v>
      </c>
      <c r="B382" s="79">
        <v>202421003</v>
      </c>
      <c r="C382" s="79" t="s">
        <v>205</v>
      </c>
      <c r="D382" s="80">
        <v>45520</v>
      </c>
      <c r="E382" s="79" t="s">
        <v>13</v>
      </c>
      <c r="F382" s="79" t="s">
        <v>206</v>
      </c>
      <c r="G382" s="79"/>
      <c r="H382" s="79" t="s">
        <v>105</v>
      </c>
    </row>
    <row r="383" spans="1:8">
      <c r="A383" s="79" t="str">
        <f>LeaveData[[#This Row],[ EMP ID]]&amp;LeaveData[[#This Row],[Date]]</f>
        <v>20242100345521</v>
      </c>
      <c r="B383" s="79">
        <v>202421003</v>
      </c>
      <c r="C383" s="79" t="s">
        <v>205</v>
      </c>
      <c r="D383" s="80">
        <v>45521</v>
      </c>
      <c r="E383" s="79" t="s">
        <v>13</v>
      </c>
      <c r="F383" s="79" t="s">
        <v>206</v>
      </c>
      <c r="G383" s="79"/>
      <c r="H383" s="79" t="s">
        <v>105</v>
      </c>
    </row>
    <row r="384" spans="1:8">
      <c r="A384" s="79" t="str">
        <f>LeaveData[[#This Row],[ EMP ID]]&amp;LeaveData[[#This Row],[Date]]</f>
        <v>20231801745524</v>
      </c>
      <c r="B384" s="79">
        <v>202318017</v>
      </c>
      <c r="C384" s="79" t="s">
        <v>37</v>
      </c>
      <c r="D384" s="80">
        <v>45524</v>
      </c>
      <c r="E384" s="79" t="s">
        <v>13</v>
      </c>
      <c r="F384" s="79" t="s">
        <v>118</v>
      </c>
      <c r="G384" s="79"/>
      <c r="H384" s="79" t="s">
        <v>252</v>
      </c>
    </row>
    <row r="385" spans="1:8">
      <c r="A385" s="79" t="str">
        <f>LeaveData[[#This Row],[ EMP ID]]&amp;LeaveData[[#This Row],[Date]]</f>
        <v>20232000845514</v>
      </c>
      <c r="B385" s="79">
        <v>202320008</v>
      </c>
      <c r="C385" s="79" t="s">
        <v>46</v>
      </c>
      <c r="D385" s="80">
        <v>45514</v>
      </c>
      <c r="E385" s="79" t="s">
        <v>154</v>
      </c>
      <c r="F385" s="79" t="s">
        <v>43</v>
      </c>
      <c r="G385" s="79"/>
      <c r="H385" s="79" t="s">
        <v>155</v>
      </c>
    </row>
    <row r="386" spans="1:8">
      <c r="A386" s="79" t="str">
        <f>LeaveData[[#This Row],[ EMP ID]]&amp;LeaveData[[#This Row],[Date]]</f>
        <v>20232000845515</v>
      </c>
      <c r="B386" s="79">
        <v>202320008</v>
      </c>
      <c r="C386" s="79" t="s">
        <v>46</v>
      </c>
      <c r="D386" s="80">
        <v>45515</v>
      </c>
      <c r="E386" s="79" t="s">
        <v>154</v>
      </c>
      <c r="F386" s="79" t="s">
        <v>43</v>
      </c>
      <c r="G386" s="79"/>
      <c r="H386" s="79" t="s">
        <v>155</v>
      </c>
    </row>
    <row r="387" spans="1:8">
      <c r="A387" s="79" t="str">
        <f>LeaveData[[#This Row],[ EMP ID]]&amp;LeaveData[[#This Row],[Date]]</f>
        <v>20232000845520</v>
      </c>
      <c r="B387" s="79">
        <v>202320008</v>
      </c>
      <c r="C387" s="79" t="s">
        <v>46</v>
      </c>
      <c r="D387" s="80">
        <v>45520</v>
      </c>
      <c r="E387" s="79" t="s">
        <v>13</v>
      </c>
      <c r="F387" s="79" t="s">
        <v>43</v>
      </c>
      <c r="G387" s="79"/>
      <c r="H387" s="79" t="s">
        <v>156</v>
      </c>
    </row>
    <row r="388" spans="1:8">
      <c r="A388" s="79" t="str">
        <f>LeaveData[[#This Row],[ EMP ID]]&amp;LeaveData[[#This Row],[Date]]</f>
        <v>20232000845521</v>
      </c>
      <c r="B388" s="79">
        <v>202320008</v>
      </c>
      <c r="C388" s="79" t="s">
        <v>46</v>
      </c>
      <c r="D388" s="80">
        <v>45521</v>
      </c>
      <c r="E388" s="79" t="s">
        <v>13</v>
      </c>
      <c r="F388" s="79" t="s">
        <v>43</v>
      </c>
      <c r="G388" s="79"/>
      <c r="H388" s="79" t="s">
        <v>156</v>
      </c>
    </row>
    <row r="389" spans="1:8">
      <c r="A389" s="79" t="str">
        <f>LeaveData[[#This Row],[ EMP ID]]&amp;LeaveData[[#This Row],[Date]]</f>
        <v>20182000145521</v>
      </c>
      <c r="B389" s="79">
        <v>201820001</v>
      </c>
      <c r="C389" s="79" t="s">
        <v>18</v>
      </c>
      <c r="D389" s="80">
        <v>45521</v>
      </c>
      <c r="E389" s="79" t="s">
        <v>16</v>
      </c>
      <c r="F389" s="79" t="s">
        <v>118</v>
      </c>
      <c r="G389" s="79"/>
      <c r="H389" s="79" t="s">
        <v>253</v>
      </c>
    </row>
    <row r="390" spans="1:8">
      <c r="A390" s="79" t="str">
        <f>LeaveData[[#This Row],[ EMP ID]]&amp;LeaveData[[#This Row],[Date]]</f>
        <v>20232000745531</v>
      </c>
      <c r="B390" s="79">
        <v>202320007</v>
      </c>
      <c r="C390" s="79" t="s">
        <v>183</v>
      </c>
      <c r="D390" s="80">
        <v>45531</v>
      </c>
      <c r="E390" s="79" t="s">
        <v>13</v>
      </c>
      <c r="F390" s="79" t="s">
        <v>104</v>
      </c>
      <c r="G390" s="79"/>
      <c r="H390" s="79" t="s">
        <v>181</v>
      </c>
    </row>
    <row r="391" spans="1:8">
      <c r="A391" s="79" t="str">
        <f>LeaveData[[#This Row],[ EMP ID]]&amp;LeaveData[[#This Row],[Date]]</f>
        <v>20232000745532</v>
      </c>
      <c r="B391" s="79">
        <v>202320007</v>
      </c>
      <c r="C391" s="79" t="s">
        <v>183</v>
      </c>
      <c r="D391" s="80">
        <v>45532</v>
      </c>
      <c r="E391" s="79" t="s">
        <v>216</v>
      </c>
      <c r="F391" s="79" t="s">
        <v>104</v>
      </c>
      <c r="G391" s="79"/>
      <c r="H391" s="79" t="s">
        <v>181</v>
      </c>
    </row>
    <row r="392" spans="1:8">
      <c r="A392" s="79" t="str">
        <f>LeaveData[[#This Row],[ EMP ID]]&amp;LeaveData[[#This Row],[Date]]</f>
        <v>20211800745528</v>
      </c>
      <c r="B392" s="79">
        <v>202118007</v>
      </c>
      <c r="C392" s="79" t="s">
        <v>103</v>
      </c>
      <c r="D392" s="80">
        <v>45528</v>
      </c>
      <c r="E392" s="79" t="s">
        <v>216</v>
      </c>
      <c r="F392" s="79" t="s">
        <v>104</v>
      </c>
      <c r="G392" s="79"/>
      <c r="H392" s="79" t="s">
        <v>168</v>
      </c>
    </row>
    <row r="393" spans="1:8">
      <c r="A393" s="79" t="str">
        <f>LeaveData[[#This Row],[ EMP ID]]&amp;LeaveData[[#This Row],[Date]]</f>
        <v>20211800745531</v>
      </c>
      <c r="B393" s="79">
        <v>202118007</v>
      </c>
      <c r="C393" s="79" t="s">
        <v>103</v>
      </c>
      <c r="D393" s="80">
        <v>45531</v>
      </c>
      <c r="E393" s="79" t="s">
        <v>216</v>
      </c>
      <c r="F393" s="79" t="s">
        <v>104</v>
      </c>
      <c r="G393" s="79"/>
      <c r="H393" s="79" t="s">
        <v>168</v>
      </c>
    </row>
    <row r="394" spans="1:8">
      <c r="A394" s="79" t="str">
        <f>LeaveData[[#This Row],[ EMP ID]]&amp;LeaveData[[#This Row],[Date]]</f>
        <v>20211800745532</v>
      </c>
      <c r="B394" s="79">
        <v>202118007</v>
      </c>
      <c r="C394" s="79" t="s">
        <v>103</v>
      </c>
      <c r="D394" s="80">
        <v>45532</v>
      </c>
      <c r="E394" s="79" t="s">
        <v>216</v>
      </c>
      <c r="F394" s="79" t="s">
        <v>104</v>
      </c>
      <c r="G394" s="79"/>
      <c r="H394" s="79" t="s">
        <v>168</v>
      </c>
    </row>
    <row r="395" spans="1:8">
      <c r="A395" s="79" t="str">
        <f>LeaveData[[#This Row],[ EMP ID]]&amp;LeaveData[[#This Row],[Date]]</f>
        <v>20232001045514</v>
      </c>
      <c r="B395" s="79">
        <v>202320010</v>
      </c>
      <c r="C395" s="79" t="s">
        <v>49</v>
      </c>
      <c r="D395" s="80">
        <v>45514</v>
      </c>
      <c r="E395" s="79" t="s">
        <v>154</v>
      </c>
      <c r="F395" s="86" t="s">
        <v>114</v>
      </c>
      <c r="G395" s="79"/>
      <c r="H395" s="79" t="s">
        <v>155</v>
      </c>
    </row>
    <row r="396" spans="1:8">
      <c r="A396" s="79" t="str">
        <f>LeaveData[[#This Row],[ EMP ID]]&amp;LeaveData[[#This Row],[Date]]</f>
        <v>20232001045524</v>
      </c>
      <c r="B396" s="79">
        <v>202320010</v>
      </c>
      <c r="C396" s="79" t="s">
        <v>49</v>
      </c>
      <c r="D396" s="80">
        <v>45524</v>
      </c>
      <c r="E396" s="79" t="s">
        <v>154</v>
      </c>
      <c r="F396" s="86" t="s">
        <v>114</v>
      </c>
      <c r="G396" s="79"/>
      <c r="H396" s="79" t="s">
        <v>156</v>
      </c>
    </row>
    <row r="397" spans="1:8">
      <c r="A397" s="79" t="str">
        <f>LeaveData[[#This Row],[ EMP ID]]&amp;LeaveData[[#This Row],[Date]]</f>
        <v>20232001045531</v>
      </c>
      <c r="B397" s="79">
        <v>202320010</v>
      </c>
      <c r="C397" s="79" t="s">
        <v>49</v>
      </c>
      <c r="D397" s="80">
        <v>45531</v>
      </c>
      <c r="E397" s="79" t="s">
        <v>13</v>
      </c>
      <c r="F397" s="86" t="s">
        <v>114</v>
      </c>
      <c r="G397" s="79"/>
      <c r="H397" s="79" t="s">
        <v>155</v>
      </c>
    </row>
    <row r="398" spans="1:8">
      <c r="A398" s="79" t="str">
        <f>LeaveData[[#This Row],[ EMP ID]]&amp;LeaveData[[#This Row],[Date]]</f>
        <v>20231801945514</v>
      </c>
      <c r="B398" s="79">
        <v>202318019</v>
      </c>
      <c r="C398" s="79" t="s">
        <v>89</v>
      </c>
      <c r="D398" s="80">
        <v>45514</v>
      </c>
      <c r="E398" s="79" t="s">
        <v>154</v>
      </c>
      <c r="F398" s="79" t="s">
        <v>235</v>
      </c>
      <c r="G398" s="79"/>
      <c r="H398" s="79" t="s">
        <v>155</v>
      </c>
    </row>
    <row r="399" spans="1:8">
      <c r="A399" s="79" t="str">
        <f>LeaveData[[#This Row],[ EMP ID]]&amp;LeaveData[[#This Row],[Date]]</f>
        <v>20231801945525</v>
      </c>
      <c r="B399" s="79">
        <v>202318019</v>
      </c>
      <c r="C399" s="79" t="s">
        <v>89</v>
      </c>
      <c r="D399" s="80">
        <v>45525</v>
      </c>
      <c r="E399" s="79" t="s">
        <v>13</v>
      </c>
      <c r="F399" s="79" t="s">
        <v>235</v>
      </c>
      <c r="G399" s="79"/>
      <c r="H399" s="79" t="s">
        <v>254</v>
      </c>
    </row>
    <row r="400" spans="1:8">
      <c r="A400" s="79" t="str">
        <f>LeaveData[[#This Row],[ EMP ID]]&amp;LeaveData[[#This Row],[Date]]</f>
        <v>20231802045525</v>
      </c>
      <c r="B400" s="79">
        <v>202318020</v>
      </c>
      <c r="C400" s="79" t="s">
        <v>43</v>
      </c>
      <c r="D400" s="80">
        <v>45525</v>
      </c>
      <c r="E400" s="79" t="s">
        <v>16</v>
      </c>
      <c r="F400" s="79" t="s">
        <v>104</v>
      </c>
      <c r="G400" s="79"/>
      <c r="H400" s="103" t="s">
        <v>255</v>
      </c>
    </row>
    <row r="401" spans="1:8">
      <c r="A401" s="79" t="str">
        <f>LeaveData[[#This Row],[ EMP ID]]&amp;LeaveData[[#This Row],[Date]]</f>
        <v>20231802245525</v>
      </c>
      <c r="B401" s="79">
        <v>202318022</v>
      </c>
      <c r="C401" s="79" t="s">
        <v>45</v>
      </c>
      <c r="D401" s="80">
        <v>45525</v>
      </c>
      <c r="E401" s="79" t="s">
        <v>16</v>
      </c>
      <c r="F401" s="79" t="s">
        <v>118</v>
      </c>
      <c r="G401" s="79"/>
      <c r="H401" s="103" t="s">
        <v>255</v>
      </c>
    </row>
    <row r="402" spans="1:8">
      <c r="A402" s="79" t="str">
        <f>LeaveData[[#This Row],[ EMP ID]]&amp;LeaveData[[#This Row],[Date]]</f>
        <v>20231801645525</v>
      </c>
      <c r="B402" s="79">
        <v>202318016</v>
      </c>
      <c r="C402" s="79" t="s">
        <v>36</v>
      </c>
      <c r="D402" s="80">
        <v>45525</v>
      </c>
      <c r="E402" s="79" t="s">
        <v>14</v>
      </c>
      <c r="F402" s="79" t="s">
        <v>235</v>
      </c>
      <c r="G402" s="79"/>
      <c r="H402" s="79" t="s">
        <v>256</v>
      </c>
    </row>
    <row r="403" spans="1:8">
      <c r="A403" s="79" t="str">
        <f>LeaveData[[#This Row],[ EMP ID]]&amp;LeaveData[[#This Row],[Date]]</f>
        <v>20231802145514</v>
      </c>
      <c r="B403" s="79">
        <v>202318021</v>
      </c>
      <c r="C403" s="79" t="s">
        <v>257</v>
      </c>
      <c r="D403" s="80">
        <v>45514</v>
      </c>
      <c r="E403" s="79" t="s">
        <v>154</v>
      </c>
      <c r="F403" s="79" t="s">
        <v>43</v>
      </c>
      <c r="G403" s="79"/>
      <c r="H403" s="79" t="s">
        <v>155</v>
      </c>
    </row>
    <row r="404" spans="1:8">
      <c r="A404" s="79" t="str">
        <f>LeaveData[[#This Row],[ EMP ID]]&amp;LeaveData[[#This Row],[Date]]</f>
        <v>20231802645514</v>
      </c>
      <c r="B404" s="79">
        <v>202318026</v>
      </c>
      <c r="C404" s="79" t="s">
        <v>53</v>
      </c>
      <c r="D404" s="80">
        <v>45514</v>
      </c>
      <c r="E404" s="79" t="s">
        <v>154</v>
      </c>
      <c r="F404" s="79" t="s">
        <v>45</v>
      </c>
      <c r="G404" s="79"/>
      <c r="H404" s="79" t="s">
        <v>155</v>
      </c>
    </row>
    <row r="405" spans="1:8">
      <c r="A405" s="79" t="str">
        <f>LeaveData[[#This Row],[ EMP ID]]&amp;LeaveData[[#This Row],[Date]]</f>
        <v>20231802145526</v>
      </c>
      <c r="B405" s="79">
        <v>202318021</v>
      </c>
      <c r="C405" s="79" t="s">
        <v>257</v>
      </c>
      <c r="D405" s="80">
        <v>45526</v>
      </c>
      <c r="E405" s="79" t="s">
        <v>13</v>
      </c>
      <c r="F405" s="79" t="s">
        <v>43</v>
      </c>
      <c r="G405" s="79"/>
      <c r="H405" s="79" t="s">
        <v>258</v>
      </c>
    </row>
    <row r="406" spans="1:8">
      <c r="A406" s="79" t="str">
        <f>LeaveData[[#This Row],[ EMP ID]]&amp;LeaveData[[#This Row],[Date]]</f>
        <v>20231802345525</v>
      </c>
      <c r="B406" s="79">
        <v>202318023</v>
      </c>
      <c r="C406" s="79" t="s">
        <v>148</v>
      </c>
      <c r="D406" s="80">
        <v>45525</v>
      </c>
      <c r="E406" s="79" t="s">
        <v>12</v>
      </c>
      <c r="F406" s="79" t="s">
        <v>29</v>
      </c>
      <c r="G406" s="79"/>
      <c r="H406" s="79" t="s">
        <v>119</v>
      </c>
    </row>
    <row r="407" spans="1:8">
      <c r="A407" s="79" t="str">
        <f>LeaveData[[#This Row],[ EMP ID]]&amp;LeaveData[[#This Row],[Date]]</f>
        <v>20232001345527</v>
      </c>
      <c r="B407" s="79">
        <v>202320013</v>
      </c>
      <c r="C407" s="79" t="s">
        <v>56</v>
      </c>
      <c r="D407" s="80">
        <v>45527</v>
      </c>
      <c r="E407" s="79" t="s">
        <v>13</v>
      </c>
      <c r="F407" s="79" t="s">
        <v>235</v>
      </c>
      <c r="G407" s="79"/>
      <c r="H407" s="79" t="s">
        <v>113</v>
      </c>
    </row>
    <row r="408" spans="1:8">
      <c r="A408" s="79" t="str">
        <f>LeaveData[[#This Row],[ EMP ID]]&amp;LeaveData[[#This Row],[Date]]</f>
        <v>20232001345528</v>
      </c>
      <c r="B408" s="79">
        <v>202320013</v>
      </c>
      <c r="C408" s="79" t="s">
        <v>56</v>
      </c>
      <c r="D408" s="80">
        <v>45528</v>
      </c>
      <c r="E408" s="79" t="s">
        <v>13</v>
      </c>
      <c r="F408" s="79" t="s">
        <v>235</v>
      </c>
      <c r="G408" s="79"/>
      <c r="H408" s="79" t="s">
        <v>113</v>
      </c>
    </row>
    <row r="409" spans="1:8">
      <c r="A409" s="79" t="str">
        <f>LeaveData[[#This Row],[ EMP ID]]&amp;LeaveData[[#This Row],[Date]]</f>
        <v>20221801345525</v>
      </c>
      <c r="B409" s="79">
        <v>202218013</v>
      </c>
      <c r="C409" s="79" t="s">
        <v>85</v>
      </c>
      <c r="D409" s="80">
        <v>45525</v>
      </c>
      <c r="E409" s="79" t="s">
        <v>13</v>
      </c>
      <c r="F409" s="79" t="s">
        <v>118</v>
      </c>
      <c r="G409" s="79"/>
      <c r="H409" s="79"/>
    </row>
    <row r="410" spans="1:8">
      <c r="A410" s="79" t="str">
        <f>LeaveData[[#This Row],[ EMP ID]]&amp;LeaveData[[#This Row],[Date]]</f>
        <v>20221801345526</v>
      </c>
      <c r="B410" s="79">
        <v>202218013</v>
      </c>
      <c r="C410" s="79" t="s">
        <v>85</v>
      </c>
      <c r="D410" s="80">
        <v>45526</v>
      </c>
      <c r="E410" s="79" t="s">
        <v>13</v>
      </c>
      <c r="F410" s="79" t="s">
        <v>118</v>
      </c>
      <c r="G410" s="79"/>
      <c r="H410" s="79"/>
    </row>
    <row r="411" spans="1:8">
      <c r="A411" s="79" t="str">
        <f>LeaveData[[#This Row],[ EMP ID]]&amp;LeaveData[[#This Row],[Date]]</f>
        <v>20241803745528</v>
      </c>
      <c r="B411" s="79">
        <v>202418037</v>
      </c>
      <c r="C411" s="79" t="s">
        <v>243</v>
      </c>
      <c r="D411" s="80">
        <v>45528</v>
      </c>
      <c r="E411" s="79" t="s">
        <v>16</v>
      </c>
      <c r="F411" s="79" t="s">
        <v>118</v>
      </c>
      <c r="G411" s="79"/>
      <c r="H411" s="79" t="s">
        <v>259</v>
      </c>
    </row>
    <row r="412" spans="1:8">
      <c r="A412" s="79" t="str">
        <f>LeaveData[[#This Row],[ EMP ID]]&amp;LeaveData[[#This Row],[Date]]</f>
        <v>20231802845528</v>
      </c>
      <c r="B412" s="79">
        <v>202318028</v>
      </c>
      <c r="C412" s="79" t="s">
        <v>57</v>
      </c>
      <c r="D412" s="80">
        <v>45528</v>
      </c>
      <c r="E412" s="79" t="s">
        <v>16</v>
      </c>
      <c r="F412" s="79" t="s">
        <v>118</v>
      </c>
      <c r="G412" s="79"/>
      <c r="H412" s="79" t="s">
        <v>259</v>
      </c>
    </row>
    <row r="413" spans="1:8">
      <c r="A413" s="79" t="str">
        <f>LeaveData[[#This Row],[ EMP ID]]&amp;LeaveData[[#This Row],[Date]]</f>
        <v>20231801945528</v>
      </c>
      <c r="B413" s="79">
        <v>202318019</v>
      </c>
      <c r="C413" s="79" t="s">
        <v>89</v>
      </c>
      <c r="D413" s="80">
        <v>45528</v>
      </c>
      <c r="E413" s="79" t="s">
        <v>16</v>
      </c>
      <c r="F413" s="79" t="s">
        <v>235</v>
      </c>
      <c r="G413" s="79"/>
      <c r="H413" s="79" t="s">
        <v>259</v>
      </c>
    </row>
    <row r="414" spans="1:8">
      <c r="A414" s="79" t="str">
        <f>LeaveData[[#This Row],[ EMP ID]]&amp;LeaveData[[#This Row],[Date]]</f>
        <v>20231802045528</v>
      </c>
      <c r="B414" s="79">
        <v>202318020</v>
      </c>
      <c r="C414" s="79" t="s">
        <v>43</v>
      </c>
      <c r="D414" s="80">
        <v>45528</v>
      </c>
      <c r="E414" s="79" t="s">
        <v>16</v>
      </c>
      <c r="F414" s="79" t="s">
        <v>104</v>
      </c>
      <c r="G414" s="79"/>
      <c r="H414" s="79" t="s">
        <v>260</v>
      </c>
    </row>
    <row r="415" spans="1:8">
      <c r="A415" s="79" t="str">
        <f>LeaveData[[#This Row],[ EMP ID]]&amp;LeaveData[[#This Row],[Date]]</f>
        <v>20231802745531</v>
      </c>
      <c r="B415" s="79">
        <v>202318027</v>
      </c>
      <c r="C415" s="79" t="s">
        <v>54</v>
      </c>
      <c r="D415" s="80">
        <v>45531</v>
      </c>
      <c r="E415" s="79" t="s">
        <v>13</v>
      </c>
      <c r="F415" s="79" t="s">
        <v>106</v>
      </c>
      <c r="G415" s="79"/>
      <c r="H415" s="79" t="s">
        <v>261</v>
      </c>
    </row>
    <row r="416" spans="1:8">
      <c r="A416" s="79" t="str">
        <f>LeaveData[[#This Row],[ EMP ID]]&amp;LeaveData[[#This Row],[Date]]</f>
        <v>20221800945528</v>
      </c>
      <c r="B416" s="79">
        <v>202218009</v>
      </c>
      <c r="C416" s="79" t="s">
        <v>26</v>
      </c>
      <c r="D416" s="80">
        <v>45528</v>
      </c>
      <c r="E416" s="79" t="s">
        <v>14</v>
      </c>
      <c r="F416" s="79" t="s">
        <v>29</v>
      </c>
      <c r="G416" s="79"/>
      <c r="H416" s="79" t="s">
        <v>262</v>
      </c>
    </row>
    <row r="417" spans="1:8">
      <c r="A417" s="79" t="str">
        <f>LeaveData[[#This Row],[ EMP ID]]&amp;LeaveData[[#This Row],[Date]]</f>
        <v>20221801145528</v>
      </c>
      <c r="B417" s="79">
        <v>202218011</v>
      </c>
      <c r="C417" s="79" t="s">
        <v>28</v>
      </c>
      <c r="D417" s="80">
        <v>45528</v>
      </c>
      <c r="E417" s="79" t="s">
        <v>14</v>
      </c>
      <c r="F417" s="79" t="s">
        <v>27</v>
      </c>
      <c r="G417" s="79"/>
      <c r="H417" s="79" t="s">
        <v>262</v>
      </c>
    </row>
    <row r="418" spans="1:8">
      <c r="A418" s="79" t="str">
        <f>LeaveData[[#This Row],[ EMP ID]]&amp;LeaveData[[#This Row],[Date]]</f>
        <v>20221801345531</v>
      </c>
      <c r="B418" s="79">
        <v>202218013</v>
      </c>
      <c r="C418" s="79" t="s">
        <v>85</v>
      </c>
      <c r="D418" s="80">
        <v>45531</v>
      </c>
      <c r="E418" s="79" t="s">
        <v>16</v>
      </c>
      <c r="F418" s="79" t="s">
        <v>118</v>
      </c>
      <c r="G418" s="79"/>
      <c r="H418" s="79" t="s">
        <v>263</v>
      </c>
    </row>
    <row r="419" spans="1:8">
      <c r="A419" s="79" t="str">
        <f>LeaveData[[#This Row],[ EMP ID]]&amp;LeaveData[[#This Row],[Date]]</f>
        <v>20221801445531</v>
      </c>
      <c r="B419" s="79">
        <v>202218014</v>
      </c>
      <c r="C419" s="79" t="s">
        <v>32</v>
      </c>
      <c r="D419" s="80">
        <v>45531</v>
      </c>
      <c r="E419" s="79" t="s">
        <v>12</v>
      </c>
      <c r="F419" s="79" t="s">
        <v>125</v>
      </c>
      <c r="G419" s="79"/>
      <c r="H419" s="79" t="s">
        <v>119</v>
      </c>
    </row>
    <row r="420" spans="1:8">
      <c r="A420" s="79" t="str">
        <f>LeaveData[[#This Row],[ EMP ID]]&amp;LeaveData[[#This Row],[Date]]</f>
        <v>20231801945534</v>
      </c>
      <c r="B420" s="79">
        <v>202318019</v>
      </c>
      <c r="C420" s="79" t="s">
        <v>89</v>
      </c>
      <c r="D420" s="80">
        <v>45534</v>
      </c>
      <c r="E420" s="79" t="s">
        <v>12</v>
      </c>
      <c r="F420" s="79" t="s">
        <v>235</v>
      </c>
      <c r="G420" s="79"/>
      <c r="H420" s="79" t="s">
        <v>119</v>
      </c>
    </row>
    <row r="421" spans="1:8">
      <c r="A421" s="79" t="str">
        <f>LeaveData[[#This Row],[ EMP ID]]&amp;LeaveData[[#This Row],[Date]]</f>
        <v>20242001545537</v>
      </c>
      <c r="B421" s="79">
        <v>202420015</v>
      </c>
      <c r="C421" s="79" t="s">
        <v>64</v>
      </c>
      <c r="D421" s="80">
        <v>45537</v>
      </c>
      <c r="E421" s="79" t="s">
        <v>13</v>
      </c>
      <c r="F421" s="86" t="s">
        <v>114</v>
      </c>
      <c r="G421" s="79"/>
      <c r="H421" s="79" t="s">
        <v>264</v>
      </c>
    </row>
    <row r="422" spans="1:8">
      <c r="A422" s="79" t="str">
        <f>LeaveData[[#This Row],[ EMP ID]]&amp;LeaveData[[#This Row],[Date]]</f>
        <v>20221801345535</v>
      </c>
      <c r="B422" s="79">
        <v>202218013</v>
      </c>
      <c r="C422" s="79" t="s">
        <v>85</v>
      </c>
      <c r="D422" s="80">
        <v>45535</v>
      </c>
      <c r="E422" s="79" t="s">
        <v>13</v>
      </c>
      <c r="F422" s="79" t="s">
        <v>118</v>
      </c>
      <c r="G422" s="79"/>
      <c r="H422" s="79" t="s">
        <v>265</v>
      </c>
    </row>
    <row r="423" spans="1:8">
      <c r="A423" s="79" t="str">
        <f>LeaveData[[#This Row],[ EMP ID]]&amp;LeaveData[[#This Row],[Date]]</f>
        <v>20241803745535</v>
      </c>
      <c r="B423" s="79">
        <v>202418037</v>
      </c>
      <c r="C423" s="79" t="s">
        <v>243</v>
      </c>
      <c r="D423" s="80">
        <v>45535</v>
      </c>
      <c r="E423" s="79" t="s">
        <v>14</v>
      </c>
      <c r="F423" s="79" t="s">
        <v>118</v>
      </c>
      <c r="G423" s="79"/>
      <c r="H423" s="79" t="s">
        <v>266</v>
      </c>
    </row>
    <row r="424" spans="1:8">
      <c r="A424" s="79" t="str">
        <f>LeaveData[[#This Row],[ EMP ID]]&amp;LeaveData[[#This Row],[Date]]</f>
        <v>20241803745537</v>
      </c>
      <c r="B424" s="79">
        <v>202418037</v>
      </c>
      <c r="C424" s="79" t="s">
        <v>243</v>
      </c>
      <c r="D424" s="80">
        <v>45537</v>
      </c>
      <c r="E424" s="79" t="s">
        <v>13</v>
      </c>
      <c r="F424" s="79" t="s">
        <v>118</v>
      </c>
      <c r="G424" s="79"/>
      <c r="H424" s="79" t="s">
        <v>267</v>
      </c>
    </row>
    <row r="425" spans="1:8">
      <c r="A425" s="79" t="str">
        <f>LeaveData[[#This Row],[ EMP ID]]&amp;LeaveData[[#This Row],[Date]]</f>
        <v>20201800645537</v>
      </c>
      <c r="B425" s="79">
        <v>202018006</v>
      </c>
      <c r="C425" s="79" t="s">
        <v>23</v>
      </c>
      <c r="D425" s="80">
        <v>45537</v>
      </c>
      <c r="E425" s="79" t="s">
        <v>12</v>
      </c>
      <c r="F425" s="79" t="s">
        <v>104</v>
      </c>
      <c r="G425" s="79"/>
      <c r="H425" s="79" t="s">
        <v>268</v>
      </c>
    </row>
    <row r="426" spans="1:8">
      <c r="A426" s="79" t="str">
        <f>LeaveData[[#This Row],[ EMP ID]]&amp;LeaveData[[#This Row],[Date]]</f>
        <v>20231802045537</v>
      </c>
      <c r="B426" s="79">
        <v>202318020</v>
      </c>
      <c r="C426" s="79" t="s">
        <v>43</v>
      </c>
      <c r="D426" s="80">
        <v>45537</v>
      </c>
      <c r="E426" s="79" t="s">
        <v>16</v>
      </c>
      <c r="F426" s="79" t="s">
        <v>104</v>
      </c>
      <c r="G426" s="79"/>
      <c r="H426" s="79" t="s">
        <v>269</v>
      </c>
    </row>
    <row r="427" spans="1:8">
      <c r="A427" s="79" t="str">
        <f>LeaveData[[#This Row],[ EMP ID]]&amp;LeaveData[[#This Row],[Date]]</f>
        <v>20242100445505</v>
      </c>
      <c r="B427" s="79">
        <v>202421004</v>
      </c>
      <c r="C427" s="79" t="s">
        <v>270</v>
      </c>
      <c r="D427" s="80">
        <v>45505</v>
      </c>
      <c r="E427" s="79" t="s">
        <v>199</v>
      </c>
      <c r="F427" s="79" t="s">
        <v>206</v>
      </c>
      <c r="G427" s="79"/>
      <c r="H427" s="79" t="s">
        <v>200</v>
      </c>
    </row>
    <row r="428" spans="1:8">
      <c r="A428" s="79" t="str">
        <f>LeaveData[[#This Row],[ EMP ID]]&amp;LeaveData[[#This Row],[Date]]</f>
        <v>20242100545505</v>
      </c>
      <c r="B428" s="79">
        <v>202421005</v>
      </c>
      <c r="C428" s="79" t="s">
        <v>271</v>
      </c>
      <c r="D428" s="80">
        <v>45505</v>
      </c>
      <c r="E428" s="79" t="s">
        <v>199</v>
      </c>
      <c r="F428" s="79" t="s">
        <v>206</v>
      </c>
      <c r="G428" s="79"/>
      <c r="H428" s="79" t="s">
        <v>200</v>
      </c>
    </row>
    <row r="429" spans="1:8">
      <c r="A429" s="79" t="str">
        <f>LeaveData[[#This Row],[ EMP ID]]&amp;LeaveData[[#This Row],[Date]]</f>
        <v>20242100645505</v>
      </c>
      <c r="B429" s="79">
        <v>202421006</v>
      </c>
      <c r="C429" s="79" t="s">
        <v>272</v>
      </c>
      <c r="D429" s="80">
        <v>45505</v>
      </c>
      <c r="E429" s="79" t="s">
        <v>199</v>
      </c>
      <c r="F429" s="79" t="s">
        <v>206</v>
      </c>
      <c r="G429" s="79"/>
      <c r="H429" s="79" t="s">
        <v>200</v>
      </c>
    </row>
    <row r="430" spans="1:8">
      <c r="A430" s="79" t="str">
        <f>LeaveData[[#This Row],[ EMP ID]]&amp;LeaveData[[#This Row],[Date]]</f>
        <v>20242100745505</v>
      </c>
      <c r="B430" s="79">
        <v>202421007</v>
      </c>
      <c r="C430" s="79" t="s">
        <v>273</v>
      </c>
      <c r="D430" s="80">
        <v>45505</v>
      </c>
      <c r="E430" s="79" t="s">
        <v>199</v>
      </c>
      <c r="F430" s="79" t="s">
        <v>206</v>
      </c>
      <c r="G430" s="79"/>
      <c r="H430" s="79" t="s">
        <v>200</v>
      </c>
    </row>
    <row r="431" spans="1:8">
      <c r="A431" s="79" t="str">
        <f>LeaveData[[#This Row],[ EMP ID]]&amp;LeaveData[[#This Row],[Date]]</f>
        <v>20242100845505</v>
      </c>
      <c r="B431" s="79">
        <v>202421008</v>
      </c>
      <c r="C431" s="79" t="s">
        <v>274</v>
      </c>
      <c r="D431" s="80">
        <v>45505</v>
      </c>
      <c r="E431" s="79" t="s">
        <v>199</v>
      </c>
      <c r="F431" s="79" t="s">
        <v>206</v>
      </c>
      <c r="G431" s="79"/>
      <c r="H431" s="79" t="s">
        <v>200</v>
      </c>
    </row>
    <row r="432" spans="1:8">
      <c r="A432" s="79" t="str">
        <f>LeaveData[[#This Row],[ EMP ID]]&amp;LeaveData[[#This Row],[Date]]</f>
        <v>20241803845535</v>
      </c>
      <c r="B432" s="79">
        <v>202418038</v>
      </c>
      <c r="C432" s="79" t="s">
        <v>246</v>
      </c>
      <c r="D432" s="80">
        <v>45535</v>
      </c>
      <c r="E432" s="79" t="s">
        <v>14</v>
      </c>
      <c r="F432" s="86" t="s">
        <v>114</v>
      </c>
      <c r="G432" s="79"/>
      <c r="H432" s="79" t="s">
        <v>275</v>
      </c>
    </row>
    <row r="433" spans="1:8">
      <c r="A433" s="79" t="str">
        <f>LeaveData[[#This Row],[ EMP ID]]&amp;LeaveData[[#This Row],[Date]]</f>
        <v>20231801845547</v>
      </c>
      <c r="B433" s="79">
        <v>202318018</v>
      </c>
      <c r="C433" s="79" t="s">
        <v>40</v>
      </c>
      <c r="D433" s="80">
        <v>45547</v>
      </c>
      <c r="E433" s="79" t="s">
        <v>13</v>
      </c>
      <c r="F433" s="79" t="s">
        <v>106</v>
      </c>
      <c r="G433" s="79"/>
      <c r="H433" s="90" t="s">
        <v>276</v>
      </c>
    </row>
    <row r="434" spans="1:8">
      <c r="A434" s="79" t="str">
        <f>LeaveData[[#This Row],[ EMP ID]]&amp;LeaveData[[#This Row],[Date]]</f>
        <v>20231801845548</v>
      </c>
      <c r="B434" s="79">
        <v>202318018</v>
      </c>
      <c r="C434" s="79" t="s">
        <v>40</v>
      </c>
      <c r="D434" s="80">
        <v>45548</v>
      </c>
      <c r="E434" s="79" t="s">
        <v>13</v>
      </c>
      <c r="F434" s="79" t="s">
        <v>106</v>
      </c>
      <c r="G434" s="79"/>
      <c r="H434" s="90" t="s">
        <v>276</v>
      </c>
    </row>
    <row r="435" spans="1:8">
      <c r="A435" s="79" t="str">
        <f>LeaveData[[#This Row],[ EMP ID]]&amp;LeaveData[[#This Row],[Date]]</f>
        <v>20242100145539</v>
      </c>
      <c r="B435" s="79">
        <v>202421001</v>
      </c>
      <c r="C435" s="79" t="s">
        <v>221</v>
      </c>
      <c r="D435" s="80">
        <v>45539</v>
      </c>
      <c r="E435" s="79" t="s">
        <v>13</v>
      </c>
      <c r="F435" s="79" t="s">
        <v>206</v>
      </c>
      <c r="G435" s="79"/>
      <c r="H435" s="79" t="s">
        <v>277</v>
      </c>
    </row>
    <row r="436" spans="1:8">
      <c r="A436" s="79" t="str">
        <f>LeaveData[[#This Row],[ EMP ID]]&amp;LeaveData[[#This Row],[Date]]</f>
        <v>20242100245539</v>
      </c>
      <c r="B436" s="79">
        <v>202421002</v>
      </c>
      <c r="C436" s="79" t="s">
        <v>223</v>
      </c>
      <c r="D436" s="80">
        <v>45539</v>
      </c>
      <c r="E436" s="79" t="s">
        <v>13</v>
      </c>
      <c r="F436" s="79" t="s">
        <v>206</v>
      </c>
      <c r="G436" s="79"/>
      <c r="H436" s="79" t="s">
        <v>278</v>
      </c>
    </row>
    <row r="437" spans="1:8">
      <c r="A437" s="79" t="str">
        <f>LeaveData[[#This Row],[ EMP ID]]&amp;LeaveData[[#This Row],[Date]]</f>
        <v>20242100945505</v>
      </c>
      <c r="B437" s="79">
        <v>202421009</v>
      </c>
      <c r="C437" s="79" t="s">
        <v>279</v>
      </c>
      <c r="D437" s="80">
        <v>45505</v>
      </c>
      <c r="E437" s="79" t="s">
        <v>199</v>
      </c>
      <c r="F437" s="79" t="s">
        <v>206</v>
      </c>
      <c r="G437" s="79"/>
      <c r="H437" s="79" t="s">
        <v>200</v>
      </c>
    </row>
    <row r="438" spans="1:8">
      <c r="A438" s="79" t="str">
        <f>LeaveData[[#This Row],[ EMP ID]]&amp;LeaveData[[#This Row],[Date]]</f>
        <v>20231802645539</v>
      </c>
      <c r="B438" s="79">
        <v>202318026</v>
      </c>
      <c r="C438" s="79" t="s">
        <v>53</v>
      </c>
      <c r="D438" s="80">
        <v>45539</v>
      </c>
      <c r="E438" s="79" t="s">
        <v>12</v>
      </c>
      <c r="F438" s="79" t="s">
        <v>45</v>
      </c>
      <c r="G438" s="79"/>
      <c r="H438" s="79" t="s">
        <v>140</v>
      </c>
    </row>
    <row r="439" spans="1:8">
      <c r="A439" s="79" t="str">
        <f>LeaveData[[#This Row],[ EMP ID]]&amp;LeaveData[[#This Row],[Date]]</f>
        <v>20242001645506</v>
      </c>
      <c r="B439" s="79">
        <v>202420016</v>
      </c>
      <c r="C439" s="79" t="s">
        <v>280</v>
      </c>
      <c r="D439" s="80">
        <v>45506</v>
      </c>
      <c r="E439" s="79" t="s">
        <v>199</v>
      </c>
      <c r="F439" s="79" t="s">
        <v>104</v>
      </c>
      <c r="G439" s="79"/>
      <c r="H439" s="79" t="s">
        <v>200</v>
      </c>
    </row>
    <row r="440" spans="1:8">
      <c r="A440" s="79" t="str">
        <f>LeaveData[[#This Row],[ EMP ID]]&amp;LeaveData[[#This Row],[Date]]</f>
        <v>20240100145487</v>
      </c>
      <c r="B440" s="79">
        <v>202401001</v>
      </c>
      <c r="C440" s="79" t="s">
        <v>61</v>
      </c>
      <c r="D440" s="80">
        <v>45487</v>
      </c>
      <c r="E440" s="79" t="s">
        <v>154</v>
      </c>
      <c r="F440" s="79" t="s">
        <v>43</v>
      </c>
      <c r="G440" s="79"/>
      <c r="H440" s="79" t="s">
        <v>155</v>
      </c>
    </row>
    <row r="441" spans="1:8">
      <c r="A441" s="79" t="str">
        <f>LeaveData[[#This Row],[ EMP ID]]&amp;LeaveData[[#This Row],[Date]]</f>
        <v>20240100145539</v>
      </c>
      <c r="B441" s="79">
        <v>202401001</v>
      </c>
      <c r="C441" s="79" t="s">
        <v>61</v>
      </c>
      <c r="D441" s="80">
        <v>45539</v>
      </c>
      <c r="E441" s="79" t="s">
        <v>13</v>
      </c>
      <c r="F441" s="79" t="s">
        <v>43</v>
      </c>
      <c r="G441" s="79"/>
      <c r="H441" s="79" t="s">
        <v>156</v>
      </c>
    </row>
    <row r="442" spans="1:8">
      <c r="A442" s="79" t="str">
        <f>LeaveData[[#This Row],[ EMP ID]]&amp;LeaveData[[#This Row],[Date]]</f>
        <v>20221801345537</v>
      </c>
      <c r="B442" s="79">
        <v>202218013</v>
      </c>
      <c r="C442" s="79" t="s">
        <v>85</v>
      </c>
      <c r="D442" s="80">
        <v>45537</v>
      </c>
      <c r="E442" s="79" t="s">
        <v>12</v>
      </c>
      <c r="F442" s="79" t="s">
        <v>118</v>
      </c>
      <c r="G442" s="79"/>
      <c r="H442" s="79" t="s">
        <v>140</v>
      </c>
    </row>
    <row r="443" spans="1:8">
      <c r="A443" s="79" t="str">
        <f>LeaveData[[#This Row],[ EMP ID]]&amp;LeaveData[[#This Row],[Date]]</f>
        <v>20221801345538</v>
      </c>
      <c r="B443" s="79">
        <v>202218013</v>
      </c>
      <c r="C443" s="79" t="s">
        <v>85</v>
      </c>
      <c r="D443" s="80">
        <v>45538</v>
      </c>
      <c r="E443" s="79" t="s">
        <v>12</v>
      </c>
      <c r="F443" s="79" t="s">
        <v>118</v>
      </c>
      <c r="G443" s="79"/>
      <c r="H443" s="79" t="s">
        <v>140</v>
      </c>
    </row>
    <row r="444" spans="1:8">
      <c r="A444" s="79" t="str">
        <f>LeaveData[[#This Row],[ EMP ID]]&amp;LeaveData[[#This Row],[Date]]</f>
        <v>20221801345539</v>
      </c>
      <c r="B444" s="79">
        <v>202218013</v>
      </c>
      <c r="C444" s="79" t="s">
        <v>85</v>
      </c>
      <c r="D444" s="80">
        <v>45539</v>
      </c>
      <c r="E444" s="79" t="s">
        <v>12</v>
      </c>
      <c r="F444" s="79" t="s">
        <v>118</v>
      </c>
      <c r="G444" s="79"/>
      <c r="H444" s="79" t="s">
        <v>140</v>
      </c>
    </row>
    <row r="445" spans="1:8">
      <c r="A445" s="79" t="str">
        <f>LeaveData[[#This Row],[ EMP ID]]&amp;LeaveData[[#This Row],[Date]]</f>
        <v>20231801945540</v>
      </c>
      <c r="B445" s="79">
        <v>202318019</v>
      </c>
      <c r="C445" s="79" t="s">
        <v>89</v>
      </c>
      <c r="D445" s="80">
        <v>45540</v>
      </c>
      <c r="E445" s="79" t="s">
        <v>12</v>
      </c>
      <c r="F445" s="79" t="s">
        <v>235</v>
      </c>
      <c r="G445" s="79"/>
      <c r="H445" s="79" t="s">
        <v>140</v>
      </c>
    </row>
    <row r="446" spans="1:8">
      <c r="A446" s="79" t="str">
        <f>LeaveData[[#This Row],[ EMP ID]]&amp;LeaveData[[#This Row],[Date]]</f>
        <v>20231801645544</v>
      </c>
      <c r="B446" s="79">
        <v>202318016</v>
      </c>
      <c r="C446" s="79" t="s">
        <v>36</v>
      </c>
      <c r="D446" s="80">
        <v>45544</v>
      </c>
      <c r="E446" s="79" t="s">
        <v>13</v>
      </c>
      <c r="F446" s="79" t="s">
        <v>235</v>
      </c>
      <c r="G446" s="79"/>
      <c r="H446" s="79" t="s">
        <v>168</v>
      </c>
    </row>
    <row r="447" spans="1:8">
      <c r="A447" s="79" t="str">
        <f>LeaveData[[#This Row],[ EMP ID]]&amp;LeaveData[[#This Row],[Date]]</f>
        <v>20241803645541</v>
      </c>
      <c r="B447" s="79">
        <v>202418036</v>
      </c>
      <c r="C447" s="79" t="s">
        <v>232</v>
      </c>
      <c r="D447" s="80">
        <v>45541</v>
      </c>
      <c r="E447" s="79" t="s">
        <v>14</v>
      </c>
      <c r="F447" s="79" t="s">
        <v>114</v>
      </c>
      <c r="G447" s="79"/>
      <c r="H447" s="79" t="s">
        <v>281</v>
      </c>
    </row>
    <row r="448" spans="1:8">
      <c r="A448" s="79" t="str">
        <f>LeaveData[[#This Row],[ EMP ID]]&amp;LeaveData[[#This Row],[Date]]</f>
        <v>20242101145560</v>
      </c>
      <c r="B448" s="79">
        <v>202421011</v>
      </c>
      <c r="C448" s="79" t="s">
        <v>309</v>
      </c>
      <c r="D448" s="80">
        <v>45560</v>
      </c>
      <c r="E448" s="79" t="s">
        <v>199</v>
      </c>
      <c r="F448" s="79" t="s">
        <v>206</v>
      </c>
      <c r="G448" s="79"/>
      <c r="H448" s="79" t="s">
        <v>200</v>
      </c>
    </row>
    <row r="449" spans="1:8">
      <c r="A449" s="79" t="str">
        <f>LeaveData[[#This Row],[ EMP ID]]&amp;LeaveData[[#This Row],[Date]]</f>
        <v>20232001245581</v>
      </c>
      <c r="B449" s="79">
        <v>202320012</v>
      </c>
      <c r="C449" s="79" t="s">
        <v>55</v>
      </c>
      <c r="D449" s="80">
        <v>45581</v>
      </c>
      <c r="E449" s="79" t="s">
        <v>195</v>
      </c>
      <c r="F449" s="79" t="s">
        <v>118</v>
      </c>
      <c r="G449" s="79"/>
      <c r="H449" s="79" t="s">
        <v>196</v>
      </c>
    </row>
    <row r="450" spans="1:8">
      <c r="A450" s="79" t="str">
        <f>LeaveData[[#This Row],[ EMP ID]]&amp;LeaveData[[#This Row],[Date]]</f>
        <v>20201800645542</v>
      </c>
      <c r="B450" s="79">
        <v>202018006</v>
      </c>
      <c r="C450" s="79" t="s">
        <v>23</v>
      </c>
      <c r="D450" s="80">
        <v>45542</v>
      </c>
      <c r="E450" s="79" t="s">
        <v>12</v>
      </c>
      <c r="F450" s="79" t="s">
        <v>104</v>
      </c>
      <c r="G450" s="79"/>
      <c r="H450" s="79" t="s">
        <v>119</v>
      </c>
    </row>
    <row r="451" spans="1:8">
      <c r="A451" s="79" t="str">
        <f>LeaveData[[#This Row],[ EMP ID]]&amp;LeaveData[[#This Row],[Date]]</f>
        <v>20232000345542</v>
      </c>
      <c r="B451" s="79">
        <v>202320003</v>
      </c>
      <c r="C451" s="79" t="s">
        <v>33</v>
      </c>
      <c r="D451" s="80">
        <v>45542</v>
      </c>
      <c r="E451" s="79" t="s">
        <v>13</v>
      </c>
      <c r="F451" s="79" t="s">
        <v>104</v>
      </c>
      <c r="G451" s="79"/>
      <c r="H451" s="79" t="s">
        <v>194</v>
      </c>
    </row>
    <row r="452" spans="1:8">
      <c r="A452" s="79" t="str">
        <f>LeaveData[[#This Row],[ EMP ID]]&amp;LeaveData[[#This Row],[Date]]</f>
        <v>20232001245542</v>
      </c>
      <c r="B452" s="79">
        <v>202320012</v>
      </c>
      <c r="C452" s="79" t="s">
        <v>55</v>
      </c>
      <c r="D452" s="80">
        <v>45542</v>
      </c>
      <c r="E452" s="79" t="s">
        <v>14</v>
      </c>
      <c r="F452" s="79" t="s">
        <v>118</v>
      </c>
      <c r="G452" s="79"/>
      <c r="H452" s="79" t="s">
        <v>283</v>
      </c>
    </row>
    <row r="453" spans="1:8">
      <c r="A453" s="79" t="str">
        <f>LeaveData[[#This Row],[ EMP ID]]&amp;LeaveData[[#This Row],[Date]]</f>
        <v>20231802345544</v>
      </c>
      <c r="B453" s="79">
        <v>202318023</v>
      </c>
      <c r="C453" s="79" t="s">
        <v>148</v>
      </c>
      <c r="D453" s="80">
        <v>45544</v>
      </c>
      <c r="E453" s="79" t="s">
        <v>14</v>
      </c>
      <c r="F453" s="79" t="s">
        <v>29</v>
      </c>
      <c r="G453" s="79"/>
      <c r="H453" s="79" t="s">
        <v>284</v>
      </c>
    </row>
    <row r="454" spans="1:8">
      <c r="A454" s="79" t="str">
        <f>LeaveData[[#This Row],[ EMP ID]]&amp;LeaveData[[#This Row],[Date]]</f>
        <v>20221801445545</v>
      </c>
      <c r="B454" s="79">
        <v>202218014</v>
      </c>
      <c r="C454" s="79" t="s">
        <v>32</v>
      </c>
      <c r="D454" s="80">
        <v>45545</v>
      </c>
      <c r="E454" s="79" t="s">
        <v>13</v>
      </c>
      <c r="F454" s="79" t="s">
        <v>125</v>
      </c>
      <c r="G454" s="79"/>
      <c r="H454" s="79" t="s">
        <v>285</v>
      </c>
    </row>
    <row r="455" spans="1:8">
      <c r="A455" s="79" t="str">
        <f>LeaveData[[#This Row],[ EMP ID]]&amp;LeaveData[[#This Row],[Date]]</f>
        <v>20221801045548</v>
      </c>
      <c r="B455" s="79">
        <v>202218010</v>
      </c>
      <c r="C455" s="79" t="s">
        <v>27</v>
      </c>
      <c r="D455" s="80">
        <v>45548</v>
      </c>
      <c r="E455" s="79" t="s">
        <v>13</v>
      </c>
      <c r="F455" s="79" t="s">
        <v>118</v>
      </c>
      <c r="G455" s="79"/>
      <c r="H455" s="79" t="s">
        <v>286</v>
      </c>
    </row>
    <row r="456" spans="1:8">
      <c r="A456" s="79" t="str">
        <f>LeaveData[[#This Row],[ EMP ID]]&amp;LeaveData[[#This Row],[Date]]</f>
        <v>20232000945542</v>
      </c>
      <c r="B456" s="79">
        <v>202320009</v>
      </c>
      <c r="C456" s="79" t="s">
        <v>143</v>
      </c>
      <c r="D456" s="80">
        <v>45542</v>
      </c>
      <c r="E456" s="79" t="s">
        <v>14</v>
      </c>
      <c r="F456" s="79" t="s">
        <v>118</v>
      </c>
      <c r="G456" s="79"/>
      <c r="H456" s="79" t="s">
        <v>116</v>
      </c>
    </row>
    <row r="457" spans="1:8">
      <c r="A457" s="79" t="str">
        <f>LeaveData[[#This Row],[ EMP ID]]&amp;LeaveData[[#This Row],[Date]]</f>
        <v>20232000945544</v>
      </c>
      <c r="B457" s="79">
        <v>202320009</v>
      </c>
      <c r="C457" s="79" t="s">
        <v>143</v>
      </c>
      <c r="D457" s="80">
        <v>45544</v>
      </c>
      <c r="E457" s="79" t="s">
        <v>14</v>
      </c>
      <c r="F457" s="79" t="s">
        <v>118</v>
      </c>
      <c r="G457" s="79"/>
      <c r="H457" s="79" t="s">
        <v>116</v>
      </c>
    </row>
    <row r="458" spans="1:8">
      <c r="A458" s="79" t="str">
        <f>LeaveData[[#This Row],[ EMP ID]]&amp;LeaveData[[#This Row],[Date]]</f>
        <v>20232000945553</v>
      </c>
      <c r="B458" s="79">
        <v>202320009</v>
      </c>
      <c r="C458" s="79" t="s">
        <v>143</v>
      </c>
      <c r="D458" s="80">
        <v>45553</v>
      </c>
      <c r="E458" s="79" t="s">
        <v>13</v>
      </c>
      <c r="F458" s="79" t="s">
        <v>118</v>
      </c>
      <c r="G458" s="79"/>
      <c r="H458" s="79" t="s">
        <v>116</v>
      </c>
    </row>
    <row r="459" spans="1:8">
      <c r="A459" s="79" t="str">
        <f>LeaveData[[#This Row],[ EMP ID]]&amp;LeaveData[[#This Row],[Date]]</f>
        <v>20232001245545</v>
      </c>
      <c r="B459" s="79">
        <v>202320012</v>
      </c>
      <c r="C459" s="79" t="s">
        <v>55</v>
      </c>
      <c r="D459" s="80">
        <v>45545</v>
      </c>
      <c r="E459" s="79" t="s">
        <v>14</v>
      </c>
      <c r="F459" s="79" t="s">
        <v>104</v>
      </c>
      <c r="G459" s="79"/>
      <c r="H459" s="79" t="s">
        <v>287</v>
      </c>
    </row>
    <row r="460" spans="1:8">
      <c r="A460" s="79" t="str">
        <f>LeaveData[[#This Row],[ EMP ID]]&amp;LeaveData[[#This Row],[Date]]</f>
        <v>20242101045537</v>
      </c>
      <c r="B460" s="79">
        <v>202421010</v>
      </c>
      <c r="C460" s="79" t="s">
        <v>288</v>
      </c>
      <c r="D460" s="80">
        <v>45537</v>
      </c>
      <c r="E460" s="79" t="s">
        <v>199</v>
      </c>
      <c r="F460" s="79" t="s">
        <v>206</v>
      </c>
      <c r="G460" s="79"/>
      <c r="H460" s="79" t="s">
        <v>200</v>
      </c>
    </row>
    <row r="461" spans="1:8">
      <c r="A461" s="79" t="str">
        <f>LeaveData[[#This Row],[ EMP ID]]&amp;LeaveData[[#This Row],[Date]]</f>
        <v>20242100345544</v>
      </c>
      <c r="B461" s="79">
        <v>202421003</v>
      </c>
      <c r="C461" s="79" t="s">
        <v>205</v>
      </c>
      <c r="D461" s="80">
        <v>45544</v>
      </c>
      <c r="E461" s="79" t="s">
        <v>12</v>
      </c>
      <c r="F461" s="79" t="s">
        <v>206</v>
      </c>
      <c r="G461" s="79"/>
      <c r="H461" s="79" t="s">
        <v>119</v>
      </c>
    </row>
    <row r="462" spans="1:8">
      <c r="A462" s="79" t="str">
        <f>LeaveData[[#This Row],[ EMP ID]]&amp;LeaveData[[#This Row],[Date]]</f>
        <v>20242100345545</v>
      </c>
      <c r="B462" s="79">
        <v>202421003</v>
      </c>
      <c r="C462" s="79" t="s">
        <v>205</v>
      </c>
      <c r="D462" s="80">
        <v>45545</v>
      </c>
      <c r="E462" s="79" t="s">
        <v>12</v>
      </c>
      <c r="F462" s="79" t="s">
        <v>206</v>
      </c>
      <c r="G462" s="79"/>
      <c r="H462" s="79" t="s">
        <v>119</v>
      </c>
    </row>
    <row r="463" spans="1:8">
      <c r="A463" s="79" t="str">
        <f>LeaveData[[#This Row],[ EMP ID]]&amp;LeaveData[[#This Row],[Date]]</f>
        <v>20231802945546</v>
      </c>
      <c r="B463" s="79">
        <v>202318029</v>
      </c>
      <c r="C463" s="79" t="s">
        <v>59</v>
      </c>
      <c r="D463" s="80">
        <v>45546</v>
      </c>
      <c r="E463" s="79" t="s">
        <v>15</v>
      </c>
      <c r="F463" s="79" t="s">
        <v>43</v>
      </c>
      <c r="G463" s="79"/>
      <c r="H463" s="79" t="s">
        <v>289</v>
      </c>
    </row>
    <row r="464" spans="1:8">
      <c r="A464" s="79" t="str">
        <f>LeaveData[[#This Row],[ EMP ID]]&amp;LeaveData[[#This Row],[Date]]</f>
        <v>20201800645551</v>
      </c>
      <c r="B464" s="79">
        <v>202018006</v>
      </c>
      <c r="C464" s="79" t="s">
        <v>23</v>
      </c>
      <c r="D464" s="80">
        <v>45551</v>
      </c>
      <c r="E464" s="79" t="s">
        <v>13</v>
      </c>
      <c r="F464" s="79" t="s">
        <v>104</v>
      </c>
      <c r="G464" s="79"/>
      <c r="H464" s="79"/>
    </row>
    <row r="465" spans="1:8">
      <c r="A465" s="79" t="str">
        <f>LeaveData[[#This Row],[ EMP ID]]&amp;LeaveData[[#This Row],[Date]]</f>
        <v>20201800645552</v>
      </c>
      <c r="B465" s="79">
        <v>202018006</v>
      </c>
      <c r="C465" s="79" t="s">
        <v>23</v>
      </c>
      <c r="D465" s="80">
        <v>45552</v>
      </c>
      <c r="E465" s="79" t="s">
        <v>13</v>
      </c>
      <c r="F465" s="79" t="s">
        <v>104</v>
      </c>
      <c r="G465" s="79"/>
      <c r="H465" s="79"/>
    </row>
    <row r="466" spans="1:8">
      <c r="A466" s="79" t="str">
        <f>LeaveData[[#This Row],[ EMP ID]]&amp;LeaveData[[#This Row],[Date]]</f>
        <v>20231802145515</v>
      </c>
      <c r="B466" s="79">
        <v>202318021</v>
      </c>
      <c r="C466" s="79" t="s">
        <v>257</v>
      </c>
      <c r="D466" s="80">
        <v>45515</v>
      </c>
      <c r="E466" s="79" t="s">
        <v>154</v>
      </c>
      <c r="F466" s="79" t="s">
        <v>43</v>
      </c>
      <c r="G466" s="79"/>
      <c r="H466" s="79" t="s">
        <v>155</v>
      </c>
    </row>
    <row r="467" spans="1:8">
      <c r="A467" s="79" t="str">
        <f>LeaveData[[#This Row],[ EMP ID]]&amp;LeaveData[[#This Row],[Date]]</f>
        <v>20231802145548</v>
      </c>
      <c r="B467" s="79">
        <v>202318021</v>
      </c>
      <c r="C467" s="79" t="s">
        <v>257</v>
      </c>
      <c r="D467" s="80">
        <v>45548</v>
      </c>
      <c r="E467" s="79" t="s">
        <v>13</v>
      </c>
      <c r="F467" s="79" t="s">
        <v>43</v>
      </c>
      <c r="G467" s="79"/>
      <c r="H467" s="79" t="s">
        <v>156</v>
      </c>
    </row>
    <row r="468" spans="1:8">
      <c r="A468" s="79" t="str">
        <f>LeaveData[[#This Row],[ EMP ID]]&amp;LeaveData[[#This Row],[Date]]</f>
        <v>20232000345547</v>
      </c>
      <c r="B468" s="79">
        <v>202320003</v>
      </c>
      <c r="C468" s="79" t="s">
        <v>33</v>
      </c>
      <c r="D468" s="80">
        <v>45547</v>
      </c>
      <c r="E468" s="79" t="s">
        <v>12</v>
      </c>
      <c r="F468" s="79" t="s">
        <v>104</v>
      </c>
      <c r="G468" s="79"/>
      <c r="H468" s="79" t="s">
        <v>119</v>
      </c>
    </row>
    <row r="469" spans="1:8">
      <c r="A469" s="79" t="str">
        <f>LeaveData[[#This Row],[ EMP ID]]&amp;LeaveData[[#This Row],[Date]]</f>
        <v>20231802945547</v>
      </c>
      <c r="B469" s="79">
        <v>202318029</v>
      </c>
      <c r="C469" s="79" t="s">
        <v>59</v>
      </c>
      <c r="D469" s="80">
        <v>45547</v>
      </c>
      <c r="E469" s="79" t="s">
        <v>12</v>
      </c>
      <c r="F469" s="79" t="s">
        <v>43</v>
      </c>
      <c r="G469" s="79"/>
      <c r="H469" s="79" t="s">
        <v>119</v>
      </c>
    </row>
    <row r="470" spans="1:8">
      <c r="A470" s="79" t="str">
        <f>LeaveData[[#This Row],[ EMP ID]]&amp;LeaveData[[#This Row],[Date]]</f>
        <v>20222000245548</v>
      </c>
      <c r="B470" s="79">
        <v>202220002</v>
      </c>
      <c r="C470" s="79" t="s">
        <v>31</v>
      </c>
      <c r="D470" s="80">
        <v>45548</v>
      </c>
      <c r="E470" s="79" t="s">
        <v>13</v>
      </c>
      <c r="F470" s="79" t="s">
        <v>104</v>
      </c>
      <c r="G470" s="79"/>
      <c r="H470" s="79" t="s">
        <v>290</v>
      </c>
    </row>
    <row r="471" spans="1:8">
      <c r="A471" s="79" t="str">
        <f>LeaveData[[#This Row],[ EMP ID]]&amp;LeaveData[[#This Row],[Date]]</f>
        <v>20221801145548</v>
      </c>
      <c r="B471" s="79">
        <v>202218011</v>
      </c>
      <c r="C471" s="79" t="s">
        <v>28</v>
      </c>
      <c r="D471" s="80">
        <v>45548</v>
      </c>
      <c r="E471" s="79" t="s">
        <v>13</v>
      </c>
      <c r="F471" s="79" t="s">
        <v>27</v>
      </c>
      <c r="G471" s="79"/>
      <c r="H471" s="79" t="s">
        <v>291</v>
      </c>
    </row>
    <row r="472" spans="1:8">
      <c r="A472" s="79" t="str">
        <f>LeaveData[[#This Row],[ EMP ID]]&amp;LeaveData[[#This Row],[Date]]</f>
        <v>20241803945548</v>
      </c>
      <c r="B472" s="79">
        <v>202418039</v>
      </c>
      <c r="C472" s="79" t="s">
        <v>292</v>
      </c>
      <c r="D472" s="80">
        <v>45548</v>
      </c>
      <c r="E472" s="79" t="s">
        <v>199</v>
      </c>
      <c r="F472" s="79" t="s">
        <v>118</v>
      </c>
      <c r="G472" s="79"/>
      <c r="H472" s="79" t="s">
        <v>200</v>
      </c>
    </row>
    <row r="473" spans="1:8">
      <c r="A473" s="79" t="str">
        <f>LeaveData[[#This Row],[ EMP ID]]&amp;LeaveData[[#This Row],[Date]]</f>
        <v>20231802945548</v>
      </c>
      <c r="B473" s="79">
        <v>202318029</v>
      </c>
      <c r="C473" s="79" t="s">
        <v>59</v>
      </c>
      <c r="D473" s="80">
        <v>45548</v>
      </c>
      <c r="E473" s="79" t="s">
        <v>12</v>
      </c>
      <c r="F473" s="79" t="s">
        <v>43</v>
      </c>
      <c r="G473" s="79"/>
      <c r="H473" s="79" t="s">
        <v>119</v>
      </c>
    </row>
    <row r="474" spans="1:8">
      <c r="A474" s="79" t="str">
        <f>LeaveData[[#This Row],[ EMP ID]]&amp;LeaveData[[#This Row],[Date]]</f>
        <v>20221801445549</v>
      </c>
      <c r="B474" s="79">
        <v>202218014</v>
      </c>
      <c r="C474" s="79" t="s">
        <v>32</v>
      </c>
      <c r="D474" s="80">
        <v>45549</v>
      </c>
      <c r="E474" s="79" t="s">
        <v>154</v>
      </c>
      <c r="F474" s="79" t="s">
        <v>106</v>
      </c>
      <c r="G474" s="79"/>
      <c r="H474" s="79" t="s">
        <v>293</v>
      </c>
    </row>
    <row r="475" spans="1:8">
      <c r="A475" s="79" t="str">
        <f>LeaveData[[#This Row],[ EMP ID]]&amp;LeaveData[[#This Row],[Date]]</f>
        <v>20231802545552</v>
      </c>
      <c r="B475" s="79">
        <v>202318025</v>
      </c>
      <c r="C475" s="79" t="s">
        <v>122</v>
      </c>
      <c r="D475" s="80">
        <v>45552</v>
      </c>
      <c r="E475" s="79" t="s">
        <v>14</v>
      </c>
      <c r="F475" s="79" t="s">
        <v>125</v>
      </c>
      <c r="G475" s="79"/>
      <c r="H475" s="79" t="s">
        <v>294</v>
      </c>
    </row>
    <row r="476" spans="1:8">
      <c r="A476" s="79" t="str">
        <f>LeaveData[[#This Row],[ EMP ID]]&amp;LeaveData[[#This Row],[Date]]</f>
        <v>20231802945551</v>
      </c>
      <c r="B476" s="79">
        <v>202318029</v>
      </c>
      <c r="C476" s="79" t="s">
        <v>59</v>
      </c>
      <c r="D476" s="80">
        <v>45551</v>
      </c>
      <c r="E476" s="79" t="s">
        <v>12</v>
      </c>
      <c r="F476" s="79" t="s">
        <v>43</v>
      </c>
      <c r="G476" s="79"/>
      <c r="H476" s="79" t="s">
        <v>119</v>
      </c>
    </row>
    <row r="477" spans="1:8">
      <c r="A477" s="79" t="str">
        <f>LeaveData[[#This Row],[ EMP ID]]&amp;LeaveData[[#This Row],[Date]]</f>
        <v>20242101045555</v>
      </c>
      <c r="B477" s="79">
        <v>202421010</v>
      </c>
      <c r="C477" s="79" t="s">
        <v>288</v>
      </c>
      <c r="D477" s="80">
        <v>45555</v>
      </c>
      <c r="E477" s="79" t="s">
        <v>13</v>
      </c>
      <c r="F477" s="79" t="s">
        <v>206</v>
      </c>
      <c r="G477" s="79"/>
      <c r="H477" s="79" t="s">
        <v>295</v>
      </c>
    </row>
    <row r="478" spans="1:8">
      <c r="A478" s="79" t="str">
        <f>LeaveData[[#This Row],[ EMP ID]]&amp;LeaveData[[#This Row],[Date]]</f>
        <v>20242101045556</v>
      </c>
      <c r="B478" s="79">
        <v>202421010</v>
      </c>
      <c r="C478" s="79" t="s">
        <v>288</v>
      </c>
      <c r="D478" s="80">
        <v>45556</v>
      </c>
      <c r="E478" s="79" t="s">
        <v>13</v>
      </c>
      <c r="F478" s="79" t="s">
        <v>206</v>
      </c>
      <c r="G478" s="79"/>
      <c r="H478" s="79" t="s">
        <v>295</v>
      </c>
    </row>
    <row r="479" spans="1:8">
      <c r="A479" s="79" t="str">
        <f>LeaveData[[#This Row],[ EMP ID]]&amp;LeaveData[[#This Row],[Date]]</f>
        <v>20231802845552</v>
      </c>
      <c r="B479" s="79">
        <v>202318028</v>
      </c>
      <c r="C479" s="79" t="s">
        <v>57</v>
      </c>
      <c r="D479" s="80">
        <v>45552</v>
      </c>
      <c r="E479" s="79" t="s">
        <v>16</v>
      </c>
      <c r="F479" s="79" t="s">
        <v>118</v>
      </c>
      <c r="G479" s="79"/>
      <c r="H479" s="79" t="s">
        <v>168</v>
      </c>
    </row>
    <row r="480" spans="1:8">
      <c r="A480" s="79" t="str">
        <f>LeaveData[[#This Row],[ EMP ID]]&amp;LeaveData[[#This Row],[Date]]</f>
        <v>20231802845553</v>
      </c>
      <c r="B480" s="79">
        <v>202318028</v>
      </c>
      <c r="C480" s="79" t="s">
        <v>57</v>
      </c>
      <c r="D480" s="80">
        <v>45553</v>
      </c>
      <c r="E480" s="79" t="s">
        <v>13</v>
      </c>
      <c r="F480" s="79" t="s">
        <v>118</v>
      </c>
      <c r="G480" s="79"/>
      <c r="H480" s="79" t="s">
        <v>168</v>
      </c>
    </row>
    <row r="481" spans="1:8">
      <c r="A481" s="79" t="str">
        <f>LeaveData[[#This Row],[ EMP ID]]&amp;LeaveData[[#This Row],[Date]]</f>
        <v>20231802345558</v>
      </c>
      <c r="B481" s="79">
        <v>202318023</v>
      </c>
      <c r="C481" s="79" t="s">
        <v>148</v>
      </c>
      <c r="D481" s="80">
        <v>45558</v>
      </c>
      <c r="E481" s="79" t="s">
        <v>13</v>
      </c>
      <c r="F481" s="79" t="s">
        <v>29</v>
      </c>
      <c r="G481" s="79"/>
      <c r="H481" s="79" t="s">
        <v>296</v>
      </c>
    </row>
    <row r="482" spans="1:8">
      <c r="A482" s="79" t="str">
        <f>LeaveData[[#This Row],[ EMP ID]]&amp;LeaveData[[#This Row],[Date]]</f>
        <v>20231802945552</v>
      </c>
      <c r="B482" s="79">
        <v>202318029</v>
      </c>
      <c r="C482" s="79" t="s">
        <v>59</v>
      </c>
      <c r="D482" s="80">
        <v>45552</v>
      </c>
      <c r="E482" s="79" t="s">
        <v>12</v>
      </c>
      <c r="F482" s="79" t="s">
        <v>43</v>
      </c>
      <c r="G482" s="79"/>
      <c r="H482" s="79" t="s">
        <v>119</v>
      </c>
    </row>
    <row r="483" spans="1:8">
      <c r="A483" s="79" t="str">
        <f>LeaveData[[#This Row],[ EMP ID]]&amp;LeaveData[[#This Row],[Date]]</f>
        <v>20231802945553</v>
      </c>
      <c r="B483" s="79">
        <v>202318029</v>
      </c>
      <c r="C483" s="79" t="s">
        <v>59</v>
      </c>
      <c r="D483" s="80">
        <v>45553</v>
      </c>
      <c r="E483" s="79" t="s">
        <v>12</v>
      </c>
      <c r="F483" s="79" t="s">
        <v>43</v>
      </c>
      <c r="G483" s="79"/>
      <c r="H483" s="79" t="s">
        <v>119</v>
      </c>
    </row>
    <row r="484" spans="1:8">
      <c r="A484" s="79" t="str">
        <f>LeaveData[[#This Row],[ EMP ID]]&amp;LeaveData[[#This Row],[Date]]</f>
        <v>20240100145554</v>
      </c>
      <c r="B484" s="79">
        <v>202401001</v>
      </c>
      <c r="C484" s="79" t="s">
        <v>61</v>
      </c>
      <c r="D484" s="80">
        <v>45554</v>
      </c>
      <c r="E484" s="79" t="s">
        <v>13</v>
      </c>
      <c r="F484" s="79" t="s">
        <v>43</v>
      </c>
      <c r="G484" s="79"/>
      <c r="H484" s="79"/>
    </row>
    <row r="485" spans="1:8">
      <c r="A485" s="79" t="str">
        <f>LeaveData[[#This Row],[ EMP ID]]&amp;LeaveData[[#This Row],[Date]]</f>
        <v>20182000145554</v>
      </c>
      <c r="B485" s="79">
        <v>201820001</v>
      </c>
      <c r="C485" s="79" t="s">
        <v>18</v>
      </c>
      <c r="D485" s="80">
        <v>45554</v>
      </c>
      <c r="E485" s="79" t="s">
        <v>13</v>
      </c>
      <c r="F485" s="79" t="s">
        <v>118</v>
      </c>
      <c r="G485" s="79"/>
      <c r="H485" s="79" t="s">
        <v>168</v>
      </c>
    </row>
    <row r="486" spans="1:8">
      <c r="A486" s="79" t="str">
        <f>LeaveData[[#This Row],[ EMP ID]]&amp;LeaveData[[#This Row],[Date]]</f>
        <v>20241803645554</v>
      </c>
      <c r="B486" s="79">
        <v>202418036</v>
      </c>
      <c r="C486" s="79" t="s">
        <v>232</v>
      </c>
      <c r="D486" s="80">
        <v>45554</v>
      </c>
      <c r="E486" s="79" t="s">
        <v>12</v>
      </c>
      <c r="F486" s="79" t="s">
        <v>114</v>
      </c>
      <c r="G486" s="79"/>
      <c r="H486" s="79" t="s">
        <v>297</v>
      </c>
    </row>
    <row r="487" spans="1:8">
      <c r="A487" s="79" t="str">
        <f>LeaveData[[#This Row],[ EMP ID]]&amp;LeaveData[[#This Row],[Date]]</f>
        <v>20241803845555</v>
      </c>
      <c r="B487" s="79">
        <v>202418038</v>
      </c>
      <c r="C487" s="79" t="s">
        <v>246</v>
      </c>
      <c r="D487" s="80">
        <v>45555</v>
      </c>
      <c r="E487" s="79" t="s">
        <v>14</v>
      </c>
      <c r="F487" s="79" t="s">
        <v>114</v>
      </c>
      <c r="G487" s="79"/>
      <c r="H487" s="79" t="s">
        <v>168</v>
      </c>
    </row>
    <row r="488" spans="1:8">
      <c r="A488" s="79" t="str">
        <f>LeaveData[[#This Row],[ EMP ID]]&amp;LeaveData[[#This Row],[Date]]</f>
        <v>20232001045558</v>
      </c>
      <c r="B488" s="79">
        <v>202320010</v>
      </c>
      <c r="C488" s="79" t="s">
        <v>49</v>
      </c>
      <c r="D488" s="80">
        <v>45558</v>
      </c>
      <c r="E488" s="79" t="s">
        <v>13</v>
      </c>
      <c r="F488" s="79" t="s">
        <v>114</v>
      </c>
      <c r="G488" s="79"/>
      <c r="H488" s="79" t="s">
        <v>168</v>
      </c>
    </row>
    <row r="489" spans="1:8">
      <c r="A489" s="79" t="str">
        <f>LeaveData[[#This Row],[ EMP ID]]&amp;LeaveData[[#This Row],[Date]]</f>
        <v>20231801645559</v>
      </c>
      <c r="B489" s="79">
        <v>202318016</v>
      </c>
      <c r="C489" s="79" t="s">
        <v>36</v>
      </c>
      <c r="D489" s="80">
        <v>45559</v>
      </c>
      <c r="E489" s="79" t="s">
        <v>13</v>
      </c>
      <c r="F489" s="79" t="s">
        <v>235</v>
      </c>
      <c r="G489" s="79"/>
      <c r="H489" s="79" t="s">
        <v>286</v>
      </c>
    </row>
    <row r="490" spans="1:8">
      <c r="A490" s="79" t="str">
        <f>LeaveData[[#This Row],[ EMP ID]]&amp;LeaveData[[#This Row],[Date]]</f>
        <v>20231801645560</v>
      </c>
      <c r="B490" s="79">
        <v>202318016</v>
      </c>
      <c r="C490" s="79" t="s">
        <v>36</v>
      </c>
      <c r="D490" s="80">
        <v>45560</v>
      </c>
      <c r="E490" s="79" t="s">
        <v>13</v>
      </c>
      <c r="F490" s="79" t="s">
        <v>235</v>
      </c>
      <c r="G490" s="79"/>
      <c r="H490" s="79" t="s">
        <v>286</v>
      </c>
    </row>
    <row r="491" spans="1:8">
      <c r="A491" s="79" t="str">
        <f>LeaveData[[#This Row],[ EMP ID]]&amp;LeaveData[[#This Row],[Date]]</f>
        <v>20242001545559</v>
      </c>
      <c r="B491" s="79">
        <v>202420015</v>
      </c>
      <c r="C491" s="79" t="s">
        <v>64</v>
      </c>
      <c r="D491" s="80">
        <v>45559</v>
      </c>
      <c r="E491" s="79" t="s">
        <v>13</v>
      </c>
      <c r="F491" s="79" t="s">
        <v>104</v>
      </c>
      <c r="G491" s="79"/>
      <c r="H491" s="79" t="s">
        <v>116</v>
      </c>
    </row>
    <row r="492" spans="1:8">
      <c r="A492" s="79" t="str">
        <f>LeaveData[[#This Row],[ EMP ID]]&amp;LeaveData[[#This Row],[Date]]</f>
        <v>20232001245556</v>
      </c>
      <c r="B492" s="79">
        <v>202320012</v>
      </c>
      <c r="C492" s="79" t="s">
        <v>55</v>
      </c>
      <c r="D492" s="80">
        <v>45556</v>
      </c>
      <c r="E492" s="79" t="s">
        <v>12</v>
      </c>
      <c r="F492" s="79" t="s">
        <v>104</v>
      </c>
      <c r="G492" s="79"/>
      <c r="H492" s="79" t="s">
        <v>298</v>
      </c>
    </row>
    <row r="493" spans="1:8">
      <c r="A493" s="79" t="str">
        <f>LeaveData[[#This Row],[ EMP ID]]&amp;LeaveData[[#This Row],[Date]]</f>
        <v>20231801945560</v>
      </c>
      <c r="B493" s="79">
        <v>202318019</v>
      </c>
      <c r="C493" s="79" t="s">
        <v>89</v>
      </c>
      <c r="D493" s="80">
        <v>45560</v>
      </c>
      <c r="E493" s="79" t="s">
        <v>130</v>
      </c>
      <c r="F493" s="79" t="s">
        <v>235</v>
      </c>
      <c r="G493" s="79"/>
      <c r="H493" s="79" t="s">
        <v>299</v>
      </c>
    </row>
    <row r="494" spans="1:8">
      <c r="A494" s="79" t="str">
        <f>LeaveData[[#This Row],[ EMP ID]]&amp;LeaveData[[#This Row],[Date]]</f>
        <v>20231801945566</v>
      </c>
      <c r="B494" s="79">
        <v>202318019</v>
      </c>
      <c r="C494" s="79" t="s">
        <v>89</v>
      </c>
      <c r="D494" s="80">
        <v>45566</v>
      </c>
      <c r="E494" s="79" t="s">
        <v>130</v>
      </c>
      <c r="F494" s="79" t="s">
        <v>235</v>
      </c>
      <c r="G494" s="79"/>
      <c r="H494" s="79" t="s">
        <v>299</v>
      </c>
    </row>
    <row r="495" spans="1:8">
      <c r="A495" s="79" t="str">
        <f>LeaveData[[#This Row],[ EMP ID]]&amp;LeaveData[[#This Row],[Date]]</f>
        <v>20231801945567</v>
      </c>
      <c r="B495" s="79">
        <v>202318019</v>
      </c>
      <c r="C495" s="79" t="s">
        <v>89</v>
      </c>
      <c r="D495" s="80">
        <v>45567</v>
      </c>
      <c r="E495" s="79" t="s">
        <v>130</v>
      </c>
      <c r="F495" s="79" t="s">
        <v>235</v>
      </c>
      <c r="G495" s="79"/>
      <c r="H495" s="79" t="s">
        <v>299</v>
      </c>
    </row>
    <row r="496" spans="1:8">
      <c r="A496" s="79" t="str">
        <f>LeaveData[[#This Row],[ EMP ID]]&amp;LeaveData[[#This Row],[Date]]</f>
        <v>20231801945568</v>
      </c>
      <c r="B496" s="79">
        <v>202318019</v>
      </c>
      <c r="C496" s="79" t="s">
        <v>89</v>
      </c>
      <c r="D496" s="80">
        <v>45568</v>
      </c>
      <c r="E496" s="79" t="s">
        <v>130</v>
      </c>
      <c r="F496" s="79" t="s">
        <v>235</v>
      </c>
      <c r="G496" s="79"/>
      <c r="H496" s="79" t="s">
        <v>299</v>
      </c>
    </row>
    <row r="497" spans="1:8">
      <c r="A497" s="79" t="str">
        <f>LeaveData[[#This Row],[ EMP ID]]&amp;LeaveData[[#This Row],[Date]]</f>
        <v>20232000745559</v>
      </c>
      <c r="B497" s="79">
        <v>202320007</v>
      </c>
      <c r="C497" s="79" t="s">
        <v>183</v>
      </c>
      <c r="D497" s="80">
        <v>45559</v>
      </c>
      <c r="E497" s="79" t="s">
        <v>14</v>
      </c>
      <c r="F497" s="79" t="s">
        <v>104</v>
      </c>
      <c r="G497" s="79"/>
      <c r="H497" s="79" t="s">
        <v>300</v>
      </c>
    </row>
    <row r="498" spans="1:8">
      <c r="A498" s="79" t="str">
        <f>LeaveData[[#This Row],[ EMP ID]]&amp;LeaveData[[#This Row],[Date]]</f>
        <v>20211800745559</v>
      </c>
      <c r="B498" s="79">
        <v>202118007</v>
      </c>
      <c r="C498" s="79" t="s">
        <v>103</v>
      </c>
      <c r="D498" s="80">
        <v>45559</v>
      </c>
      <c r="E498" s="79" t="s">
        <v>12</v>
      </c>
      <c r="F498" s="79" t="s">
        <v>104</v>
      </c>
      <c r="G498" s="79"/>
      <c r="H498" s="79" t="s">
        <v>119</v>
      </c>
    </row>
    <row r="499" spans="1:8">
      <c r="A499" s="79" t="str">
        <f>LeaveData[[#This Row],[ EMP ID]]&amp;LeaveData[[#This Row],[Date]]</f>
        <v>20241803745559</v>
      </c>
      <c r="B499" s="79">
        <v>202418037</v>
      </c>
      <c r="C499" s="79" t="s">
        <v>243</v>
      </c>
      <c r="D499" s="80">
        <v>45559</v>
      </c>
      <c r="E499" s="79" t="s">
        <v>14</v>
      </c>
      <c r="F499" s="79" t="s">
        <v>118</v>
      </c>
      <c r="G499" s="79"/>
      <c r="H499" s="79" t="s">
        <v>301</v>
      </c>
    </row>
    <row r="500" spans="1:8">
      <c r="A500" s="79" t="str">
        <f>LeaveData[[#This Row],[ EMP ID]]&amp;LeaveData[[#This Row],[Date]]</f>
        <v>20232000945560</v>
      </c>
      <c r="B500" s="79">
        <v>202320009</v>
      </c>
      <c r="C500" s="79" t="s">
        <v>143</v>
      </c>
      <c r="D500" s="80">
        <v>45560</v>
      </c>
      <c r="E500" s="79" t="s">
        <v>12</v>
      </c>
      <c r="F500" s="79" t="s">
        <v>118</v>
      </c>
      <c r="G500" s="79"/>
      <c r="H500" s="79" t="s">
        <v>302</v>
      </c>
    </row>
    <row r="501" spans="1:8">
      <c r="A501" s="79" t="str">
        <f>LeaveData[[#This Row],[ EMP ID]]&amp;LeaveData[[#This Row],[Date]]</f>
        <v>20241803745561</v>
      </c>
      <c r="B501" s="79">
        <v>202418037</v>
      </c>
      <c r="C501" s="79" t="s">
        <v>243</v>
      </c>
      <c r="D501" s="80">
        <v>45561</v>
      </c>
      <c r="E501" s="79" t="s">
        <v>15</v>
      </c>
      <c r="F501" s="79" t="s">
        <v>118</v>
      </c>
      <c r="G501" s="79"/>
      <c r="H501" s="79" t="s">
        <v>15</v>
      </c>
    </row>
    <row r="502" spans="1:8">
      <c r="A502" s="79" t="str">
        <f>LeaveData[[#This Row],[ EMP ID]]&amp;LeaveData[[#This Row],[Date]]</f>
        <v>20241803745562</v>
      </c>
      <c r="B502" s="79">
        <v>202418037</v>
      </c>
      <c r="C502" s="79" t="s">
        <v>243</v>
      </c>
      <c r="D502" s="80">
        <v>45562</v>
      </c>
      <c r="E502" s="79" t="s">
        <v>12</v>
      </c>
      <c r="F502" s="79" t="s">
        <v>118</v>
      </c>
      <c r="G502" s="79"/>
      <c r="H502" s="79" t="s">
        <v>5</v>
      </c>
    </row>
    <row r="503" spans="1:8">
      <c r="A503" s="79" t="str">
        <f>LeaveData[[#This Row],[ EMP ID]]&amp;LeaveData[[#This Row],[Date]]</f>
        <v>20231802545570</v>
      </c>
      <c r="B503" s="79">
        <v>202318025</v>
      </c>
      <c r="C503" s="79" t="s">
        <v>122</v>
      </c>
      <c r="D503" s="80">
        <v>45570</v>
      </c>
      <c r="E503" s="79" t="s">
        <v>13</v>
      </c>
      <c r="F503" s="79" t="s">
        <v>125</v>
      </c>
      <c r="G503" s="79"/>
      <c r="H503" s="79" t="s">
        <v>303</v>
      </c>
    </row>
    <row r="504" spans="1:8">
      <c r="A504" s="79" t="str">
        <f>LeaveData[[#This Row],[ EMP ID]]&amp;LeaveData[[#This Row],[Date]]</f>
        <v>20241803745563</v>
      </c>
      <c r="B504" s="79">
        <v>202418037</v>
      </c>
      <c r="C504" s="79" t="s">
        <v>243</v>
      </c>
      <c r="D504" s="80">
        <v>45563</v>
      </c>
      <c r="E504" s="79" t="s">
        <v>12</v>
      </c>
      <c r="F504" s="79" t="s">
        <v>118</v>
      </c>
      <c r="G504" s="79"/>
      <c r="H504" s="79" t="s">
        <v>5</v>
      </c>
    </row>
    <row r="505" spans="1:8">
      <c r="A505" s="79" t="str">
        <f>LeaveData[[#This Row],[ EMP ID]]&amp;LeaveData[[#This Row],[Date]]</f>
        <v>20242100145561</v>
      </c>
      <c r="B505" s="79">
        <v>202421001</v>
      </c>
      <c r="C505" s="79" t="s">
        <v>221</v>
      </c>
      <c r="D505" s="80">
        <v>45561</v>
      </c>
      <c r="E505" s="79" t="s">
        <v>16</v>
      </c>
      <c r="F505" s="79" t="s">
        <v>206</v>
      </c>
      <c r="G505" s="79"/>
      <c r="H505" s="79" t="s">
        <v>304</v>
      </c>
    </row>
    <row r="506" spans="1:8">
      <c r="A506" s="79" t="str">
        <f>LeaveData[[#This Row],[ EMP ID]]&amp;LeaveData[[#This Row],[Date]]</f>
        <v>20242101045562</v>
      </c>
      <c r="B506" s="79">
        <v>202421010</v>
      </c>
      <c r="C506" s="79" t="s">
        <v>288</v>
      </c>
      <c r="D506" s="80">
        <v>45562</v>
      </c>
      <c r="E506" s="79" t="s">
        <v>16</v>
      </c>
      <c r="F506" s="79" t="s">
        <v>206</v>
      </c>
      <c r="G506" s="79"/>
      <c r="H506" s="79"/>
    </row>
    <row r="507" spans="1:8">
      <c r="A507" s="79" t="str">
        <f>LeaveData[[#This Row],[ EMP ID]]&amp;LeaveData[[#This Row],[Date]]</f>
        <v>20232000745565</v>
      </c>
      <c r="B507" s="79">
        <v>202320007</v>
      </c>
      <c r="C507" s="79" t="s">
        <v>183</v>
      </c>
      <c r="D507" s="80">
        <v>45565</v>
      </c>
      <c r="E507" s="79" t="s">
        <v>14</v>
      </c>
      <c r="F507" s="79" t="s">
        <v>104</v>
      </c>
      <c r="G507" s="79"/>
      <c r="H507" s="79" t="s">
        <v>305</v>
      </c>
    </row>
    <row r="508" spans="1:8">
      <c r="A508" s="79" t="str">
        <f>LeaveData[[#This Row],[ EMP ID]]&amp;LeaveData[[#This Row],[Date]]</f>
        <v>20232001045562</v>
      </c>
      <c r="B508" s="79">
        <v>202320010</v>
      </c>
      <c r="C508" s="79" t="s">
        <v>49</v>
      </c>
      <c r="D508" s="80">
        <v>45562</v>
      </c>
      <c r="E508" s="79" t="s">
        <v>12</v>
      </c>
      <c r="F508" s="79" t="s">
        <v>114</v>
      </c>
      <c r="G508" s="79"/>
      <c r="H508" s="79" t="s">
        <v>5</v>
      </c>
    </row>
    <row r="509" spans="1:8">
      <c r="A509" s="79" t="str">
        <f>LeaveData[[#This Row],[ EMP ID]]&amp;LeaveData[[#This Row],[Date]]</f>
        <v>20232001045563</v>
      </c>
      <c r="B509" s="79">
        <v>202320010</v>
      </c>
      <c r="C509" s="79" t="s">
        <v>49</v>
      </c>
      <c r="D509" s="80">
        <v>45563</v>
      </c>
      <c r="E509" s="79" t="s">
        <v>12</v>
      </c>
      <c r="F509" s="79" t="s">
        <v>114</v>
      </c>
      <c r="G509" s="79"/>
      <c r="H509" s="79" t="s">
        <v>5</v>
      </c>
    </row>
    <row r="510" spans="1:8">
      <c r="A510" s="79" t="str">
        <f>LeaveData[[#This Row],[ EMP ID]]&amp;LeaveData[[#This Row],[Date]]</f>
        <v>20232001045565</v>
      </c>
      <c r="B510" s="79">
        <v>202320010</v>
      </c>
      <c r="C510" s="79" t="s">
        <v>49</v>
      </c>
      <c r="D510" s="80">
        <v>45565</v>
      </c>
      <c r="E510" s="79" t="s">
        <v>12</v>
      </c>
      <c r="F510" s="79" t="s">
        <v>114</v>
      </c>
      <c r="G510" s="79"/>
      <c r="H510" s="79" t="s">
        <v>5</v>
      </c>
    </row>
    <row r="511" spans="1:8">
      <c r="A511" s="79" t="str">
        <f>LeaveData[[#This Row],[ EMP ID]]&amp;LeaveData[[#This Row],[Date]]</f>
        <v>20232001045566</v>
      </c>
      <c r="B511" s="79">
        <v>202320010</v>
      </c>
      <c r="C511" s="79" t="s">
        <v>49</v>
      </c>
      <c r="D511" s="80">
        <v>45566</v>
      </c>
      <c r="E511" s="79" t="s">
        <v>12</v>
      </c>
      <c r="F511" s="79" t="s">
        <v>114</v>
      </c>
      <c r="G511" s="79"/>
      <c r="H511" s="79" t="s">
        <v>5</v>
      </c>
    </row>
    <row r="512" spans="1:8">
      <c r="A512" s="79" t="str">
        <f>LeaveData[[#This Row],[ EMP ID]]&amp;LeaveData[[#This Row],[Date]]</f>
        <v>20241803345566</v>
      </c>
      <c r="B512" s="79">
        <v>202418033</v>
      </c>
      <c r="C512" s="79" t="s">
        <v>65</v>
      </c>
      <c r="D512" s="80">
        <v>45566</v>
      </c>
      <c r="E512" s="79" t="s">
        <v>13</v>
      </c>
      <c r="F512" s="79" t="s">
        <v>118</v>
      </c>
      <c r="G512" s="79"/>
      <c r="H512" s="79" t="s">
        <v>187</v>
      </c>
    </row>
    <row r="513" spans="1:8">
      <c r="A513" s="79" t="str">
        <f>LeaveData[[#This Row],[ EMP ID]]&amp;LeaveData[[#This Row],[Date]]</f>
        <v>20242100345554</v>
      </c>
      <c r="B513" s="79">
        <v>202421003</v>
      </c>
      <c r="C513" s="79" t="s">
        <v>205</v>
      </c>
      <c r="D513" s="80">
        <v>45554</v>
      </c>
      <c r="E513" s="79" t="s">
        <v>13</v>
      </c>
      <c r="F513" s="79" t="s">
        <v>206</v>
      </c>
      <c r="G513" s="79"/>
      <c r="H513" s="79" t="s">
        <v>306</v>
      </c>
    </row>
    <row r="514" spans="1:8">
      <c r="A514" s="79" t="str">
        <f>LeaveData[[#This Row],[ EMP ID]]&amp;LeaveData[[#This Row],[Date]]</f>
        <v>20242100345555</v>
      </c>
      <c r="B514" s="79">
        <v>202421003</v>
      </c>
      <c r="C514" s="79" t="s">
        <v>205</v>
      </c>
      <c r="D514" s="80">
        <v>45555</v>
      </c>
      <c r="E514" s="79" t="s">
        <v>13</v>
      </c>
      <c r="F514" s="79" t="s">
        <v>206</v>
      </c>
      <c r="G514" s="79"/>
      <c r="H514" s="79" t="s">
        <v>306</v>
      </c>
    </row>
    <row r="515" spans="1:8">
      <c r="A515" s="79" t="str">
        <f>LeaveData[[#This Row],[ EMP ID]]&amp;LeaveData[[#This Row],[Date]]</f>
        <v>20242100345559</v>
      </c>
      <c r="B515" s="79">
        <v>202421003</v>
      </c>
      <c r="C515" s="79" t="s">
        <v>205</v>
      </c>
      <c r="D515" s="80">
        <v>45559</v>
      </c>
      <c r="E515" s="79" t="s">
        <v>13</v>
      </c>
      <c r="F515" s="79" t="s">
        <v>206</v>
      </c>
      <c r="G515" s="79"/>
      <c r="H515" s="79" t="s">
        <v>306</v>
      </c>
    </row>
    <row r="516" spans="1:8">
      <c r="A516" s="79" t="str">
        <f>LeaveData[[#This Row],[ EMP ID]]&amp;LeaveData[[#This Row],[Date]]</f>
        <v>20232000745572</v>
      </c>
      <c r="B516" s="79">
        <v>202320007</v>
      </c>
      <c r="C516" s="79" t="s">
        <v>183</v>
      </c>
      <c r="D516" s="80">
        <v>45572</v>
      </c>
      <c r="E516" s="79" t="s">
        <v>13</v>
      </c>
      <c r="F516" s="79" t="s">
        <v>104</v>
      </c>
      <c r="G516" s="79"/>
      <c r="H516" s="79" t="s">
        <v>277</v>
      </c>
    </row>
    <row r="517" spans="1:8">
      <c r="A517" s="79" t="str">
        <f>LeaveData[[#This Row],[ EMP ID]]&amp;LeaveData[[#This Row],[Date]]</f>
        <v>20241803845567</v>
      </c>
      <c r="B517" s="79">
        <v>202418038</v>
      </c>
      <c r="C517" s="79" t="s">
        <v>246</v>
      </c>
      <c r="D517" s="80">
        <v>45567</v>
      </c>
      <c r="E517" s="79" t="s">
        <v>13</v>
      </c>
      <c r="F517" s="79" t="s">
        <v>125</v>
      </c>
      <c r="G517" s="79"/>
      <c r="H517" s="79" t="s">
        <v>307</v>
      </c>
    </row>
    <row r="518" spans="1:8">
      <c r="A518" s="79" t="str">
        <f>LeaveData[[#This Row],[ EMP ID]]&amp;LeaveData[[#This Row],[Date]]</f>
        <v>20241803745566</v>
      </c>
      <c r="B518" s="79">
        <v>202418037</v>
      </c>
      <c r="C518" s="79" t="s">
        <v>243</v>
      </c>
      <c r="D518" s="80">
        <v>45566</v>
      </c>
      <c r="E518" s="79" t="s">
        <v>13</v>
      </c>
      <c r="F518" s="79" t="s">
        <v>118</v>
      </c>
      <c r="G518" s="79"/>
      <c r="H518" s="79" t="s">
        <v>308</v>
      </c>
    </row>
    <row r="519" spans="1:8">
      <c r="A519" s="79" t="str">
        <f>LeaveData[[#This Row],[ EMP ID]]&amp;LeaveData[[#This Row],[Date]]</f>
        <v>20241803745567</v>
      </c>
      <c r="B519" s="79">
        <v>202418037</v>
      </c>
      <c r="C519" s="79" t="s">
        <v>243</v>
      </c>
      <c r="D519" s="80">
        <v>45567</v>
      </c>
      <c r="E519" s="79" t="s">
        <v>13</v>
      </c>
      <c r="F519" s="79" t="s">
        <v>118</v>
      </c>
      <c r="G519" s="79"/>
      <c r="H519" s="79" t="s">
        <v>308</v>
      </c>
    </row>
    <row r="520" spans="1:8">
      <c r="A520" s="79" t="str">
        <f>LeaveData[[#This Row],[ EMP ID]]&amp;LeaveData[[#This Row],[Date]]</f>
        <v>20242101145566</v>
      </c>
      <c r="B520" s="79">
        <v>202421011</v>
      </c>
      <c r="C520" s="79" t="s">
        <v>309</v>
      </c>
      <c r="D520" s="80">
        <v>45566</v>
      </c>
      <c r="E520" s="79" t="s">
        <v>13</v>
      </c>
      <c r="F520" s="79" t="s">
        <v>206</v>
      </c>
      <c r="G520" s="79"/>
      <c r="H520" s="79" t="s">
        <v>310</v>
      </c>
    </row>
    <row r="521" spans="1:8">
      <c r="A521" s="79" t="str">
        <f>LeaveData[[#This Row],[ EMP ID]]&amp;LeaveData[[#This Row],[Date]]</f>
        <v>20242101145593</v>
      </c>
      <c r="B521" s="79">
        <v>202421011</v>
      </c>
      <c r="C521" s="79" t="s">
        <v>309</v>
      </c>
      <c r="D521" s="80">
        <v>45593</v>
      </c>
      <c r="E521" s="79" t="s">
        <v>13</v>
      </c>
      <c r="F521" s="79" t="s">
        <v>206</v>
      </c>
      <c r="G521" s="79"/>
      <c r="H521" s="79" t="s">
        <v>311</v>
      </c>
    </row>
    <row r="522" spans="1:8">
      <c r="A522" s="79" t="str">
        <f>LeaveData[[#This Row],[ EMP ID]]&amp;LeaveData[[#This Row],[Date]]</f>
        <v>20242101145594</v>
      </c>
      <c r="B522" s="79">
        <v>202421011</v>
      </c>
      <c r="C522" s="79" t="s">
        <v>309</v>
      </c>
      <c r="D522" s="80">
        <v>45594</v>
      </c>
      <c r="E522" s="79" t="s">
        <v>13</v>
      </c>
      <c r="F522" s="79" t="s">
        <v>206</v>
      </c>
      <c r="G522" s="79"/>
      <c r="H522" s="79" t="s">
        <v>311</v>
      </c>
    </row>
    <row r="523" spans="1:8">
      <c r="A523" s="79" t="str">
        <f>LeaveData[[#This Row],[ EMP ID]]&amp;LeaveData[[#This Row],[Date]]</f>
        <v>20242101145595</v>
      </c>
      <c r="B523" s="79">
        <v>202421011</v>
      </c>
      <c r="C523" s="79" t="s">
        <v>309</v>
      </c>
      <c r="D523" s="80">
        <v>45595</v>
      </c>
      <c r="E523" s="79" t="s">
        <v>13</v>
      </c>
      <c r="F523" s="79" t="s">
        <v>206</v>
      </c>
      <c r="G523" s="79"/>
      <c r="H523" s="79" t="s">
        <v>311</v>
      </c>
    </row>
    <row r="524" spans="1:8">
      <c r="A524" s="79" t="str">
        <f>LeaveData[[#This Row],[ EMP ID]]&amp;LeaveData[[#This Row],[Date]]</f>
        <v>20242101145596</v>
      </c>
      <c r="B524" s="79">
        <v>202421011</v>
      </c>
      <c r="C524" s="79" t="s">
        <v>309</v>
      </c>
      <c r="D524" s="80">
        <v>45596</v>
      </c>
      <c r="E524" s="79" t="s">
        <v>13</v>
      </c>
      <c r="F524" s="79" t="s">
        <v>206</v>
      </c>
      <c r="G524" s="79"/>
      <c r="H524" s="79" t="s">
        <v>311</v>
      </c>
    </row>
    <row r="525" spans="1:8">
      <c r="A525" s="79" t="str">
        <f>LeaveData[[#This Row],[ EMP ID]]&amp;LeaveData[[#This Row],[Date]]</f>
        <v>20242100645559</v>
      </c>
      <c r="B525" s="79">
        <v>202421006</v>
      </c>
      <c r="C525" s="79" t="s">
        <v>272</v>
      </c>
      <c r="D525" s="80">
        <v>45559</v>
      </c>
      <c r="E525" s="79" t="s">
        <v>195</v>
      </c>
      <c r="F525" s="79" t="s">
        <v>206</v>
      </c>
      <c r="G525" s="79"/>
      <c r="H525" s="79" t="s">
        <v>196</v>
      </c>
    </row>
    <row r="526" spans="1:8">
      <c r="A526" s="79" t="str">
        <f>LeaveData[[#This Row],[ EMP ID]]&amp;LeaveData[[#This Row],[Date]]</f>
        <v>20221801445575</v>
      </c>
      <c r="B526" s="79">
        <v>202218014</v>
      </c>
      <c r="C526" s="79" t="s">
        <v>32</v>
      </c>
      <c r="D526" s="80">
        <v>45575</v>
      </c>
      <c r="E526" s="79" t="s">
        <v>13</v>
      </c>
      <c r="F526" s="79" t="s">
        <v>125</v>
      </c>
      <c r="G526" s="79"/>
      <c r="H526" s="79" t="s">
        <v>312</v>
      </c>
    </row>
    <row r="527" spans="1:8">
      <c r="A527" s="79" t="str">
        <f>LeaveData[[#This Row],[ EMP ID]]&amp;LeaveData[[#This Row],[Date]]</f>
        <v>20242101045570</v>
      </c>
      <c r="B527" s="79">
        <v>202421010</v>
      </c>
      <c r="C527" s="79" t="s">
        <v>288</v>
      </c>
      <c r="D527" s="80">
        <v>45570</v>
      </c>
      <c r="E527" s="79" t="s">
        <v>13</v>
      </c>
      <c r="F527" s="79" t="s">
        <v>206</v>
      </c>
      <c r="G527" s="79"/>
      <c r="H527" s="79" t="s">
        <v>313</v>
      </c>
    </row>
    <row r="528" spans="1:8">
      <c r="A528" s="79" t="str">
        <f>LeaveData[[#This Row],[ EMP ID]]&amp;LeaveData[[#This Row],[Date]]</f>
        <v>20232000545569</v>
      </c>
      <c r="B528" s="79">
        <v>202320005</v>
      </c>
      <c r="C528" s="79" t="s">
        <v>38</v>
      </c>
      <c r="D528" s="80">
        <v>45569</v>
      </c>
      <c r="E528" s="79" t="s">
        <v>12</v>
      </c>
      <c r="F528" s="79" t="s">
        <v>118</v>
      </c>
      <c r="G528" s="79"/>
      <c r="H528" s="79" t="s">
        <v>314</v>
      </c>
    </row>
    <row r="529" spans="1:8">
      <c r="A529" s="79" t="str">
        <f>LeaveData[[#This Row],[ EMP ID]]&amp;LeaveData[[#This Row],[Date]]</f>
        <v>20232000545570</v>
      </c>
      <c r="B529" s="79">
        <v>202320005</v>
      </c>
      <c r="C529" s="79" t="s">
        <v>38</v>
      </c>
      <c r="D529" s="80">
        <v>45570</v>
      </c>
      <c r="E529" s="79" t="s">
        <v>12</v>
      </c>
      <c r="F529" s="79" t="s">
        <v>118</v>
      </c>
      <c r="G529" s="79"/>
      <c r="H529" s="79" t="s">
        <v>314</v>
      </c>
    </row>
    <row r="530" spans="1:8">
      <c r="A530" s="79" t="str">
        <f>LeaveData[[#This Row],[ EMP ID]]&amp;LeaveData[[#This Row],[Date]]</f>
        <v>20241803545602</v>
      </c>
      <c r="B530" s="79">
        <v>202418035</v>
      </c>
      <c r="C530" s="79" t="s">
        <v>96</v>
      </c>
      <c r="D530" s="80">
        <v>45602</v>
      </c>
      <c r="E530" s="79" t="s">
        <v>13</v>
      </c>
      <c r="F530" s="79" t="s">
        <v>118</v>
      </c>
      <c r="G530" s="79"/>
      <c r="H530" s="79" t="s">
        <v>315</v>
      </c>
    </row>
    <row r="531" spans="1:8">
      <c r="A531" s="79" t="str">
        <f>LeaveData[[#This Row],[ EMP ID]]&amp;LeaveData[[#This Row],[Date]]</f>
        <v>20241803545603</v>
      </c>
      <c r="B531" s="79">
        <v>202418035</v>
      </c>
      <c r="C531" s="79" t="s">
        <v>96</v>
      </c>
      <c r="D531" s="80">
        <v>45603</v>
      </c>
      <c r="E531" s="79" t="s">
        <v>13</v>
      </c>
      <c r="F531" s="79" t="s">
        <v>118</v>
      </c>
      <c r="G531" s="79"/>
      <c r="H531" s="79" t="s">
        <v>315</v>
      </c>
    </row>
    <row r="532" spans="1:8">
      <c r="A532" s="79" t="str">
        <f>LeaveData[[#This Row],[ EMP ID]]&amp;LeaveData[[#This Row],[Date]]</f>
        <v>20241803545604</v>
      </c>
      <c r="B532" s="79">
        <v>202418035</v>
      </c>
      <c r="C532" s="79" t="s">
        <v>96</v>
      </c>
      <c r="D532" s="80">
        <v>45604</v>
      </c>
      <c r="E532" s="79" t="s">
        <v>13</v>
      </c>
      <c r="F532" s="79" t="s">
        <v>118</v>
      </c>
      <c r="G532" s="79"/>
      <c r="H532" s="79" t="s">
        <v>315</v>
      </c>
    </row>
    <row r="533" spans="1:8">
      <c r="A533" s="79" t="str">
        <f>LeaveData[[#This Row],[ EMP ID]]&amp;LeaveData[[#This Row],[Date]]</f>
        <v>20232001345567</v>
      </c>
      <c r="B533" s="79">
        <v>202320013</v>
      </c>
      <c r="C533" s="79" t="s">
        <v>56</v>
      </c>
      <c r="D533" s="80">
        <v>45567</v>
      </c>
      <c r="E533" s="79" t="s">
        <v>195</v>
      </c>
      <c r="F533" s="79" t="s">
        <v>118</v>
      </c>
      <c r="G533" s="79"/>
      <c r="H533" s="79" t="s">
        <v>196</v>
      </c>
    </row>
    <row r="534" spans="1:8">
      <c r="A534" s="79" t="str">
        <f>LeaveData[[#This Row],[ EMP ID]]&amp;LeaveData[[#This Row],[Date]]</f>
        <v>20232000345595</v>
      </c>
      <c r="B534" s="79">
        <v>202320003</v>
      </c>
      <c r="C534" s="79" t="s">
        <v>33</v>
      </c>
      <c r="D534" s="80">
        <v>45595</v>
      </c>
      <c r="E534" s="79" t="s">
        <v>195</v>
      </c>
      <c r="F534" s="79" t="s">
        <v>104</v>
      </c>
      <c r="G534" s="79"/>
      <c r="H534" s="79" t="s">
        <v>196</v>
      </c>
    </row>
    <row r="535" spans="1:8">
      <c r="A535" s="79" t="str">
        <f>LeaveData[[#This Row],[ EMP ID]]&amp;LeaveData[[#This Row],[Date]]</f>
        <v>20231801645616</v>
      </c>
      <c r="B535" s="79">
        <v>202318016</v>
      </c>
      <c r="C535" s="79" t="s">
        <v>36</v>
      </c>
      <c r="D535" s="80">
        <v>45616</v>
      </c>
      <c r="E535" s="79" t="s">
        <v>195</v>
      </c>
      <c r="F535" s="79" t="s">
        <v>114</v>
      </c>
      <c r="G535" s="79"/>
      <c r="H535" s="79" t="s">
        <v>196</v>
      </c>
    </row>
    <row r="536" spans="1:8">
      <c r="A536" s="79" t="str">
        <f>LeaveData[[#This Row],[ EMP ID]]&amp;LeaveData[[#This Row],[Date]]</f>
        <v>20231802045588</v>
      </c>
      <c r="B536" s="79">
        <v>202318020</v>
      </c>
      <c r="C536" s="79" t="s">
        <v>43</v>
      </c>
      <c r="D536" s="80">
        <v>45588</v>
      </c>
      <c r="E536" s="79" t="s">
        <v>13</v>
      </c>
      <c r="F536" s="79" t="s">
        <v>104</v>
      </c>
      <c r="G536" s="79"/>
      <c r="H536" s="79" t="s">
        <v>316</v>
      </c>
    </row>
    <row r="537" spans="1:8">
      <c r="A537" s="79" t="str">
        <f>LeaveData[[#This Row],[ EMP ID]]&amp;LeaveData[[#This Row],[Date]]</f>
        <v>20231802045589</v>
      </c>
      <c r="B537" s="79">
        <v>202318020</v>
      </c>
      <c r="C537" s="79" t="s">
        <v>43</v>
      </c>
      <c r="D537" s="80">
        <v>45589</v>
      </c>
      <c r="E537" s="79" t="s">
        <v>13</v>
      </c>
      <c r="F537" s="79" t="s">
        <v>104</v>
      </c>
      <c r="G537" s="79"/>
      <c r="H537" s="79" t="s">
        <v>316</v>
      </c>
    </row>
    <row r="538" spans="1:8">
      <c r="A538" s="79" t="str">
        <f>LeaveData[[#This Row],[ EMP ID]]&amp;LeaveData[[#This Row],[Date]]</f>
        <v>20231802045590</v>
      </c>
      <c r="B538" s="79">
        <v>202318020</v>
      </c>
      <c r="C538" s="79" t="s">
        <v>43</v>
      </c>
      <c r="D538" s="80">
        <v>45590</v>
      </c>
      <c r="E538" s="79" t="s">
        <v>13</v>
      </c>
      <c r="F538" s="79" t="s">
        <v>104</v>
      </c>
      <c r="G538" s="79"/>
      <c r="H538" s="79" t="s">
        <v>316</v>
      </c>
    </row>
    <row r="539" spans="1:8">
      <c r="A539" s="79" t="str">
        <f>LeaveData[[#This Row],[ EMP ID]]&amp;LeaveData[[#This Row],[Date]]</f>
        <v>20231802045591</v>
      </c>
      <c r="B539" s="79">
        <v>202318020</v>
      </c>
      <c r="C539" s="79" t="s">
        <v>43</v>
      </c>
      <c r="D539" s="80">
        <v>45591</v>
      </c>
      <c r="E539" s="79" t="s">
        <v>13</v>
      </c>
      <c r="F539" s="79" t="s">
        <v>104</v>
      </c>
      <c r="G539" s="79"/>
      <c r="H539" s="79" t="s">
        <v>316</v>
      </c>
    </row>
    <row r="540" spans="1:8">
      <c r="A540" s="79" t="str">
        <f>LeaveData[[#This Row],[ EMP ID]]&amp;LeaveData[[#This Row],[Date]]</f>
        <v>20231802045593</v>
      </c>
      <c r="B540" s="79">
        <v>202318020</v>
      </c>
      <c r="C540" s="79" t="s">
        <v>43</v>
      </c>
      <c r="D540" s="80">
        <v>45593</v>
      </c>
      <c r="E540" s="79" t="s">
        <v>16</v>
      </c>
      <c r="F540" s="79" t="s">
        <v>104</v>
      </c>
      <c r="G540" s="79"/>
      <c r="H540" s="79" t="s">
        <v>247</v>
      </c>
    </row>
    <row r="541" spans="1:8">
      <c r="A541" s="79" t="str">
        <f>LeaveData[[#This Row],[ EMP ID]]&amp;LeaveData[[#This Row],[Date]]</f>
        <v>20231802045594</v>
      </c>
      <c r="B541" s="79">
        <v>202318020</v>
      </c>
      <c r="C541" s="79" t="s">
        <v>43</v>
      </c>
      <c r="D541" s="80">
        <v>45594</v>
      </c>
      <c r="E541" s="79" t="s">
        <v>16</v>
      </c>
      <c r="F541" s="79" t="s">
        <v>104</v>
      </c>
      <c r="G541" s="79"/>
      <c r="H541" s="79" t="s">
        <v>247</v>
      </c>
    </row>
    <row r="542" spans="1:8">
      <c r="A542" s="79" t="str">
        <f>LeaveData[[#This Row],[ EMP ID]]&amp;LeaveData[[#This Row],[Date]]</f>
        <v>20231802045595</v>
      </c>
      <c r="B542" s="79">
        <v>202318020</v>
      </c>
      <c r="C542" s="79" t="s">
        <v>43</v>
      </c>
      <c r="D542" s="80">
        <v>45595</v>
      </c>
      <c r="E542" s="79" t="s">
        <v>16</v>
      </c>
      <c r="F542" s="79" t="s">
        <v>104</v>
      </c>
      <c r="G542" s="79"/>
      <c r="H542" s="79" t="s">
        <v>247</v>
      </c>
    </row>
    <row r="543" spans="1:8">
      <c r="A543" s="79" t="str">
        <f>LeaveData[[#This Row],[ EMP ID]]&amp;LeaveData[[#This Row],[Date]]</f>
        <v>20231802045596</v>
      </c>
      <c r="B543" s="79">
        <v>202318020</v>
      </c>
      <c r="C543" s="79" t="s">
        <v>43</v>
      </c>
      <c r="D543" s="80">
        <v>45596</v>
      </c>
      <c r="E543" s="79" t="s">
        <v>16</v>
      </c>
      <c r="F543" s="79" t="s">
        <v>104</v>
      </c>
      <c r="G543" s="79"/>
      <c r="H543" s="79" t="s">
        <v>247</v>
      </c>
    </row>
    <row r="544" spans="1:8">
      <c r="A544" s="79" t="str">
        <f>LeaveData[[#This Row],[ EMP ID]]&amp;LeaveData[[#This Row],[Date]]</f>
        <v>20231802045597</v>
      </c>
      <c r="B544" s="79">
        <v>202318020</v>
      </c>
      <c r="C544" s="79" t="s">
        <v>43</v>
      </c>
      <c r="D544" s="80">
        <v>45597</v>
      </c>
      <c r="E544" s="79" t="s">
        <v>16</v>
      </c>
      <c r="F544" s="79" t="s">
        <v>104</v>
      </c>
      <c r="G544" s="79"/>
      <c r="H544" s="79" t="s">
        <v>247</v>
      </c>
    </row>
    <row r="545" spans="1:8">
      <c r="A545" s="79" t="str">
        <f>LeaveData[[#This Row],[ EMP ID]]&amp;LeaveData[[#This Row],[Date]]</f>
        <v>20231802045598</v>
      </c>
      <c r="B545" s="79">
        <v>202318020</v>
      </c>
      <c r="C545" s="79" t="s">
        <v>43</v>
      </c>
      <c r="D545" s="80">
        <v>45598</v>
      </c>
      <c r="E545" s="79" t="s">
        <v>16</v>
      </c>
      <c r="F545" s="79" t="s">
        <v>104</v>
      </c>
      <c r="G545" s="79"/>
      <c r="H545" s="79" t="s">
        <v>247</v>
      </c>
    </row>
    <row r="546" spans="1:8">
      <c r="A546" s="79" t="str">
        <f>LeaveData[[#This Row],[ EMP ID]]&amp;LeaveData[[#This Row],[Date]]</f>
        <v>20231802045600</v>
      </c>
      <c r="B546" s="79">
        <v>202318020</v>
      </c>
      <c r="C546" s="79" t="s">
        <v>43</v>
      </c>
      <c r="D546" s="80">
        <v>45600</v>
      </c>
      <c r="E546" s="79" t="s">
        <v>16</v>
      </c>
      <c r="F546" s="79" t="s">
        <v>104</v>
      </c>
      <c r="G546" s="79"/>
      <c r="H546" s="79" t="s">
        <v>247</v>
      </c>
    </row>
    <row r="547" spans="1:8">
      <c r="A547" s="79" t="str">
        <f>LeaveData[[#This Row],[ EMP ID]]&amp;LeaveData[[#This Row],[Date]]</f>
        <v>20231802045601</v>
      </c>
      <c r="B547" s="79">
        <v>202318020</v>
      </c>
      <c r="C547" s="79" t="s">
        <v>43</v>
      </c>
      <c r="D547" s="80">
        <v>45601</v>
      </c>
      <c r="E547" s="79" t="s">
        <v>16</v>
      </c>
      <c r="F547" s="79" t="s">
        <v>104</v>
      </c>
      <c r="G547" s="79"/>
      <c r="H547" s="79" t="s">
        <v>247</v>
      </c>
    </row>
    <row r="548" spans="1:8">
      <c r="A548" s="79" t="str">
        <f>LeaveData[[#This Row],[ EMP ID]]&amp;LeaveData[[#This Row],[Date]]</f>
        <v>20231802045602</v>
      </c>
      <c r="B548" s="79">
        <v>202318020</v>
      </c>
      <c r="C548" s="79" t="s">
        <v>43</v>
      </c>
      <c r="D548" s="80">
        <v>45602</v>
      </c>
      <c r="E548" s="79" t="s">
        <v>16</v>
      </c>
      <c r="F548" s="79" t="s">
        <v>104</v>
      </c>
      <c r="G548" s="79"/>
      <c r="H548" s="79" t="s">
        <v>247</v>
      </c>
    </row>
    <row r="549" spans="1:8">
      <c r="A549" s="79" t="str">
        <f>LeaveData[[#This Row],[ EMP ID]]&amp;LeaveData[[#This Row],[Date]]</f>
        <v>20231802045603</v>
      </c>
      <c r="B549" s="79">
        <v>202318020</v>
      </c>
      <c r="C549" s="79" t="s">
        <v>43</v>
      </c>
      <c r="D549" s="80">
        <v>45603</v>
      </c>
      <c r="E549" s="79" t="s">
        <v>16</v>
      </c>
      <c r="F549" s="79" t="s">
        <v>104</v>
      </c>
      <c r="G549" s="79"/>
      <c r="H549" s="79" t="s">
        <v>247</v>
      </c>
    </row>
    <row r="550" spans="1:8">
      <c r="A550" s="79" t="str">
        <f>LeaveData[[#This Row],[ EMP ID]]&amp;LeaveData[[#This Row],[Date]]</f>
        <v>20231802045604</v>
      </c>
      <c r="B550" s="79">
        <v>202318020</v>
      </c>
      <c r="C550" s="79" t="s">
        <v>43</v>
      </c>
      <c r="D550" s="80">
        <v>45604</v>
      </c>
      <c r="E550" s="79" t="s">
        <v>16</v>
      </c>
      <c r="F550" s="79" t="s">
        <v>104</v>
      </c>
      <c r="G550" s="79"/>
      <c r="H550" s="79" t="s">
        <v>247</v>
      </c>
    </row>
    <row r="551" spans="1:8">
      <c r="A551" s="79" t="str">
        <f>LeaveData[[#This Row],[ EMP ID]]&amp;LeaveData[[#This Row],[Date]]</f>
        <v>20231802045607</v>
      </c>
      <c r="B551" s="79">
        <v>202318020</v>
      </c>
      <c r="C551" s="79" t="s">
        <v>43</v>
      </c>
      <c r="D551" s="80">
        <v>45607</v>
      </c>
      <c r="E551" s="79" t="s">
        <v>16</v>
      </c>
      <c r="F551" s="79" t="s">
        <v>104</v>
      </c>
      <c r="G551" s="79"/>
      <c r="H551" s="79" t="s">
        <v>247</v>
      </c>
    </row>
    <row r="552" spans="1:8">
      <c r="A552" s="79" t="str">
        <f>LeaveData[[#This Row],[ EMP ID]]&amp;LeaveData[[#This Row],[Date]]</f>
        <v>20231802045608</v>
      </c>
      <c r="B552" s="79">
        <v>202318020</v>
      </c>
      <c r="C552" s="79" t="s">
        <v>43</v>
      </c>
      <c r="D552" s="80">
        <v>45608</v>
      </c>
      <c r="E552" s="79" t="s">
        <v>16</v>
      </c>
      <c r="F552" s="79" t="s">
        <v>104</v>
      </c>
      <c r="G552" s="79"/>
      <c r="H552" s="79" t="s">
        <v>247</v>
      </c>
    </row>
    <row r="553" spans="1:8">
      <c r="A553" s="79" t="str">
        <f>LeaveData[[#This Row],[ EMP ID]]&amp;LeaveData[[#This Row],[Date]]</f>
        <v>20231802045609</v>
      </c>
      <c r="B553" s="79">
        <v>202318020</v>
      </c>
      <c r="C553" s="79" t="s">
        <v>43</v>
      </c>
      <c r="D553" s="80">
        <v>45609</v>
      </c>
      <c r="E553" s="79" t="s">
        <v>16</v>
      </c>
      <c r="F553" s="79" t="s">
        <v>104</v>
      </c>
      <c r="G553" s="79"/>
      <c r="H553" s="79" t="s">
        <v>247</v>
      </c>
    </row>
    <row r="554" spans="1:8">
      <c r="A554" s="79" t="str">
        <f>LeaveData[[#This Row],[ EMP ID]]&amp;LeaveData[[#This Row],[Date]]</f>
        <v>20231802045610</v>
      </c>
      <c r="B554" s="79">
        <v>202318020</v>
      </c>
      <c r="C554" s="79" t="s">
        <v>43</v>
      </c>
      <c r="D554" s="80">
        <v>45610</v>
      </c>
      <c r="E554" s="79" t="s">
        <v>16</v>
      </c>
      <c r="F554" s="79" t="s">
        <v>104</v>
      </c>
      <c r="G554" s="79"/>
      <c r="H554" s="79" t="s">
        <v>247</v>
      </c>
    </row>
    <row r="555" spans="1:8">
      <c r="A555" s="79" t="str">
        <f>LeaveData[[#This Row],[ EMP ID]]&amp;LeaveData[[#This Row],[Date]]</f>
        <v>20231802045611</v>
      </c>
      <c r="B555" s="79">
        <v>202318020</v>
      </c>
      <c r="C555" s="79" t="s">
        <v>43</v>
      </c>
      <c r="D555" s="80">
        <v>45611</v>
      </c>
      <c r="E555" s="79" t="s">
        <v>16</v>
      </c>
      <c r="F555" s="79" t="s">
        <v>104</v>
      </c>
      <c r="G555" s="79"/>
      <c r="H555" s="79" t="s">
        <v>247</v>
      </c>
    </row>
    <row r="556" spans="1:8">
      <c r="A556" s="79" t="str">
        <f>LeaveData[[#This Row],[ EMP ID]]&amp;LeaveData[[#This Row],[Date]]</f>
        <v>20231802045612</v>
      </c>
      <c r="B556" s="79">
        <v>202318020</v>
      </c>
      <c r="C556" s="79" t="s">
        <v>43</v>
      </c>
      <c r="D556" s="80">
        <v>45612</v>
      </c>
      <c r="E556" s="79" t="s">
        <v>16</v>
      </c>
      <c r="F556" s="79" t="s">
        <v>104</v>
      </c>
      <c r="G556" s="79"/>
      <c r="H556" s="79" t="s">
        <v>247</v>
      </c>
    </row>
    <row r="557" spans="1:8">
      <c r="A557" s="79" t="str">
        <f>LeaveData[[#This Row],[ EMP ID]]&amp;LeaveData[[#This Row],[Date]]</f>
        <v>20231802045614</v>
      </c>
      <c r="B557" s="79">
        <v>202318020</v>
      </c>
      <c r="C557" s="79" t="s">
        <v>43</v>
      </c>
      <c r="D557" s="80">
        <v>45614</v>
      </c>
      <c r="E557" s="79" t="s">
        <v>16</v>
      </c>
      <c r="F557" s="79" t="s">
        <v>104</v>
      </c>
      <c r="G557" s="79"/>
      <c r="H557" s="79" t="s">
        <v>247</v>
      </c>
    </row>
    <row r="558" spans="1:8">
      <c r="A558" s="79" t="str">
        <f>LeaveData[[#This Row],[ EMP ID]]&amp;LeaveData[[#This Row],[Date]]</f>
        <v>20231802045615</v>
      </c>
      <c r="B558" s="79">
        <v>202318020</v>
      </c>
      <c r="C558" s="79" t="s">
        <v>43</v>
      </c>
      <c r="D558" s="80">
        <v>45615</v>
      </c>
      <c r="E558" s="79" t="s">
        <v>16</v>
      </c>
      <c r="F558" s="79" t="s">
        <v>104</v>
      </c>
      <c r="G558" s="79"/>
      <c r="H558" s="79" t="s">
        <v>247</v>
      </c>
    </row>
    <row r="559" spans="1:8">
      <c r="A559" s="79" t="str">
        <f>LeaveData[[#This Row],[ EMP ID]]&amp;LeaveData[[#This Row],[Date]]</f>
        <v>20231802045616</v>
      </c>
      <c r="B559" s="79">
        <v>202318020</v>
      </c>
      <c r="C559" s="79" t="s">
        <v>43</v>
      </c>
      <c r="D559" s="80">
        <v>45616</v>
      </c>
      <c r="E559" s="79" t="s">
        <v>16</v>
      </c>
      <c r="F559" s="79" t="s">
        <v>104</v>
      </c>
      <c r="G559" s="79"/>
      <c r="H559" s="79" t="s">
        <v>247</v>
      </c>
    </row>
    <row r="560" spans="1:8">
      <c r="A560" s="79" t="str">
        <f>LeaveData[[#This Row],[ EMP ID]]&amp;LeaveData[[#This Row],[Date]]</f>
        <v>20231802045617</v>
      </c>
      <c r="B560" s="79">
        <v>202318020</v>
      </c>
      <c r="C560" s="79" t="s">
        <v>43</v>
      </c>
      <c r="D560" s="80">
        <v>45617</v>
      </c>
      <c r="E560" s="79" t="s">
        <v>16</v>
      </c>
      <c r="F560" s="79" t="s">
        <v>104</v>
      </c>
      <c r="G560" s="79"/>
      <c r="H560" s="79" t="s">
        <v>247</v>
      </c>
    </row>
    <row r="561" spans="1:8">
      <c r="A561" s="79" t="str">
        <f>LeaveData[[#This Row],[ EMP ID]]&amp;LeaveData[[#This Row],[Date]]</f>
        <v>20231802045618</v>
      </c>
      <c r="B561" s="79">
        <v>202318020</v>
      </c>
      <c r="C561" s="79" t="s">
        <v>43</v>
      </c>
      <c r="D561" s="80">
        <v>45618</v>
      </c>
      <c r="E561" s="79" t="s">
        <v>16</v>
      </c>
      <c r="F561" s="79" t="s">
        <v>104</v>
      </c>
      <c r="G561" s="79"/>
      <c r="H561" s="79" t="s">
        <v>247</v>
      </c>
    </row>
    <row r="562" spans="1:8">
      <c r="A562" s="79" t="str">
        <f>LeaveData[[#This Row],[ EMP ID]]&amp;LeaveData[[#This Row],[Date]]</f>
        <v>20231802045619</v>
      </c>
      <c r="B562" s="79">
        <v>202318020</v>
      </c>
      <c r="C562" s="79" t="s">
        <v>43</v>
      </c>
      <c r="D562" s="80">
        <v>45619</v>
      </c>
      <c r="E562" s="79" t="s">
        <v>16</v>
      </c>
      <c r="F562" s="79" t="s">
        <v>104</v>
      </c>
      <c r="G562" s="79"/>
      <c r="H562" s="79" t="s">
        <v>247</v>
      </c>
    </row>
    <row r="563" spans="1:8">
      <c r="A563" s="79" t="str">
        <f>LeaveData[[#This Row],[ EMP ID]]&amp;LeaveData[[#This Row],[Date]]</f>
        <v>20231802045621</v>
      </c>
      <c r="B563" s="79">
        <v>202318020</v>
      </c>
      <c r="C563" s="79" t="s">
        <v>43</v>
      </c>
      <c r="D563" s="80">
        <v>45621</v>
      </c>
      <c r="E563" s="79" t="s">
        <v>16</v>
      </c>
      <c r="F563" s="79" t="s">
        <v>104</v>
      </c>
      <c r="G563" s="79"/>
      <c r="H563" s="79" t="s">
        <v>247</v>
      </c>
    </row>
    <row r="564" spans="1:8">
      <c r="A564" s="79" t="str">
        <f>LeaveData[[#This Row],[ EMP ID]]&amp;LeaveData[[#This Row],[Date]]</f>
        <v>20231802045622</v>
      </c>
      <c r="B564" s="79">
        <v>202318020</v>
      </c>
      <c r="C564" s="79" t="s">
        <v>43</v>
      </c>
      <c r="D564" s="80">
        <v>45622</v>
      </c>
      <c r="E564" s="79" t="s">
        <v>16</v>
      </c>
      <c r="F564" s="79" t="s">
        <v>104</v>
      </c>
      <c r="G564" s="79"/>
      <c r="H564" s="79" t="s">
        <v>247</v>
      </c>
    </row>
    <row r="565" spans="1:8">
      <c r="A565" s="79" t="str">
        <f>LeaveData[[#This Row],[ EMP ID]]&amp;LeaveData[[#This Row],[Date]]</f>
        <v>20231802045623</v>
      </c>
      <c r="B565" s="79">
        <v>202318020</v>
      </c>
      <c r="C565" s="79" t="s">
        <v>43</v>
      </c>
      <c r="D565" s="80">
        <v>45623</v>
      </c>
      <c r="E565" s="79" t="s">
        <v>16</v>
      </c>
      <c r="F565" s="79" t="s">
        <v>104</v>
      </c>
      <c r="G565" s="79"/>
      <c r="H565" s="79" t="s">
        <v>247</v>
      </c>
    </row>
    <row r="566" spans="1:8">
      <c r="A566" s="79" t="str">
        <f>LeaveData[[#This Row],[ EMP ID]]&amp;LeaveData[[#This Row],[Date]]</f>
        <v>20231802045624</v>
      </c>
      <c r="B566" s="79">
        <v>202318020</v>
      </c>
      <c r="C566" s="79" t="s">
        <v>43</v>
      </c>
      <c r="D566" s="80">
        <v>45624</v>
      </c>
      <c r="E566" s="79" t="s">
        <v>16</v>
      </c>
      <c r="F566" s="79" t="s">
        <v>104</v>
      </c>
      <c r="G566" s="79"/>
      <c r="H566" s="79" t="s">
        <v>247</v>
      </c>
    </row>
    <row r="567" spans="1:8">
      <c r="A567" s="79" t="str">
        <f>LeaveData[[#This Row],[ EMP ID]]&amp;LeaveData[[#This Row],[Date]]</f>
        <v>20231802045625</v>
      </c>
      <c r="B567" s="79">
        <v>202318020</v>
      </c>
      <c r="C567" s="79" t="s">
        <v>43</v>
      </c>
      <c r="D567" s="80">
        <v>45625</v>
      </c>
      <c r="E567" s="79" t="s">
        <v>16</v>
      </c>
      <c r="F567" s="79" t="s">
        <v>104</v>
      </c>
      <c r="G567" s="79"/>
      <c r="H567" s="79" t="s">
        <v>247</v>
      </c>
    </row>
    <row r="568" spans="1:8">
      <c r="A568" s="79" t="str">
        <f>LeaveData[[#This Row],[ EMP ID]]&amp;LeaveData[[#This Row],[Date]]</f>
        <v>20231802045626</v>
      </c>
      <c r="B568" s="79">
        <v>202318020</v>
      </c>
      <c r="C568" s="79" t="s">
        <v>43</v>
      </c>
      <c r="D568" s="80">
        <v>45626</v>
      </c>
      <c r="E568" s="79" t="s">
        <v>16</v>
      </c>
      <c r="F568" s="79" t="s">
        <v>104</v>
      </c>
      <c r="G568" s="79"/>
      <c r="H568" s="79" t="s">
        <v>247</v>
      </c>
    </row>
    <row r="569" spans="1:8">
      <c r="A569" s="79" t="str">
        <f>LeaveData[[#This Row],[ EMP ID]]&amp;LeaveData[[#This Row],[Date]]</f>
        <v>20231802245588</v>
      </c>
      <c r="B569" s="79">
        <v>202318022</v>
      </c>
      <c r="C569" s="79" t="s">
        <v>45</v>
      </c>
      <c r="D569" s="80">
        <v>45588</v>
      </c>
      <c r="E569" s="79" t="s">
        <v>13</v>
      </c>
      <c r="F569" s="79" t="s">
        <v>118</v>
      </c>
      <c r="G569" s="79"/>
      <c r="H569" s="79" t="s">
        <v>134</v>
      </c>
    </row>
    <row r="570" spans="1:8">
      <c r="A570" s="79" t="str">
        <f>LeaveData[[#This Row],[ EMP ID]]&amp;LeaveData[[#This Row],[Date]]</f>
        <v>20231802245589</v>
      </c>
      <c r="B570" s="79">
        <v>202318022</v>
      </c>
      <c r="C570" s="79" t="s">
        <v>45</v>
      </c>
      <c r="D570" s="80">
        <v>45589</v>
      </c>
      <c r="E570" s="79" t="s">
        <v>13</v>
      </c>
      <c r="F570" s="79" t="s">
        <v>118</v>
      </c>
      <c r="G570" s="79"/>
      <c r="H570" s="79" t="s">
        <v>134</v>
      </c>
    </row>
    <row r="571" spans="1:8">
      <c r="A571" s="79" t="str">
        <f>LeaveData[[#This Row],[ EMP ID]]&amp;LeaveData[[#This Row],[Date]]</f>
        <v>20231802245590</v>
      </c>
      <c r="B571" s="79">
        <v>202318022</v>
      </c>
      <c r="C571" s="79" t="s">
        <v>45</v>
      </c>
      <c r="D571" s="80">
        <v>45590</v>
      </c>
      <c r="E571" s="79" t="s">
        <v>13</v>
      </c>
      <c r="F571" s="79" t="s">
        <v>118</v>
      </c>
      <c r="G571" s="79"/>
      <c r="H571" s="79" t="s">
        <v>134</v>
      </c>
    </row>
    <row r="572" spans="1:8">
      <c r="A572" s="79" t="str">
        <f>LeaveData[[#This Row],[ EMP ID]]&amp;LeaveData[[#This Row],[Date]]</f>
        <v>20231802245591</v>
      </c>
      <c r="B572" s="79">
        <v>202318022</v>
      </c>
      <c r="C572" s="79" t="s">
        <v>45</v>
      </c>
      <c r="D572" s="80">
        <v>45591</v>
      </c>
      <c r="E572" s="79" t="s">
        <v>13</v>
      </c>
      <c r="F572" s="79" t="s">
        <v>118</v>
      </c>
      <c r="G572" s="79"/>
      <c r="H572" s="79" t="s">
        <v>134</v>
      </c>
    </row>
    <row r="573" spans="1:8">
      <c r="A573" s="79" t="str">
        <f>LeaveData[[#This Row],[ EMP ID]]&amp;LeaveData[[#This Row],[Date]]</f>
        <v>20231802245593</v>
      </c>
      <c r="B573" s="79">
        <v>202318022</v>
      </c>
      <c r="C573" s="79" t="s">
        <v>45</v>
      </c>
      <c r="D573" s="80">
        <v>45593</v>
      </c>
      <c r="E573" s="79" t="s">
        <v>16</v>
      </c>
      <c r="F573" s="79" t="s">
        <v>118</v>
      </c>
      <c r="G573" s="79"/>
      <c r="H573" s="79" t="s">
        <v>247</v>
      </c>
    </row>
    <row r="574" spans="1:8">
      <c r="A574" s="79" t="str">
        <f>LeaveData[[#This Row],[ EMP ID]]&amp;LeaveData[[#This Row],[Date]]</f>
        <v>20231802245594</v>
      </c>
      <c r="B574" s="79">
        <v>202318022</v>
      </c>
      <c r="C574" s="79" t="s">
        <v>45</v>
      </c>
      <c r="D574" s="80">
        <v>45594</v>
      </c>
      <c r="E574" s="79" t="s">
        <v>16</v>
      </c>
      <c r="F574" s="79" t="s">
        <v>118</v>
      </c>
      <c r="G574" s="79"/>
      <c r="H574" s="79" t="s">
        <v>247</v>
      </c>
    </row>
    <row r="575" spans="1:8">
      <c r="A575" s="79" t="str">
        <f>LeaveData[[#This Row],[ EMP ID]]&amp;LeaveData[[#This Row],[Date]]</f>
        <v>20231802245595</v>
      </c>
      <c r="B575" s="79">
        <v>202318022</v>
      </c>
      <c r="C575" s="79" t="s">
        <v>45</v>
      </c>
      <c r="D575" s="80">
        <v>45595</v>
      </c>
      <c r="E575" s="79" t="s">
        <v>16</v>
      </c>
      <c r="F575" s="79" t="s">
        <v>118</v>
      </c>
      <c r="G575" s="79"/>
      <c r="H575" s="79" t="s">
        <v>247</v>
      </c>
    </row>
    <row r="576" spans="1:8">
      <c r="A576" s="79" t="str">
        <f>LeaveData[[#This Row],[ EMP ID]]&amp;LeaveData[[#This Row],[Date]]</f>
        <v>20231802245596</v>
      </c>
      <c r="B576" s="79">
        <v>202318022</v>
      </c>
      <c r="C576" s="79" t="s">
        <v>45</v>
      </c>
      <c r="D576" s="80">
        <v>45596</v>
      </c>
      <c r="E576" s="79" t="s">
        <v>16</v>
      </c>
      <c r="F576" s="79" t="s">
        <v>118</v>
      </c>
      <c r="G576" s="79"/>
      <c r="H576" s="79" t="s">
        <v>247</v>
      </c>
    </row>
    <row r="577" spans="1:8">
      <c r="A577" s="79" t="str">
        <f>LeaveData[[#This Row],[ EMP ID]]&amp;LeaveData[[#This Row],[Date]]</f>
        <v>20231802245597</v>
      </c>
      <c r="B577" s="79">
        <v>202318022</v>
      </c>
      <c r="C577" s="79" t="s">
        <v>45</v>
      </c>
      <c r="D577" s="80">
        <v>45597</v>
      </c>
      <c r="E577" s="79" t="s">
        <v>16</v>
      </c>
      <c r="F577" s="79" t="s">
        <v>118</v>
      </c>
      <c r="G577" s="79"/>
      <c r="H577" s="79" t="s">
        <v>247</v>
      </c>
    </row>
    <row r="578" spans="1:8">
      <c r="A578" s="79" t="str">
        <f>LeaveData[[#This Row],[ EMP ID]]&amp;LeaveData[[#This Row],[Date]]</f>
        <v>20231802245598</v>
      </c>
      <c r="B578" s="79">
        <v>202318022</v>
      </c>
      <c r="C578" s="79" t="s">
        <v>45</v>
      </c>
      <c r="D578" s="80">
        <v>45598</v>
      </c>
      <c r="E578" s="79" t="s">
        <v>16</v>
      </c>
      <c r="F578" s="79" t="s">
        <v>118</v>
      </c>
      <c r="G578" s="79"/>
      <c r="H578" s="79" t="s">
        <v>247</v>
      </c>
    </row>
    <row r="579" spans="1:8">
      <c r="A579" s="79" t="str">
        <f>LeaveData[[#This Row],[ EMP ID]]&amp;LeaveData[[#This Row],[Date]]</f>
        <v>20231802245600</v>
      </c>
      <c r="B579" s="79">
        <v>202318022</v>
      </c>
      <c r="C579" s="79" t="s">
        <v>45</v>
      </c>
      <c r="D579" s="80">
        <v>45600</v>
      </c>
      <c r="E579" s="79" t="s">
        <v>16</v>
      </c>
      <c r="F579" s="79" t="s">
        <v>118</v>
      </c>
      <c r="G579" s="79"/>
      <c r="H579" s="79" t="s">
        <v>247</v>
      </c>
    </row>
    <row r="580" spans="1:8">
      <c r="A580" s="79" t="str">
        <f>LeaveData[[#This Row],[ EMP ID]]&amp;LeaveData[[#This Row],[Date]]</f>
        <v>20231802245601</v>
      </c>
      <c r="B580" s="79">
        <v>202318022</v>
      </c>
      <c r="C580" s="79" t="s">
        <v>45</v>
      </c>
      <c r="D580" s="80">
        <v>45601</v>
      </c>
      <c r="E580" s="79" t="s">
        <v>16</v>
      </c>
      <c r="F580" s="79" t="s">
        <v>118</v>
      </c>
      <c r="G580" s="79"/>
      <c r="H580" s="79" t="s">
        <v>247</v>
      </c>
    </row>
    <row r="581" spans="1:8">
      <c r="A581" s="79" t="str">
        <f>LeaveData[[#This Row],[ EMP ID]]&amp;LeaveData[[#This Row],[Date]]</f>
        <v>20231802245602</v>
      </c>
      <c r="B581" s="79">
        <v>202318022</v>
      </c>
      <c r="C581" s="79" t="s">
        <v>45</v>
      </c>
      <c r="D581" s="80">
        <v>45602</v>
      </c>
      <c r="E581" s="79" t="s">
        <v>16</v>
      </c>
      <c r="F581" s="79" t="s">
        <v>118</v>
      </c>
      <c r="G581" s="79"/>
      <c r="H581" s="79" t="s">
        <v>247</v>
      </c>
    </row>
    <row r="582" spans="1:8">
      <c r="A582" s="79" t="str">
        <f>LeaveData[[#This Row],[ EMP ID]]&amp;LeaveData[[#This Row],[Date]]</f>
        <v>20231802245603</v>
      </c>
      <c r="B582" s="79">
        <v>202318022</v>
      </c>
      <c r="C582" s="79" t="s">
        <v>45</v>
      </c>
      <c r="D582" s="80">
        <v>45603</v>
      </c>
      <c r="E582" s="79" t="s">
        <v>16</v>
      </c>
      <c r="F582" s="79" t="s">
        <v>118</v>
      </c>
      <c r="G582" s="79"/>
      <c r="H582" s="79" t="s">
        <v>247</v>
      </c>
    </row>
    <row r="583" spans="1:8">
      <c r="A583" s="79" t="str">
        <f>LeaveData[[#This Row],[ EMP ID]]&amp;LeaveData[[#This Row],[Date]]</f>
        <v>20231802245604</v>
      </c>
      <c r="B583" s="79">
        <v>202318022</v>
      </c>
      <c r="C583" s="79" t="s">
        <v>45</v>
      </c>
      <c r="D583" s="80">
        <v>45604</v>
      </c>
      <c r="E583" s="79" t="s">
        <v>16</v>
      </c>
      <c r="F583" s="79" t="s">
        <v>118</v>
      </c>
      <c r="G583" s="79"/>
      <c r="H583" s="79" t="s">
        <v>247</v>
      </c>
    </row>
    <row r="584" spans="1:8">
      <c r="A584" s="79" t="str">
        <f>LeaveData[[#This Row],[ EMP ID]]&amp;LeaveData[[#This Row],[Date]]</f>
        <v>20231802245607</v>
      </c>
      <c r="B584" s="79">
        <v>202318022</v>
      </c>
      <c r="C584" s="79" t="s">
        <v>45</v>
      </c>
      <c r="D584" s="80">
        <v>45607</v>
      </c>
      <c r="E584" s="79" t="s">
        <v>16</v>
      </c>
      <c r="F584" s="79" t="s">
        <v>118</v>
      </c>
      <c r="G584" s="79"/>
      <c r="H584" s="79" t="s">
        <v>247</v>
      </c>
    </row>
    <row r="585" spans="1:8">
      <c r="A585" s="79" t="str">
        <f>LeaveData[[#This Row],[ EMP ID]]&amp;LeaveData[[#This Row],[Date]]</f>
        <v>20231802245608</v>
      </c>
      <c r="B585" s="79">
        <v>202318022</v>
      </c>
      <c r="C585" s="79" t="s">
        <v>45</v>
      </c>
      <c r="D585" s="80">
        <v>45608</v>
      </c>
      <c r="E585" s="79" t="s">
        <v>16</v>
      </c>
      <c r="F585" s="79" t="s">
        <v>118</v>
      </c>
      <c r="G585" s="79"/>
      <c r="H585" s="79" t="s">
        <v>247</v>
      </c>
    </row>
    <row r="586" spans="1:8">
      <c r="A586" s="79" t="str">
        <f>LeaveData[[#This Row],[ EMP ID]]&amp;LeaveData[[#This Row],[Date]]</f>
        <v>20231802245609</v>
      </c>
      <c r="B586" s="79">
        <v>202318022</v>
      </c>
      <c r="C586" s="79" t="s">
        <v>45</v>
      </c>
      <c r="D586" s="80">
        <v>45609</v>
      </c>
      <c r="E586" s="79" t="s">
        <v>16</v>
      </c>
      <c r="F586" s="79" t="s">
        <v>118</v>
      </c>
      <c r="G586" s="79"/>
      <c r="H586" s="79" t="s">
        <v>247</v>
      </c>
    </row>
    <row r="587" spans="1:8">
      <c r="A587" s="79" t="str">
        <f>LeaveData[[#This Row],[ EMP ID]]&amp;LeaveData[[#This Row],[Date]]</f>
        <v>20231802245610</v>
      </c>
      <c r="B587" s="79">
        <v>202318022</v>
      </c>
      <c r="C587" s="79" t="s">
        <v>45</v>
      </c>
      <c r="D587" s="80">
        <v>45610</v>
      </c>
      <c r="E587" s="79" t="s">
        <v>16</v>
      </c>
      <c r="F587" s="79" t="s">
        <v>118</v>
      </c>
      <c r="G587" s="79"/>
      <c r="H587" s="79" t="s">
        <v>247</v>
      </c>
    </row>
    <row r="588" spans="1:8">
      <c r="A588" s="79" t="str">
        <f>LeaveData[[#This Row],[ EMP ID]]&amp;LeaveData[[#This Row],[Date]]</f>
        <v>20231802245611</v>
      </c>
      <c r="B588" s="79">
        <v>202318022</v>
      </c>
      <c r="C588" s="79" t="s">
        <v>45</v>
      </c>
      <c r="D588" s="80">
        <v>45611</v>
      </c>
      <c r="E588" s="79" t="s">
        <v>16</v>
      </c>
      <c r="F588" s="79" t="s">
        <v>118</v>
      </c>
      <c r="G588" s="79"/>
      <c r="H588" s="79" t="s">
        <v>247</v>
      </c>
    </row>
    <row r="589" spans="1:8">
      <c r="A589" s="79" t="str">
        <f>LeaveData[[#This Row],[ EMP ID]]&amp;LeaveData[[#This Row],[Date]]</f>
        <v>20231802245612</v>
      </c>
      <c r="B589" s="79">
        <v>202318022</v>
      </c>
      <c r="C589" s="79" t="s">
        <v>45</v>
      </c>
      <c r="D589" s="80">
        <v>45612</v>
      </c>
      <c r="E589" s="79" t="s">
        <v>16</v>
      </c>
      <c r="F589" s="79" t="s">
        <v>118</v>
      </c>
      <c r="G589" s="79"/>
      <c r="H589" s="79" t="s">
        <v>247</v>
      </c>
    </row>
    <row r="590" spans="1:8">
      <c r="A590" s="79" t="str">
        <f>LeaveData[[#This Row],[ EMP ID]]&amp;LeaveData[[#This Row],[Date]]</f>
        <v>20231802245614</v>
      </c>
      <c r="B590" s="79">
        <v>202318022</v>
      </c>
      <c r="C590" s="79" t="s">
        <v>45</v>
      </c>
      <c r="D590" s="80">
        <v>45614</v>
      </c>
      <c r="E590" s="79" t="s">
        <v>16</v>
      </c>
      <c r="F590" s="79" t="s">
        <v>118</v>
      </c>
      <c r="G590" s="79"/>
      <c r="H590" s="79" t="s">
        <v>247</v>
      </c>
    </row>
    <row r="591" spans="1:8">
      <c r="A591" s="79" t="str">
        <f>LeaveData[[#This Row],[ EMP ID]]&amp;LeaveData[[#This Row],[Date]]</f>
        <v>20231802245615</v>
      </c>
      <c r="B591" s="79">
        <v>202318022</v>
      </c>
      <c r="C591" s="79" t="s">
        <v>45</v>
      </c>
      <c r="D591" s="80">
        <v>45615</v>
      </c>
      <c r="E591" s="79" t="s">
        <v>16</v>
      </c>
      <c r="F591" s="79" t="s">
        <v>118</v>
      </c>
      <c r="G591" s="79"/>
      <c r="H591" s="79" t="s">
        <v>247</v>
      </c>
    </row>
    <row r="592" spans="1:8">
      <c r="A592" s="79" t="str">
        <f>LeaveData[[#This Row],[ EMP ID]]&amp;LeaveData[[#This Row],[Date]]</f>
        <v>20231802245616</v>
      </c>
      <c r="B592" s="79">
        <v>202318022</v>
      </c>
      <c r="C592" s="79" t="s">
        <v>45</v>
      </c>
      <c r="D592" s="80">
        <v>45616</v>
      </c>
      <c r="E592" s="79" t="s">
        <v>16</v>
      </c>
      <c r="F592" s="79" t="s">
        <v>118</v>
      </c>
      <c r="G592" s="79"/>
      <c r="H592" s="79" t="s">
        <v>247</v>
      </c>
    </row>
    <row r="593" spans="1:8">
      <c r="A593" s="79" t="str">
        <f>LeaveData[[#This Row],[ EMP ID]]&amp;LeaveData[[#This Row],[Date]]</f>
        <v>20231802245617</v>
      </c>
      <c r="B593" s="79">
        <v>202318022</v>
      </c>
      <c r="C593" s="79" t="s">
        <v>45</v>
      </c>
      <c r="D593" s="80">
        <v>45617</v>
      </c>
      <c r="E593" s="79" t="s">
        <v>16</v>
      </c>
      <c r="F593" s="79" t="s">
        <v>118</v>
      </c>
      <c r="G593" s="79"/>
      <c r="H593" s="79" t="s">
        <v>247</v>
      </c>
    </row>
    <row r="594" spans="1:8">
      <c r="A594" s="79" t="str">
        <f>LeaveData[[#This Row],[ EMP ID]]&amp;LeaveData[[#This Row],[Date]]</f>
        <v>20231802245618</v>
      </c>
      <c r="B594" s="79">
        <v>202318022</v>
      </c>
      <c r="C594" s="79" t="s">
        <v>45</v>
      </c>
      <c r="D594" s="80">
        <v>45618</v>
      </c>
      <c r="E594" s="79" t="s">
        <v>16</v>
      </c>
      <c r="F594" s="79" t="s">
        <v>118</v>
      </c>
      <c r="G594" s="79"/>
      <c r="H594" s="79" t="s">
        <v>247</v>
      </c>
    </row>
    <row r="595" spans="1:8">
      <c r="A595" s="79" t="str">
        <f>LeaveData[[#This Row],[ EMP ID]]&amp;LeaveData[[#This Row],[Date]]</f>
        <v>20231802245619</v>
      </c>
      <c r="B595" s="79">
        <v>202318022</v>
      </c>
      <c r="C595" s="79" t="s">
        <v>45</v>
      </c>
      <c r="D595" s="80">
        <v>45619</v>
      </c>
      <c r="E595" s="79" t="s">
        <v>16</v>
      </c>
      <c r="F595" s="79" t="s">
        <v>118</v>
      </c>
      <c r="G595" s="79"/>
      <c r="H595" s="79" t="s">
        <v>247</v>
      </c>
    </row>
    <row r="596" spans="1:8">
      <c r="A596" s="79" t="str">
        <f>LeaveData[[#This Row],[ EMP ID]]&amp;LeaveData[[#This Row],[Date]]</f>
        <v>20231802245621</v>
      </c>
      <c r="B596" s="79">
        <v>202318022</v>
      </c>
      <c r="C596" s="79" t="s">
        <v>45</v>
      </c>
      <c r="D596" s="80">
        <v>45621</v>
      </c>
      <c r="E596" s="79" t="s">
        <v>16</v>
      </c>
      <c r="F596" s="79" t="s">
        <v>118</v>
      </c>
      <c r="G596" s="79"/>
      <c r="H596" s="79" t="s">
        <v>247</v>
      </c>
    </row>
    <row r="597" spans="1:8">
      <c r="A597" s="79" t="str">
        <f>LeaveData[[#This Row],[ EMP ID]]&amp;LeaveData[[#This Row],[Date]]</f>
        <v>20231802245622</v>
      </c>
      <c r="B597" s="79">
        <v>202318022</v>
      </c>
      <c r="C597" s="79" t="s">
        <v>45</v>
      </c>
      <c r="D597" s="80">
        <v>45622</v>
      </c>
      <c r="E597" s="79" t="s">
        <v>16</v>
      </c>
      <c r="F597" s="79" t="s">
        <v>118</v>
      </c>
      <c r="G597" s="79"/>
      <c r="H597" s="79" t="s">
        <v>247</v>
      </c>
    </row>
    <row r="598" spans="1:8">
      <c r="A598" s="79" t="str">
        <f>LeaveData[[#This Row],[ EMP ID]]&amp;LeaveData[[#This Row],[Date]]</f>
        <v>20231802245623</v>
      </c>
      <c r="B598" s="79">
        <v>202318022</v>
      </c>
      <c r="C598" s="79" t="s">
        <v>45</v>
      </c>
      <c r="D598" s="80">
        <v>45623</v>
      </c>
      <c r="E598" s="79" t="s">
        <v>16</v>
      </c>
      <c r="F598" s="79" t="s">
        <v>118</v>
      </c>
      <c r="G598" s="79"/>
      <c r="H598" s="79" t="s">
        <v>247</v>
      </c>
    </row>
    <row r="599" spans="1:8">
      <c r="A599" s="79" t="str">
        <f>LeaveData[[#This Row],[ EMP ID]]&amp;LeaveData[[#This Row],[Date]]</f>
        <v>20231802245624</v>
      </c>
      <c r="B599" s="79">
        <v>202318022</v>
      </c>
      <c r="C599" s="79" t="s">
        <v>45</v>
      </c>
      <c r="D599" s="80">
        <v>45624</v>
      </c>
      <c r="E599" s="79" t="s">
        <v>16</v>
      </c>
      <c r="F599" s="79" t="s">
        <v>118</v>
      </c>
      <c r="G599" s="79"/>
      <c r="H599" s="79" t="s">
        <v>247</v>
      </c>
    </row>
    <row r="600" spans="1:8">
      <c r="A600" s="79" t="str">
        <f>LeaveData[[#This Row],[ EMP ID]]&amp;LeaveData[[#This Row],[Date]]</f>
        <v>20231802245625</v>
      </c>
      <c r="B600" s="79">
        <v>202318022</v>
      </c>
      <c r="C600" s="79" t="s">
        <v>45</v>
      </c>
      <c r="D600" s="80">
        <v>45625</v>
      </c>
      <c r="E600" s="79" t="s">
        <v>16</v>
      </c>
      <c r="F600" s="79" t="s">
        <v>118</v>
      </c>
      <c r="G600" s="79"/>
      <c r="H600" s="79" t="s">
        <v>247</v>
      </c>
    </row>
    <row r="601" spans="1:8">
      <c r="A601" s="79" t="str">
        <f>LeaveData[[#This Row],[ EMP ID]]&amp;LeaveData[[#This Row],[Date]]</f>
        <v>20231802245626</v>
      </c>
      <c r="B601" s="79">
        <v>202318022</v>
      </c>
      <c r="C601" s="79" t="s">
        <v>45</v>
      </c>
      <c r="D601" s="80">
        <v>45626</v>
      </c>
      <c r="E601" s="79" t="s">
        <v>16</v>
      </c>
      <c r="F601" s="79" t="s">
        <v>118</v>
      </c>
      <c r="G601" s="79"/>
      <c r="H601" s="79" t="s">
        <v>247</v>
      </c>
    </row>
    <row r="602" spans="1:8">
      <c r="A602" s="79" t="str">
        <f>LeaveData[[#This Row],[ EMP ID]]&amp;LeaveData[[#This Row],[Date]]</f>
        <v>20241803045555</v>
      </c>
      <c r="B602" s="79">
        <v>202418030</v>
      </c>
      <c r="C602" s="79" t="s">
        <v>60</v>
      </c>
      <c r="D602" s="80">
        <v>45555</v>
      </c>
      <c r="E602" s="79" t="s">
        <v>195</v>
      </c>
      <c r="F602" s="79" t="s">
        <v>118</v>
      </c>
      <c r="G602" s="79"/>
      <c r="H602" s="79" t="s">
        <v>317</v>
      </c>
    </row>
    <row r="603" spans="1:8">
      <c r="A603" s="79" t="str">
        <f>LeaveData[[#This Row],[ EMP ID]]&amp;LeaveData[[#This Row],[Date]]</f>
        <v>20242001545566</v>
      </c>
      <c r="B603" s="79">
        <v>202420015</v>
      </c>
      <c r="C603" s="79" t="s">
        <v>64</v>
      </c>
      <c r="D603" s="80">
        <v>45566</v>
      </c>
      <c r="E603" s="79" t="s">
        <v>13</v>
      </c>
      <c r="F603" s="79" t="s">
        <v>114</v>
      </c>
      <c r="G603" s="79"/>
      <c r="H603" s="79"/>
    </row>
    <row r="604" spans="1:8">
      <c r="A604" s="79" t="str">
        <f>LeaveData[[#This Row],[ EMP ID]]&amp;LeaveData[[#This Row],[Date]]</f>
        <v>20242001545567</v>
      </c>
      <c r="B604" s="79">
        <v>202420015</v>
      </c>
      <c r="C604" s="79" t="s">
        <v>64</v>
      </c>
      <c r="D604" s="80">
        <v>45567</v>
      </c>
      <c r="E604" s="79" t="s">
        <v>13</v>
      </c>
      <c r="F604" s="79" t="s">
        <v>114</v>
      </c>
      <c r="G604" s="79"/>
      <c r="H604" s="79"/>
    </row>
    <row r="605" spans="1:8">
      <c r="A605" s="79" t="str">
        <f>LeaveData[[#This Row],[ EMP ID]]&amp;LeaveData[[#This Row],[Date]]</f>
        <v>20242100345572</v>
      </c>
      <c r="B605" s="79">
        <v>202421003</v>
      </c>
      <c r="C605" s="79" t="s">
        <v>205</v>
      </c>
      <c r="D605" s="80">
        <v>45572</v>
      </c>
      <c r="E605" s="79" t="s">
        <v>318</v>
      </c>
      <c r="F605" s="79" t="s">
        <v>206</v>
      </c>
      <c r="G605" s="79"/>
      <c r="H605" s="79" t="s">
        <v>5</v>
      </c>
    </row>
    <row r="606" spans="1:8">
      <c r="A606" s="79" t="str">
        <f>LeaveData[[#This Row],[ EMP ID]]&amp;LeaveData[[#This Row],[Date]]</f>
        <v>20231802845572</v>
      </c>
      <c r="B606" s="79">
        <v>202318028</v>
      </c>
      <c r="C606" s="79" t="s">
        <v>57</v>
      </c>
      <c r="D606" s="80">
        <v>45572</v>
      </c>
      <c r="E606" s="79" t="s">
        <v>15</v>
      </c>
      <c r="F606" s="79" t="s">
        <v>118</v>
      </c>
      <c r="G606" s="79"/>
      <c r="H606" s="79" t="s">
        <v>319</v>
      </c>
    </row>
    <row r="607" spans="1:8">
      <c r="A607" s="79" t="str">
        <f>LeaveData[[#This Row],[ EMP ID]]&amp;LeaveData[[#This Row],[Date]]</f>
        <v>20221801245571</v>
      </c>
      <c r="B607" s="79">
        <v>202218012</v>
      </c>
      <c r="C607" s="79" t="s">
        <v>29</v>
      </c>
      <c r="D607" s="80">
        <v>45571</v>
      </c>
      <c r="E607" s="79" t="s">
        <v>154</v>
      </c>
      <c r="F607" s="79" t="s">
        <v>118</v>
      </c>
      <c r="G607" s="79"/>
      <c r="H607" s="79" t="s">
        <v>320</v>
      </c>
    </row>
    <row r="608" spans="1:8">
      <c r="A608" s="79" t="str">
        <f>LeaveData[[#This Row],[ EMP ID]]&amp;LeaveData[[#This Row],[Date]]</f>
        <v>20221801245545</v>
      </c>
      <c r="B608" s="79">
        <v>202218012</v>
      </c>
      <c r="C608" s="79" t="s">
        <v>29</v>
      </c>
      <c r="D608" s="80">
        <v>45545</v>
      </c>
      <c r="E608" s="79" t="s">
        <v>14</v>
      </c>
      <c r="F608" s="79" t="s">
        <v>118</v>
      </c>
      <c r="G608" s="79"/>
      <c r="H608" s="79" t="s">
        <v>321</v>
      </c>
    </row>
    <row r="609" spans="1:8">
      <c r="A609" s="79" t="str">
        <f>LeaveData[[#This Row],[ EMP ID]]&amp;LeaveData[[#This Row],[Date]]</f>
        <v>20221801245546</v>
      </c>
      <c r="B609" s="79">
        <v>202218012</v>
      </c>
      <c r="C609" s="79" t="s">
        <v>29</v>
      </c>
      <c r="D609" s="80">
        <v>45546</v>
      </c>
      <c r="E609" s="79" t="s">
        <v>13</v>
      </c>
      <c r="F609" s="79" t="s">
        <v>118</v>
      </c>
      <c r="G609" s="79"/>
      <c r="H609" s="79" t="s">
        <v>322</v>
      </c>
    </row>
    <row r="610" spans="1:8">
      <c r="A610" s="79" t="str">
        <f>LeaveData[[#This Row],[ EMP ID]]&amp;LeaveData[[#This Row],[Date]]</f>
        <v>20231801645575</v>
      </c>
      <c r="B610" s="79">
        <v>202318016</v>
      </c>
      <c r="C610" s="79" t="s">
        <v>36</v>
      </c>
      <c r="D610" s="80">
        <v>45575</v>
      </c>
      <c r="E610" s="79" t="s">
        <v>13</v>
      </c>
      <c r="F610" s="79" t="s">
        <v>235</v>
      </c>
      <c r="G610" s="79"/>
      <c r="H610" s="79" t="s">
        <v>286</v>
      </c>
    </row>
    <row r="611" spans="1:8">
      <c r="A611" s="79" t="str">
        <f>LeaveData[[#This Row],[ EMP ID]]&amp;LeaveData[[#This Row],[Date]]</f>
        <v>20231801645576</v>
      </c>
      <c r="B611" s="79">
        <v>202318016</v>
      </c>
      <c r="C611" s="79" t="s">
        <v>36</v>
      </c>
      <c r="D611" s="80">
        <v>45576</v>
      </c>
      <c r="E611" s="79" t="s">
        <v>13</v>
      </c>
      <c r="F611" s="79" t="s">
        <v>235</v>
      </c>
      <c r="G611" s="79"/>
      <c r="H611" s="79" t="s">
        <v>286</v>
      </c>
    </row>
    <row r="612" spans="1:8">
      <c r="A612" s="79" t="str">
        <f>LeaveData[[#This Row],[ EMP ID]]&amp;LeaveData[[#This Row],[Date]]</f>
        <v>20231801645580</v>
      </c>
      <c r="B612" s="79">
        <v>202318016</v>
      </c>
      <c r="C612" s="79" t="s">
        <v>36</v>
      </c>
      <c r="D612" s="80">
        <v>45580</v>
      </c>
      <c r="E612" s="79" t="s">
        <v>13</v>
      </c>
      <c r="F612" s="79" t="s">
        <v>235</v>
      </c>
      <c r="G612" s="79"/>
      <c r="H612" s="79" t="s">
        <v>286</v>
      </c>
    </row>
    <row r="613" spans="1:8">
      <c r="A613" s="79" t="str">
        <f>LeaveData[[#This Row],[ EMP ID]]&amp;LeaveData[[#This Row],[Date]]</f>
        <v>20231801645581</v>
      </c>
      <c r="B613" s="79">
        <v>202318016</v>
      </c>
      <c r="C613" s="79" t="s">
        <v>36</v>
      </c>
      <c r="D613" s="80">
        <v>45581</v>
      </c>
      <c r="E613" s="79" t="s">
        <v>13</v>
      </c>
      <c r="F613" s="79" t="s">
        <v>235</v>
      </c>
      <c r="G613" s="79"/>
      <c r="H613" s="79" t="s">
        <v>286</v>
      </c>
    </row>
    <row r="614" spans="1:8">
      <c r="A614" s="79" t="str">
        <f>LeaveData[[#This Row],[ EMP ID]]&amp;LeaveData[[#This Row],[Date]]</f>
        <v>20231801645582</v>
      </c>
      <c r="B614" s="79">
        <v>202318016</v>
      </c>
      <c r="C614" s="79" t="s">
        <v>36</v>
      </c>
      <c r="D614" s="80">
        <v>45582</v>
      </c>
      <c r="E614" s="79" t="s">
        <v>13</v>
      </c>
      <c r="F614" s="79" t="s">
        <v>235</v>
      </c>
      <c r="G614" s="79"/>
      <c r="H614" s="79" t="s">
        <v>286</v>
      </c>
    </row>
    <row r="615" spans="1:8">
      <c r="A615" s="79" t="str">
        <f>LeaveData[[#This Row],[ EMP ID]]&amp;LeaveData[[#This Row],[Date]]</f>
        <v>20242001645575</v>
      </c>
      <c r="B615" s="79">
        <v>202420016</v>
      </c>
      <c r="C615" s="79" t="s">
        <v>280</v>
      </c>
      <c r="D615" s="80">
        <v>45575</v>
      </c>
      <c r="E615" s="79" t="s">
        <v>13</v>
      </c>
      <c r="F615" s="79" t="s">
        <v>104</v>
      </c>
      <c r="G615" s="79"/>
      <c r="H615" s="79" t="s">
        <v>323</v>
      </c>
    </row>
    <row r="616" spans="1:8">
      <c r="A616" s="79" t="str">
        <f>LeaveData[[#This Row],[ EMP ID]]&amp;LeaveData[[#This Row],[Date]]</f>
        <v>20242001645576</v>
      </c>
      <c r="B616" s="79">
        <v>202420016</v>
      </c>
      <c r="C616" s="79" t="s">
        <v>280</v>
      </c>
      <c r="D616" s="80">
        <v>45576</v>
      </c>
      <c r="E616" s="79" t="s">
        <v>13</v>
      </c>
      <c r="F616" s="79" t="s">
        <v>104</v>
      </c>
      <c r="G616" s="79"/>
      <c r="H616" s="79" t="s">
        <v>323</v>
      </c>
    </row>
    <row r="617" spans="1:8">
      <c r="A617" s="79" t="str">
        <f>LeaveData[[#This Row],[ EMP ID]]&amp;LeaveData[[#This Row],[Date]]</f>
        <v>20182000145574</v>
      </c>
      <c r="B617" s="79">
        <v>201820001</v>
      </c>
      <c r="C617" s="79" t="s">
        <v>18</v>
      </c>
      <c r="D617" s="80">
        <v>45574</v>
      </c>
      <c r="E617" s="79" t="s">
        <v>12</v>
      </c>
      <c r="F617" s="79" t="s">
        <v>118</v>
      </c>
      <c r="G617" s="79"/>
      <c r="H617" s="79" t="s">
        <v>5</v>
      </c>
    </row>
    <row r="618" spans="1:8">
      <c r="A618" s="79" t="str">
        <f>LeaveData[[#This Row],[ EMP ID]]&amp;LeaveData[[#This Row],[Date]]</f>
        <v>20221800945574</v>
      </c>
      <c r="B618" s="79">
        <v>202218009</v>
      </c>
      <c r="C618" s="79" t="s">
        <v>26</v>
      </c>
      <c r="D618" s="80">
        <v>45574</v>
      </c>
      <c r="E618" s="79" t="s">
        <v>12</v>
      </c>
      <c r="F618" s="79" t="s">
        <v>29</v>
      </c>
      <c r="G618" s="79"/>
      <c r="H618" s="79" t="s">
        <v>5</v>
      </c>
    </row>
    <row r="619" spans="1:8">
      <c r="A619" s="79" t="str">
        <f>LeaveData[[#This Row],[ EMP ID]]&amp;LeaveData[[#This Row],[Date]]</f>
        <v>20232000345575</v>
      </c>
      <c r="B619" s="79">
        <v>202320003</v>
      </c>
      <c r="C619" s="79" t="s">
        <v>33</v>
      </c>
      <c r="D619" s="80">
        <v>45575</v>
      </c>
      <c r="E619" s="79" t="s">
        <v>13</v>
      </c>
      <c r="F619" s="79" t="s">
        <v>104</v>
      </c>
      <c r="G619" s="79"/>
      <c r="H619" s="79" t="s">
        <v>157</v>
      </c>
    </row>
    <row r="620" spans="1:8">
      <c r="A620" s="79" t="str">
        <f>LeaveData[[#This Row],[ EMP ID]]&amp;LeaveData[[#This Row],[Date]]</f>
        <v>20221801045576</v>
      </c>
      <c r="B620" s="79">
        <v>202218010</v>
      </c>
      <c r="C620" s="79" t="s">
        <v>27</v>
      </c>
      <c r="D620" s="80">
        <v>45576</v>
      </c>
      <c r="E620" s="79" t="s">
        <v>13</v>
      </c>
      <c r="F620" s="79" t="s">
        <v>118</v>
      </c>
      <c r="G620" s="79"/>
      <c r="H620" s="79" t="s">
        <v>157</v>
      </c>
    </row>
    <row r="621" spans="1:8">
      <c r="A621" s="79" t="str">
        <f>LeaveData[[#This Row],[ EMP ID]]&amp;LeaveData[[#This Row],[Date]]</f>
        <v>20231802345575</v>
      </c>
      <c r="B621" s="79">
        <v>202318023</v>
      </c>
      <c r="C621" s="79" t="s">
        <v>148</v>
      </c>
      <c r="D621" s="80">
        <v>45575</v>
      </c>
      <c r="E621" s="79" t="s">
        <v>14</v>
      </c>
      <c r="F621" s="79" t="s">
        <v>29</v>
      </c>
      <c r="G621" s="79"/>
      <c r="H621" s="79" t="s">
        <v>324</v>
      </c>
    </row>
    <row r="622" spans="1:8">
      <c r="A622" s="79" t="str">
        <f>LeaveData[[#This Row],[ EMP ID]]&amp;LeaveData[[#This Row],[Date]]</f>
        <v>20241803645576</v>
      </c>
      <c r="B622" s="79">
        <v>202418036</v>
      </c>
      <c r="C622" s="79" t="s">
        <v>232</v>
      </c>
      <c r="D622" s="80">
        <v>45576</v>
      </c>
      <c r="E622" s="79" t="s">
        <v>318</v>
      </c>
      <c r="F622" s="79" t="s">
        <v>114</v>
      </c>
      <c r="G622" s="79"/>
      <c r="H622" s="79" t="s">
        <v>112</v>
      </c>
    </row>
    <row r="623" spans="1:8">
      <c r="A623" s="79" t="str">
        <f>LeaveData[[#This Row],[ EMP ID]]&amp;LeaveData[[#This Row],[Date]]</f>
        <v>20231802745588</v>
      </c>
      <c r="B623" s="79">
        <v>202318027</v>
      </c>
      <c r="C623" s="79" t="s">
        <v>54</v>
      </c>
      <c r="D623" s="80">
        <v>45588</v>
      </c>
      <c r="E623" s="79" t="s">
        <v>13</v>
      </c>
      <c r="F623" s="79" t="s">
        <v>106</v>
      </c>
      <c r="G623" s="79"/>
      <c r="H623" s="79" t="s">
        <v>168</v>
      </c>
    </row>
    <row r="624" spans="1:8">
      <c r="A624" s="79" t="str">
        <f>LeaveData[[#This Row],[ EMP ID]]&amp;LeaveData[[#This Row],[Date]]</f>
        <v>20231802745602</v>
      </c>
      <c r="B624" s="79">
        <v>202318027</v>
      </c>
      <c r="C624" s="79" t="s">
        <v>54</v>
      </c>
      <c r="D624" s="80">
        <v>45602</v>
      </c>
      <c r="E624" s="79" t="s">
        <v>13</v>
      </c>
      <c r="F624" s="79" t="s">
        <v>106</v>
      </c>
      <c r="G624" s="79"/>
      <c r="H624" s="79" t="s">
        <v>325</v>
      </c>
    </row>
    <row r="625" spans="1:8">
      <c r="A625" s="79" t="str">
        <f>LeaveData[[#This Row],[ EMP ID]]&amp;LeaveData[[#This Row],[Date]]</f>
        <v>20231802745603</v>
      </c>
      <c r="B625" s="79">
        <v>202318027</v>
      </c>
      <c r="C625" s="79" t="s">
        <v>54</v>
      </c>
      <c r="D625" s="80">
        <v>45603</v>
      </c>
      <c r="E625" s="79" t="s">
        <v>13</v>
      </c>
      <c r="F625" s="79" t="s">
        <v>106</v>
      </c>
      <c r="G625" s="79"/>
      <c r="H625" s="79" t="s">
        <v>325</v>
      </c>
    </row>
    <row r="626" spans="1:8">
      <c r="A626" s="79" t="str">
        <f>LeaveData[[#This Row],[ EMP ID]]&amp;LeaveData[[#This Row],[Date]]</f>
        <v>20231802745604</v>
      </c>
      <c r="B626" s="79">
        <v>202318027</v>
      </c>
      <c r="C626" s="79" t="s">
        <v>54</v>
      </c>
      <c r="D626" s="80">
        <v>45604</v>
      </c>
      <c r="E626" s="79" t="s">
        <v>13</v>
      </c>
      <c r="F626" s="79" t="s">
        <v>106</v>
      </c>
      <c r="G626" s="79"/>
      <c r="H626" s="79" t="s">
        <v>325</v>
      </c>
    </row>
    <row r="627" spans="1:8">
      <c r="A627" s="79" t="str">
        <f>LeaveData[[#This Row],[ EMP ID]]&amp;LeaveData[[#This Row],[Date]]</f>
        <v>20241803345580</v>
      </c>
      <c r="B627" s="79">
        <v>202418033</v>
      </c>
      <c r="C627" s="79" t="s">
        <v>65</v>
      </c>
      <c r="D627" s="80">
        <v>45580</v>
      </c>
      <c r="E627" s="79" t="s">
        <v>13</v>
      </c>
      <c r="F627" s="79" t="s">
        <v>118</v>
      </c>
      <c r="G627" s="79"/>
      <c r="H627" s="79" t="s">
        <v>326</v>
      </c>
    </row>
    <row r="628" spans="1:8">
      <c r="A628" s="79" t="str">
        <f>LeaveData[[#This Row],[ EMP ID]]&amp;LeaveData[[#This Row],[Date]]</f>
        <v>20241803345581</v>
      </c>
      <c r="B628" s="79">
        <v>202418033</v>
      </c>
      <c r="C628" s="79" t="s">
        <v>65</v>
      </c>
      <c r="D628" s="80">
        <v>45581</v>
      </c>
      <c r="E628" s="79" t="s">
        <v>13</v>
      </c>
      <c r="F628" s="79" t="s">
        <v>118</v>
      </c>
      <c r="G628" s="79"/>
      <c r="H628" s="79" t="s">
        <v>326</v>
      </c>
    </row>
    <row r="629" spans="1:8">
      <c r="A629" s="79" t="str">
        <f>LeaveData[[#This Row],[ EMP ID]]&amp;LeaveData[[#This Row],[Date]]</f>
        <v>20232000745582</v>
      </c>
      <c r="B629" s="79">
        <v>202320007</v>
      </c>
      <c r="C629" s="79" t="s">
        <v>183</v>
      </c>
      <c r="D629" s="80">
        <v>45582</v>
      </c>
      <c r="E629" s="79" t="s">
        <v>13</v>
      </c>
      <c r="F629" s="79" t="s">
        <v>104</v>
      </c>
      <c r="G629" s="79"/>
      <c r="H629" s="79" t="s">
        <v>327</v>
      </c>
    </row>
    <row r="630" spans="1:8">
      <c r="A630" s="79" t="str">
        <f>LeaveData[[#This Row],[ EMP ID]]&amp;LeaveData[[#This Row],[Date]]</f>
        <v>20232001045580</v>
      </c>
      <c r="B630" s="79">
        <v>202320010</v>
      </c>
      <c r="C630" s="79" t="s">
        <v>49</v>
      </c>
      <c r="D630" s="80">
        <v>45580</v>
      </c>
      <c r="E630" s="79" t="s">
        <v>130</v>
      </c>
      <c r="F630" s="79" t="s">
        <v>114</v>
      </c>
      <c r="G630" s="79"/>
      <c r="H630" s="79" t="s">
        <v>299</v>
      </c>
    </row>
    <row r="631" spans="1:8">
      <c r="A631" s="79" t="str">
        <f>LeaveData[[#This Row],[ EMP ID]]&amp;LeaveData[[#This Row],[Date]]</f>
        <v>20232001045581</v>
      </c>
      <c r="B631" s="79">
        <v>202320010</v>
      </c>
      <c r="C631" s="79" t="s">
        <v>49</v>
      </c>
      <c r="D631" s="80">
        <v>45581</v>
      </c>
      <c r="E631" s="79" t="s">
        <v>130</v>
      </c>
      <c r="F631" s="79" t="s">
        <v>114</v>
      </c>
      <c r="G631" s="79"/>
      <c r="H631" s="79" t="s">
        <v>299</v>
      </c>
    </row>
    <row r="632" spans="1:8">
      <c r="A632" s="79" t="str">
        <f>LeaveData[[#This Row],[ EMP ID]]&amp;LeaveData[[#This Row],[Date]]</f>
        <v>20232001045582</v>
      </c>
      <c r="B632" s="79">
        <v>202320010</v>
      </c>
      <c r="C632" s="79" t="s">
        <v>49</v>
      </c>
      <c r="D632" s="80">
        <v>45582</v>
      </c>
      <c r="E632" s="79" t="s">
        <v>130</v>
      </c>
      <c r="F632" s="79" t="s">
        <v>114</v>
      </c>
      <c r="G632" s="79"/>
      <c r="H632" s="79" t="s">
        <v>299</v>
      </c>
    </row>
    <row r="633" spans="1:8">
      <c r="A633" s="79" t="str">
        <f>LeaveData[[#This Row],[ EMP ID]]&amp;LeaveData[[#This Row],[Date]]</f>
        <v>20232001045583</v>
      </c>
      <c r="B633" s="79">
        <v>202320010</v>
      </c>
      <c r="C633" s="79" t="s">
        <v>49</v>
      </c>
      <c r="D633" s="80">
        <v>45583</v>
      </c>
      <c r="E633" s="79" t="s">
        <v>130</v>
      </c>
      <c r="F633" s="79" t="s">
        <v>114</v>
      </c>
      <c r="G633" s="79"/>
      <c r="H633" s="79" t="s">
        <v>299</v>
      </c>
    </row>
    <row r="634" spans="1:8">
      <c r="A634" s="79" t="str">
        <f>LeaveData[[#This Row],[ EMP ID]]&amp;LeaveData[[#This Row],[Date]]</f>
        <v>20232001045584</v>
      </c>
      <c r="B634" s="79">
        <v>202320010</v>
      </c>
      <c r="C634" s="79" t="s">
        <v>49</v>
      </c>
      <c r="D634" s="80">
        <v>45584</v>
      </c>
      <c r="E634" s="79" t="s">
        <v>130</v>
      </c>
      <c r="F634" s="79" t="s">
        <v>114</v>
      </c>
      <c r="G634" s="79"/>
      <c r="H634" s="79" t="s">
        <v>299</v>
      </c>
    </row>
    <row r="635" spans="1:8">
      <c r="A635" s="79" t="str">
        <f>LeaveData[[#This Row],[ EMP ID]]&amp;LeaveData[[#This Row],[Date]]</f>
        <v>20241803845582</v>
      </c>
      <c r="B635" s="79">
        <v>202418038</v>
      </c>
      <c r="C635" s="79" t="s">
        <v>246</v>
      </c>
      <c r="D635" s="80">
        <v>45582</v>
      </c>
      <c r="E635" s="79" t="s">
        <v>14</v>
      </c>
      <c r="F635" s="79" t="s">
        <v>125</v>
      </c>
      <c r="G635" s="79"/>
      <c r="H635" s="79" t="s">
        <v>105</v>
      </c>
    </row>
    <row r="636" spans="1:8">
      <c r="A636" s="79" t="str">
        <f>LeaveData[[#This Row],[ EMP ID]]&amp;LeaveData[[#This Row],[Date]]</f>
        <v>20232001245579</v>
      </c>
      <c r="B636" s="79">
        <v>202320012</v>
      </c>
      <c r="C636" s="79" t="s">
        <v>55</v>
      </c>
      <c r="D636" s="80">
        <v>45579</v>
      </c>
      <c r="E636" s="79" t="s">
        <v>13</v>
      </c>
      <c r="F636" s="79" t="s">
        <v>104</v>
      </c>
      <c r="G636" s="79"/>
      <c r="H636" s="79" t="s">
        <v>328</v>
      </c>
    </row>
    <row r="637" spans="1:8">
      <c r="A637" s="79" t="str">
        <f>LeaveData[[#This Row],[ EMP ID]]&amp;LeaveData[[#This Row],[Date]]</f>
        <v>20231802845602</v>
      </c>
      <c r="B637" s="79">
        <v>202318028</v>
      </c>
      <c r="C637" s="79" t="s">
        <v>57</v>
      </c>
      <c r="D637" s="80">
        <v>45602</v>
      </c>
      <c r="E637" s="79" t="s">
        <v>13</v>
      </c>
      <c r="F637" s="79" t="s">
        <v>106</v>
      </c>
      <c r="G637" s="79"/>
      <c r="H637" s="79" t="s">
        <v>329</v>
      </c>
    </row>
    <row r="638" spans="1:8">
      <c r="A638" s="79" t="str">
        <f>LeaveData[[#This Row],[ EMP ID]]&amp;LeaveData[[#This Row],[Date]]</f>
        <v>20231802845603</v>
      </c>
      <c r="B638" s="79">
        <v>202318028</v>
      </c>
      <c r="C638" s="79" t="s">
        <v>57</v>
      </c>
      <c r="D638" s="80">
        <v>45603</v>
      </c>
      <c r="E638" s="79" t="s">
        <v>13</v>
      </c>
      <c r="F638" s="79" t="s">
        <v>106</v>
      </c>
      <c r="G638" s="79"/>
      <c r="H638" s="79" t="s">
        <v>329</v>
      </c>
    </row>
    <row r="639" spans="1:8">
      <c r="A639" s="79" t="str">
        <f>LeaveData[[#This Row],[ EMP ID]]&amp;LeaveData[[#This Row],[Date]]</f>
        <v>20231802845604</v>
      </c>
      <c r="B639" s="79">
        <v>202318028</v>
      </c>
      <c r="C639" s="79" t="s">
        <v>57</v>
      </c>
      <c r="D639" s="80">
        <v>45604</v>
      </c>
      <c r="E639" s="79" t="s">
        <v>13</v>
      </c>
      <c r="F639" s="79" t="s">
        <v>106</v>
      </c>
      <c r="G639" s="79"/>
      <c r="H639" s="79" t="s">
        <v>329</v>
      </c>
    </row>
    <row r="640" spans="1:8">
      <c r="A640" s="79" t="str">
        <f>LeaveData[[#This Row],[ EMP ID]]&amp;LeaveData[[#This Row],[Date]]</f>
        <v>20231802045577</v>
      </c>
      <c r="B640" s="79">
        <v>202318020</v>
      </c>
      <c r="C640" s="79" t="s">
        <v>43</v>
      </c>
      <c r="D640" s="80">
        <v>45577</v>
      </c>
      <c r="E640" s="79" t="s">
        <v>154</v>
      </c>
      <c r="F640" s="79" t="s">
        <v>104</v>
      </c>
      <c r="G640" s="79"/>
      <c r="H640" s="79" t="s">
        <v>155</v>
      </c>
    </row>
    <row r="641" spans="1:8">
      <c r="A641" s="79" t="str">
        <f>LeaveData[[#This Row],[ EMP ID]]&amp;LeaveData[[#This Row],[Date]]</f>
        <v>20231802045578</v>
      </c>
      <c r="B641" s="79">
        <v>202318020</v>
      </c>
      <c r="C641" s="79" t="s">
        <v>43</v>
      </c>
      <c r="D641" s="80">
        <v>45578</v>
      </c>
      <c r="E641" s="79" t="s">
        <v>154</v>
      </c>
      <c r="F641" s="79" t="s">
        <v>104</v>
      </c>
      <c r="G641" s="79"/>
      <c r="H641" s="79" t="s">
        <v>155</v>
      </c>
    </row>
    <row r="642" spans="1:8">
      <c r="A642" s="79" t="str">
        <f>LeaveData[[#This Row],[ EMP ID]]&amp;LeaveData[[#This Row],[Date]]</f>
        <v>20221801145584</v>
      </c>
      <c r="B642" s="79">
        <v>202218011</v>
      </c>
      <c r="C642" s="79" t="s">
        <v>28</v>
      </c>
      <c r="D642" s="80">
        <v>45584</v>
      </c>
      <c r="E642" s="79" t="s">
        <v>14</v>
      </c>
      <c r="F642" s="79" t="s">
        <v>27</v>
      </c>
      <c r="G642" s="79"/>
      <c r="H642" s="79" t="s">
        <v>330</v>
      </c>
    </row>
    <row r="643" spans="1:8">
      <c r="A643" s="79" t="str">
        <f>LeaveData[[#This Row],[ EMP ID]]&amp;LeaveData[[#This Row],[Date]]</f>
        <v>20232000945582</v>
      </c>
      <c r="B643" s="79">
        <v>202320009</v>
      </c>
      <c r="C643" s="79" t="s">
        <v>143</v>
      </c>
      <c r="D643" s="80">
        <v>45582</v>
      </c>
      <c r="E643" s="79" t="s">
        <v>13</v>
      </c>
      <c r="F643" s="79" t="s">
        <v>118</v>
      </c>
      <c r="G643" s="79"/>
      <c r="H643" s="79" t="s">
        <v>212</v>
      </c>
    </row>
    <row r="644" spans="1:8">
      <c r="A644" s="79" t="str">
        <f>LeaveData[[#This Row],[ EMP ID]]&amp;LeaveData[[#This Row],[Date]]</f>
        <v>20241803845582</v>
      </c>
      <c r="B644" s="79">
        <v>202418038</v>
      </c>
      <c r="C644" s="79" t="s">
        <v>246</v>
      </c>
      <c r="D644" s="80">
        <v>45582</v>
      </c>
      <c r="E644" s="79" t="s">
        <v>15</v>
      </c>
      <c r="F644" s="79" t="s">
        <v>125</v>
      </c>
      <c r="G644" s="79"/>
      <c r="H644" s="79" t="s">
        <v>331</v>
      </c>
    </row>
    <row r="645" spans="1:8">
      <c r="A645" s="79" t="str">
        <f>LeaveData[[#This Row],[ EMP ID]]&amp;LeaveData[[#This Row],[Date]]</f>
        <v>20242101145583</v>
      </c>
      <c r="B645" s="79">
        <v>202421011</v>
      </c>
      <c r="C645" s="79" t="s">
        <v>309</v>
      </c>
      <c r="D645" s="80">
        <v>45583</v>
      </c>
      <c r="E645" s="79" t="s">
        <v>14</v>
      </c>
      <c r="F645" s="79" t="s">
        <v>206</v>
      </c>
      <c r="G645" s="79"/>
      <c r="H645" s="79" t="s">
        <v>332</v>
      </c>
    </row>
    <row r="646" spans="1:8">
      <c r="A646" s="79" t="str">
        <f>LeaveData[[#This Row],[ EMP ID]]&amp;LeaveData[[#This Row],[Date]]</f>
        <v>20241803845583</v>
      </c>
      <c r="B646" s="79">
        <v>202418038</v>
      </c>
      <c r="C646" s="79" t="s">
        <v>246</v>
      </c>
      <c r="D646" s="80">
        <v>45583</v>
      </c>
      <c r="E646" s="79" t="s">
        <v>13</v>
      </c>
      <c r="F646" s="79" t="s">
        <v>125</v>
      </c>
      <c r="G646" s="79"/>
      <c r="H646" s="79" t="s">
        <v>333</v>
      </c>
    </row>
    <row r="647" spans="1:8">
      <c r="A647" s="79" t="str">
        <f>LeaveData[[#This Row],[ EMP ID]]&amp;LeaveData[[#This Row],[Date]]</f>
        <v>20241803845584</v>
      </c>
      <c r="B647" s="79">
        <v>202418038</v>
      </c>
      <c r="C647" s="79" t="s">
        <v>246</v>
      </c>
      <c r="D647" s="80">
        <v>45584</v>
      </c>
      <c r="E647" s="79" t="s">
        <v>13</v>
      </c>
      <c r="F647" s="79" t="s">
        <v>125</v>
      </c>
      <c r="G647" s="79"/>
      <c r="H647" s="79" t="s">
        <v>333</v>
      </c>
    </row>
    <row r="648" spans="1:8">
      <c r="A648" s="79" t="str">
        <f>LeaveData[[#This Row],[ EMP ID]]&amp;LeaveData[[#This Row],[Date]]</f>
        <v>20232001045582</v>
      </c>
      <c r="B648" s="79">
        <v>202320010</v>
      </c>
      <c r="C648" s="79" t="s">
        <v>49</v>
      </c>
      <c r="D648" s="80">
        <v>45582</v>
      </c>
      <c r="E648" s="79" t="s">
        <v>15</v>
      </c>
      <c r="F648" s="79" t="s">
        <v>114</v>
      </c>
      <c r="G648" s="79"/>
      <c r="H648" s="79" t="s">
        <v>334</v>
      </c>
    </row>
    <row r="649" spans="1:8">
      <c r="A649" s="79" t="str">
        <f>LeaveData[[#This Row],[ EMP ID]]&amp;LeaveData[[#This Row],[Date]]</f>
        <v>20242101045584</v>
      </c>
      <c r="B649" s="79">
        <v>202421010</v>
      </c>
      <c r="C649" s="79" t="s">
        <v>288</v>
      </c>
      <c r="D649" s="80">
        <v>45584</v>
      </c>
      <c r="E649" s="79" t="s">
        <v>16</v>
      </c>
      <c r="F649" s="79" t="s">
        <v>206</v>
      </c>
      <c r="G649" s="79"/>
      <c r="H649" s="79" t="s">
        <v>335</v>
      </c>
    </row>
    <row r="650" spans="1:8">
      <c r="A650" s="79" t="str">
        <f>LeaveData[[#This Row],[ EMP ID]]&amp;LeaveData[[#This Row],[Date]]</f>
        <v>20241803745621</v>
      </c>
      <c r="B650" s="79">
        <v>202418037</v>
      </c>
      <c r="C650" s="79" t="s">
        <v>243</v>
      </c>
      <c r="D650" s="80">
        <v>45621</v>
      </c>
      <c r="E650" s="79" t="s">
        <v>318</v>
      </c>
      <c r="F650" s="79" t="s">
        <v>118</v>
      </c>
      <c r="G650" s="79"/>
      <c r="H650" s="79" t="s">
        <v>336</v>
      </c>
    </row>
    <row r="651" spans="1:8">
      <c r="A651" s="79" t="str">
        <f>LeaveData[[#This Row],[ EMP ID]]&amp;LeaveData[[#This Row],[Date]]</f>
        <v>20241803745622</v>
      </c>
      <c r="B651" s="79">
        <v>202418037</v>
      </c>
      <c r="C651" s="79" t="s">
        <v>243</v>
      </c>
      <c r="D651" s="80">
        <v>45622</v>
      </c>
      <c r="E651" s="79" t="s">
        <v>318</v>
      </c>
      <c r="F651" s="79" t="s">
        <v>118</v>
      </c>
      <c r="G651" s="79"/>
      <c r="H651" s="79" t="s">
        <v>336</v>
      </c>
    </row>
    <row r="652" spans="1:8">
      <c r="A652" s="79" t="str">
        <f>LeaveData[[#This Row],[ EMP ID]]&amp;LeaveData[[#This Row],[Date]]</f>
        <v>20241803745623</v>
      </c>
      <c r="B652" s="79">
        <v>202418037</v>
      </c>
      <c r="C652" s="79" t="s">
        <v>243</v>
      </c>
      <c r="D652" s="80">
        <v>45623</v>
      </c>
      <c r="E652" s="79" t="s">
        <v>318</v>
      </c>
      <c r="F652" s="79" t="s">
        <v>118</v>
      </c>
      <c r="G652" s="79"/>
      <c r="H652" s="79" t="s">
        <v>336</v>
      </c>
    </row>
    <row r="653" spans="1:8">
      <c r="A653" s="79" t="str">
        <f>LeaveData[[#This Row],[ EMP ID]]&amp;LeaveData[[#This Row],[Date]]</f>
        <v>20241803745624</v>
      </c>
      <c r="B653" s="79">
        <v>202418037</v>
      </c>
      <c r="C653" s="79" t="s">
        <v>243</v>
      </c>
      <c r="D653" s="80">
        <v>45624</v>
      </c>
      <c r="E653" s="79" t="s">
        <v>318</v>
      </c>
      <c r="F653" s="79" t="s">
        <v>118</v>
      </c>
      <c r="G653" s="79"/>
      <c r="H653" s="79" t="s">
        <v>336</v>
      </c>
    </row>
    <row r="654" spans="1:8">
      <c r="A654" s="79" t="str">
        <f>LeaveData[[#This Row],[ EMP ID]]&amp;LeaveData[[#This Row],[Date]]</f>
        <v>20241803745625</v>
      </c>
      <c r="B654" s="79">
        <v>202418037</v>
      </c>
      <c r="C654" s="79" t="s">
        <v>243</v>
      </c>
      <c r="D654" s="80">
        <v>45625</v>
      </c>
      <c r="E654" s="79" t="s">
        <v>318</v>
      </c>
      <c r="F654" s="79" t="s">
        <v>118</v>
      </c>
      <c r="G654" s="79"/>
      <c r="H654" s="79" t="s">
        <v>336</v>
      </c>
    </row>
    <row r="655" spans="1:8">
      <c r="A655" s="79" t="str">
        <f>LeaveData[[#This Row],[ EMP ID]]&amp;LeaveData[[#This Row],[Date]]</f>
        <v>20241803745626</v>
      </c>
      <c r="B655" s="79">
        <v>202418037</v>
      </c>
      <c r="C655" s="79" t="s">
        <v>243</v>
      </c>
      <c r="D655" s="80">
        <v>45626</v>
      </c>
      <c r="E655" s="79" t="s">
        <v>318</v>
      </c>
      <c r="F655" s="79" t="s">
        <v>118</v>
      </c>
      <c r="G655" s="79"/>
      <c r="H655" s="79" t="s">
        <v>336</v>
      </c>
    </row>
    <row r="656" spans="1:8">
      <c r="A656" s="79" t="str">
        <f>LeaveData[[#This Row],[ EMP ID]]&amp;LeaveData[[#This Row],[Date]]</f>
        <v>20182000145581</v>
      </c>
      <c r="B656" s="79">
        <v>201820001</v>
      </c>
      <c r="C656" s="79" t="s">
        <v>18</v>
      </c>
      <c r="D656" s="80">
        <v>45581</v>
      </c>
      <c r="E656" s="79" t="s">
        <v>12</v>
      </c>
      <c r="F656" s="79" t="s">
        <v>118</v>
      </c>
      <c r="G656" s="79"/>
      <c r="H656" s="79" t="s">
        <v>5</v>
      </c>
    </row>
    <row r="657" spans="1:8">
      <c r="A657" s="79" t="str">
        <f>LeaveData[[#This Row],[ EMP ID]]&amp;LeaveData[[#This Row],[Date]]</f>
        <v>20232000845565</v>
      </c>
      <c r="B657" s="79">
        <v>202320008</v>
      </c>
      <c r="C657" s="79" t="s">
        <v>46</v>
      </c>
      <c r="D657" s="80">
        <v>45565</v>
      </c>
      <c r="E657" s="79" t="s">
        <v>195</v>
      </c>
      <c r="F657" s="79" t="s">
        <v>43</v>
      </c>
      <c r="G657" s="79"/>
      <c r="H657" s="79" t="s">
        <v>196</v>
      </c>
    </row>
    <row r="658" spans="1:8">
      <c r="A658" s="79" t="str">
        <f>LeaveData[[#This Row],[ EMP ID]]&amp;LeaveData[[#This Row],[Date]]</f>
        <v>20171800145584</v>
      </c>
      <c r="B658" s="79">
        <v>201718001</v>
      </c>
      <c r="C658" s="79" t="s">
        <v>17</v>
      </c>
      <c r="D658" s="80">
        <v>45584</v>
      </c>
      <c r="E658" s="79" t="s">
        <v>14</v>
      </c>
      <c r="F658" s="79" t="s">
        <v>106</v>
      </c>
      <c r="G658" s="79"/>
      <c r="H658" s="79"/>
    </row>
    <row r="659" spans="1:8">
      <c r="A659" s="79" t="str">
        <f>LeaveData[[#This Row],[ EMP ID]]&amp;LeaveData[[#This Row],[Date]]</f>
        <v>20231801945586</v>
      </c>
      <c r="B659" s="79">
        <v>202318019</v>
      </c>
      <c r="C659" s="79" t="s">
        <v>89</v>
      </c>
      <c r="D659" s="80">
        <v>45586</v>
      </c>
      <c r="E659" s="79" t="s">
        <v>318</v>
      </c>
      <c r="F659" s="79" t="s">
        <v>235</v>
      </c>
      <c r="G659" s="79"/>
      <c r="H659" s="79" t="s">
        <v>308</v>
      </c>
    </row>
    <row r="660" spans="1:8">
      <c r="A660" s="79" t="str">
        <f>LeaveData[[#This Row],[ EMP ID]]&amp;LeaveData[[#This Row],[Date]]</f>
        <v>20241803845586</v>
      </c>
      <c r="B660" s="79">
        <v>202418038</v>
      </c>
      <c r="C660" s="79" t="s">
        <v>246</v>
      </c>
      <c r="D660" s="80">
        <v>45586</v>
      </c>
      <c r="E660" s="79" t="s">
        <v>12</v>
      </c>
      <c r="F660" s="79" t="s">
        <v>125</v>
      </c>
      <c r="G660" s="79"/>
      <c r="H660" s="79" t="s">
        <v>337</v>
      </c>
    </row>
    <row r="661" spans="1:8">
      <c r="A661" s="79" t="str">
        <f>LeaveData[[#This Row],[ EMP ID]]&amp;LeaveData[[#This Row],[Date]]</f>
        <v>20241803845587</v>
      </c>
      <c r="B661" s="79">
        <v>202418038</v>
      </c>
      <c r="C661" s="79" t="s">
        <v>246</v>
      </c>
      <c r="D661" s="80">
        <v>45587</v>
      </c>
      <c r="E661" s="79" t="s">
        <v>12</v>
      </c>
      <c r="F661" s="79" t="s">
        <v>125</v>
      </c>
      <c r="G661" s="79"/>
      <c r="H661" s="79" t="s">
        <v>337</v>
      </c>
    </row>
    <row r="662" spans="1:8">
      <c r="A662" s="79" t="str">
        <f>LeaveData[[#This Row],[ EMP ID]]&amp;LeaveData[[#This Row],[Date]]</f>
        <v>20231802145588</v>
      </c>
      <c r="B662" s="79">
        <v>202318021</v>
      </c>
      <c r="C662" s="79" t="s">
        <v>257</v>
      </c>
      <c r="D662" s="80">
        <v>45588</v>
      </c>
      <c r="E662" s="79" t="s">
        <v>318</v>
      </c>
      <c r="F662" s="79" t="s">
        <v>43</v>
      </c>
      <c r="G662" s="79"/>
      <c r="H662" s="79" t="s">
        <v>316</v>
      </c>
    </row>
    <row r="663" spans="1:8">
      <c r="A663" s="79" t="str">
        <f>LeaveData[[#This Row],[ EMP ID]]&amp;LeaveData[[#This Row],[Date]]</f>
        <v>20231802145589</v>
      </c>
      <c r="B663" s="79">
        <v>202318021</v>
      </c>
      <c r="C663" s="79" t="s">
        <v>257</v>
      </c>
      <c r="D663" s="80">
        <v>45589</v>
      </c>
      <c r="E663" s="79" t="s">
        <v>318</v>
      </c>
      <c r="F663" s="79" t="s">
        <v>43</v>
      </c>
      <c r="G663" s="79"/>
      <c r="H663" s="79" t="s">
        <v>316</v>
      </c>
    </row>
    <row r="664" spans="1:8">
      <c r="A664" s="79" t="str">
        <f>LeaveData[[#This Row],[ EMP ID]]&amp;LeaveData[[#This Row],[Date]]</f>
        <v>20231802145590</v>
      </c>
      <c r="B664" s="79">
        <v>202318021</v>
      </c>
      <c r="C664" s="79" t="s">
        <v>257</v>
      </c>
      <c r="D664" s="80">
        <v>45590</v>
      </c>
      <c r="E664" s="79" t="s">
        <v>318</v>
      </c>
      <c r="F664" s="79" t="s">
        <v>43</v>
      </c>
      <c r="G664" s="79"/>
      <c r="H664" s="79" t="s">
        <v>316</v>
      </c>
    </row>
    <row r="665" spans="1:8">
      <c r="A665" s="79" t="str">
        <f>LeaveData[[#This Row],[ EMP ID]]&amp;LeaveData[[#This Row],[Date]]</f>
        <v>20231802145591</v>
      </c>
      <c r="B665" s="79">
        <v>202318021</v>
      </c>
      <c r="C665" s="79" t="s">
        <v>257</v>
      </c>
      <c r="D665" s="80">
        <v>45591</v>
      </c>
      <c r="E665" s="79" t="s">
        <v>318</v>
      </c>
      <c r="F665" s="79" t="s">
        <v>43</v>
      </c>
      <c r="G665" s="79"/>
      <c r="H665" s="79" t="s">
        <v>316</v>
      </c>
    </row>
    <row r="666" spans="1:8">
      <c r="A666" s="79" t="str">
        <f>LeaveData[[#This Row],[ EMP ID]]&amp;LeaveData[[#This Row],[Date]]</f>
        <v>20232000345584</v>
      </c>
      <c r="B666" s="79">
        <v>202320003</v>
      </c>
      <c r="C666" s="79" t="s">
        <v>33</v>
      </c>
      <c r="D666" s="80">
        <v>45584</v>
      </c>
      <c r="E666" s="79" t="s">
        <v>13</v>
      </c>
      <c r="F666" s="79" t="s">
        <v>104</v>
      </c>
      <c r="G666" s="79"/>
      <c r="H666" s="79" t="s">
        <v>338</v>
      </c>
    </row>
    <row r="667" spans="1:8">
      <c r="A667" s="79" t="str">
        <f>LeaveData[[#This Row],[ EMP ID]]&amp;LeaveData[[#This Row],[Date]]</f>
        <v>20232000345586</v>
      </c>
      <c r="B667" s="79">
        <v>202320003</v>
      </c>
      <c r="C667" s="79" t="s">
        <v>33</v>
      </c>
      <c r="D667" s="80">
        <v>45586</v>
      </c>
      <c r="E667" s="79" t="s">
        <v>13</v>
      </c>
      <c r="F667" s="79" t="s">
        <v>104</v>
      </c>
      <c r="G667" s="79"/>
      <c r="H667" s="79" t="s">
        <v>339</v>
      </c>
    </row>
    <row r="668" spans="1:8">
      <c r="A668" s="79" t="str">
        <f>LeaveData[[#This Row],[ EMP ID]]&amp;LeaveData[[#This Row],[Date]]</f>
        <v>20241803945609</v>
      </c>
      <c r="B668" s="79">
        <v>202418039</v>
      </c>
      <c r="C668" s="79" t="s">
        <v>292</v>
      </c>
      <c r="D668" s="80">
        <v>45609</v>
      </c>
      <c r="E668" s="79" t="s">
        <v>195</v>
      </c>
      <c r="F668" s="79" t="s">
        <v>118</v>
      </c>
      <c r="G668" s="79"/>
      <c r="H668" s="79" t="s">
        <v>196</v>
      </c>
    </row>
    <row r="669" spans="1:8">
      <c r="A669" s="79" t="str">
        <f>LeaveData[[#This Row],[ EMP ID]]&amp;LeaveData[[#This Row],[Date]]</f>
        <v>20231801845586</v>
      </c>
      <c r="B669" s="79">
        <v>202318018</v>
      </c>
      <c r="C669" s="79" t="s">
        <v>40</v>
      </c>
      <c r="D669" s="80">
        <v>45586</v>
      </c>
      <c r="E669" s="79" t="s">
        <v>12</v>
      </c>
      <c r="F669" s="79" t="s">
        <v>125</v>
      </c>
      <c r="G669" s="79"/>
      <c r="H669" s="79" t="s">
        <v>5</v>
      </c>
    </row>
    <row r="670" spans="1:8">
      <c r="A670" s="79" t="str">
        <f>LeaveData[[#This Row],[ EMP ID]]&amp;LeaveData[[#This Row],[Date]]</f>
        <v>20242100145587</v>
      </c>
      <c r="B670" s="79">
        <v>202421001</v>
      </c>
      <c r="C670" s="79" t="s">
        <v>221</v>
      </c>
      <c r="D670" s="80">
        <v>45587</v>
      </c>
      <c r="E670" s="79" t="s">
        <v>16</v>
      </c>
      <c r="F670" s="79" t="s">
        <v>206</v>
      </c>
      <c r="G670" s="79"/>
      <c r="H670" s="79" t="s">
        <v>132</v>
      </c>
    </row>
    <row r="671" spans="1:8">
      <c r="A671" s="79" t="str">
        <f>LeaveData[[#This Row],[ EMP ID]]&amp;LeaveData[[#This Row],[Date]]</f>
        <v>20242101045593</v>
      </c>
      <c r="B671" s="79">
        <v>202421010</v>
      </c>
      <c r="C671" s="79" t="s">
        <v>288</v>
      </c>
      <c r="D671" s="80">
        <v>45593</v>
      </c>
      <c r="E671" s="79" t="s">
        <v>16</v>
      </c>
      <c r="F671" s="79" t="s">
        <v>206</v>
      </c>
      <c r="G671" s="79"/>
      <c r="H671" s="79" t="s">
        <v>340</v>
      </c>
    </row>
    <row r="672" spans="1:8">
      <c r="A672" s="79" t="str">
        <f>LeaveData[[#This Row],[ EMP ID]]&amp;LeaveData[[#This Row],[Date]]</f>
        <v>20242101045594</v>
      </c>
      <c r="B672" s="79">
        <v>202421010</v>
      </c>
      <c r="C672" s="79" t="s">
        <v>288</v>
      </c>
      <c r="D672" s="80">
        <v>45594</v>
      </c>
      <c r="E672" s="79" t="s">
        <v>16</v>
      </c>
      <c r="F672" s="79" t="s">
        <v>206</v>
      </c>
      <c r="G672" s="79"/>
      <c r="H672" s="79" t="s">
        <v>340</v>
      </c>
    </row>
    <row r="673" spans="1:8">
      <c r="A673" s="79" t="str">
        <f>LeaveData[[#This Row],[ EMP ID]]&amp;LeaveData[[#This Row],[Date]]</f>
        <v>20242101045595</v>
      </c>
      <c r="B673" s="79">
        <v>202421010</v>
      </c>
      <c r="C673" s="79" t="s">
        <v>288</v>
      </c>
      <c r="D673" s="80">
        <v>45595</v>
      </c>
      <c r="E673" s="79" t="s">
        <v>16</v>
      </c>
      <c r="F673" s="79" t="s">
        <v>206</v>
      </c>
      <c r="G673" s="79"/>
      <c r="H673" s="79" t="s">
        <v>340</v>
      </c>
    </row>
    <row r="674" spans="1:8">
      <c r="A674" s="79" t="str">
        <f>LeaveData[[#This Row],[ EMP ID]]&amp;LeaveData[[#This Row],[Date]]</f>
        <v>20241804045579</v>
      </c>
      <c r="B674" s="79">
        <v>202418040</v>
      </c>
      <c r="C674" s="79" t="s">
        <v>341</v>
      </c>
      <c r="D674" s="80">
        <v>45579</v>
      </c>
      <c r="E674" s="79" t="s">
        <v>199</v>
      </c>
      <c r="F674" s="79" t="s">
        <v>125</v>
      </c>
      <c r="G674" s="79"/>
      <c r="H674" s="79" t="s">
        <v>200</v>
      </c>
    </row>
    <row r="675" spans="1:8">
      <c r="A675" s="79" t="str">
        <f>LeaveData[[#This Row],[ EMP ID]]&amp;LeaveData[[#This Row],[Date]]</f>
        <v>20231801745588</v>
      </c>
      <c r="B675" s="79">
        <v>202318017</v>
      </c>
      <c r="C675" s="79" t="s">
        <v>37</v>
      </c>
      <c r="D675" s="80">
        <v>45588</v>
      </c>
      <c r="E675" s="79" t="s">
        <v>12</v>
      </c>
      <c r="F675" s="79" t="s">
        <v>118</v>
      </c>
      <c r="G675" s="79"/>
      <c r="H675" s="79" t="s">
        <v>5</v>
      </c>
    </row>
    <row r="676" spans="1:8">
      <c r="A676" s="79" t="str">
        <f>LeaveData[[#This Row],[ EMP ID]]&amp;LeaveData[[#This Row],[Date]]</f>
        <v>20231801745589</v>
      </c>
      <c r="B676" s="79">
        <v>202318017</v>
      </c>
      <c r="C676" s="79" t="s">
        <v>37</v>
      </c>
      <c r="D676" s="80">
        <v>45589</v>
      </c>
      <c r="E676" s="79" t="s">
        <v>12</v>
      </c>
      <c r="F676" s="79" t="s">
        <v>118</v>
      </c>
      <c r="G676" s="79"/>
      <c r="H676" s="79" t="s">
        <v>5</v>
      </c>
    </row>
    <row r="677" spans="1:8">
      <c r="A677" s="79" t="str">
        <f>LeaveData[[#This Row],[ EMP ID]]&amp;LeaveData[[#This Row],[Date]]</f>
        <v>20231802545589</v>
      </c>
      <c r="B677" s="88">
        <v>202318025</v>
      </c>
      <c r="C677" s="79" t="s">
        <v>122</v>
      </c>
      <c r="D677" s="80">
        <v>45589</v>
      </c>
      <c r="E677" s="79" t="s">
        <v>14</v>
      </c>
      <c r="F677" s="79" t="s">
        <v>125</v>
      </c>
      <c r="G677" s="79"/>
      <c r="H677" s="79" t="s">
        <v>342</v>
      </c>
    </row>
    <row r="678" spans="1:8">
      <c r="A678" s="79" t="str">
        <f>LeaveData[[#This Row],[ EMP ID]]&amp;LeaveData[[#This Row],[Date]]</f>
        <v>20182000145591</v>
      </c>
      <c r="B678" s="79">
        <v>201820001</v>
      </c>
      <c r="C678" s="79" t="s">
        <v>18</v>
      </c>
      <c r="D678" s="80">
        <v>45591</v>
      </c>
      <c r="E678" s="79" t="s">
        <v>13</v>
      </c>
      <c r="F678" s="79" t="s">
        <v>118</v>
      </c>
      <c r="G678" s="79"/>
      <c r="H678" s="79" t="s">
        <v>168</v>
      </c>
    </row>
    <row r="679" spans="1:8">
      <c r="A679" s="79" t="str">
        <f>LeaveData[[#This Row],[ EMP ID]]&amp;LeaveData[[#This Row],[Date]]</f>
        <v>20242100345587</v>
      </c>
      <c r="B679" s="79">
        <v>202421003</v>
      </c>
      <c r="C679" s="79" t="s">
        <v>205</v>
      </c>
      <c r="D679" s="80">
        <v>45587</v>
      </c>
      <c r="E679" s="79" t="s">
        <v>318</v>
      </c>
      <c r="F679" s="79" t="s">
        <v>206</v>
      </c>
      <c r="G679" s="79"/>
      <c r="H679" s="79" t="s">
        <v>343</v>
      </c>
    </row>
    <row r="680" spans="1:8">
      <c r="A680" s="79" t="str">
        <f>LeaveData[[#This Row],[ EMP ID]]&amp;LeaveData[[#This Row],[Date]]</f>
        <v>20231801745590</v>
      </c>
      <c r="B680" s="79">
        <v>202318017</v>
      </c>
      <c r="C680" s="79" t="s">
        <v>37</v>
      </c>
      <c r="D680" s="80">
        <v>45590</v>
      </c>
      <c r="E680" s="79" t="s">
        <v>12</v>
      </c>
      <c r="F680" s="79" t="s">
        <v>118</v>
      </c>
      <c r="G680" s="79"/>
      <c r="H680" s="79" t="s">
        <v>5</v>
      </c>
    </row>
    <row r="681" spans="1:8">
      <c r="A681" s="79" t="str">
        <f>LeaveData[[#This Row],[ EMP ID]]&amp;LeaveData[[#This Row],[Date]]</f>
        <v>20241803845589</v>
      </c>
      <c r="B681" s="79">
        <v>202418038</v>
      </c>
      <c r="C681" s="79" t="s">
        <v>246</v>
      </c>
      <c r="D681" s="80">
        <v>45589</v>
      </c>
      <c r="E681" s="79" t="s">
        <v>12</v>
      </c>
      <c r="F681" s="79" t="s">
        <v>125</v>
      </c>
      <c r="G681" s="79"/>
      <c r="H681" s="79" t="s">
        <v>5</v>
      </c>
    </row>
    <row r="682" spans="1:8">
      <c r="A682" s="79" t="str">
        <f>LeaveData[[#This Row],[ EMP ID]]&amp;LeaveData[[#This Row],[Date]]</f>
        <v>20232001045591</v>
      </c>
      <c r="B682" s="88">
        <v>202320010</v>
      </c>
      <c r="C682" s="86" t="s">
        <v>49</v>
      </c>
      <c r="D682" s="80">
        <v>45591</v>
      </c>
      <c r="E682" s="79" t="s">
        <v>13</v>
      </c>
      <c r="F682" s="79" t="s">
        <v>114</v>
      </c>
      <c r="G682" s="79"/>
      <c r="H682" s="79" t="s">
        <v>168</v>
      </c>
    </row>
    <row r="683" spans="1:8">
      <c r="A683" s="79" t="str">
        <f>LeaveData[[#This Row],[ EMP ID]]&amp;LeaveData[[#This Row],[Date]]</f>
        <v>20241803845590</v>
      </c>
      <c r="B683" s="79">
        <v>202418038</v>
      </c>
      <c r="C683" s="79" t="s">
        <v>246</v>
      </c>
      <c r="D683" s="80">
        <v>45590</v>
      </c>
      <c r="E683" s="79" t="s">
        <v>12</v>
      </c>
      <c r="F683" s="79" t="s">
        <v>125</v>
      </c>
      <c r="G683" s="79"/>
      <c r="H683" s="79" t="s">
        <v>5</v>
      </c>
    </row>
    <row r="684" spans="1:8">
      <c r="A684" s="79" t="str">
        <f>LeaveData[[#This Row],[ EMP ID]]&amp;LeaveData[[#This Row],[Date]]</f>
        <v>20241803845591</v>
      </c>
      <c r="B684" s="79">
        <v>202418038</v>
      </c>
      <c r="C684" s="79" t="s">
        <v>246</v>
      </c>
      <c r="D684" s="80">
        <v>45591</v>
      </c>
      <c r="E684" s="79" t="s">
        <v>12</v>
      </c>
      <c r="F684" s="79" t="s">
        <v>125</v>
      </c>
      <c r="G684" s="79"/>
      <c r="H684" s="79" t="s">
        <v>5</v>
      </c>
    </row>
    <row r="685" spans="1:8">
      <c r="A685" s="79" t="str">
        <f>LeaveData[[#This Row],[ EMP ID]]&amp;LeaveData[[#This Row],[Date]]</f>
        <v>20241803745590</v>
      </c>
      <c r="B685" s="79">
        <v>202418037</v>
      </c>
      <c r="C685" s="79" t="s">
        <v>243</v>
      </c>
      <c r="D685" s="80">
        <v>45590</v>
      </c>
      <c r="E685" s="79" t="s">
        <v>14</v>
      </c>
      <c r="F685" s="79" t="s">
        <v>118</v>
      </c>
      <c r="G685" s="79"/>
      <c r="H685" s="79" t="s">
        <v>344</v>
      </c>
    </row>
    <row r="686" spans="1:8">
      <c r="A686" s="79" t="str">
        <f>LeaveData[[#This Row],[ EMP ID]]&amp;LeaveData[[#This Row],[Date]]</f>
        <v>20231802945590</v>
      </c>
      <c r="B686" s="79">
        <v>202318029</v>
      </c>
      <c r="C686" s="86" t="s">
        <v>59</v>
      </c>
      <c r="D686" s="80">
        <v>45590</v>
      </c>
      <c r="E686" s="79" t="s">
        <v>15</v>
      </c>
      <c r="F686" s="79" t="s">
        <v>43</v>
      </c>
      <c r="G686" s="79"/>
      <c r="H686" s="79" t="s">
        <v>345</v>
      </c>
    </row>
    <row r="687" spans="1:8">
      <c r="A687" s="79" t="str">
        <f>LeaveData[[#This Row],[ EMP ID]]&amp;LeaveData[[#This Row],[Date]]</f>
        <v>20231802945591</v>
      </c>
      <c r="B687" s="79">
        <v>202318029</v>
      </c>
      <c r="C687" s="79" t="s">
        <v>59</v>
      </c>
      <c r="D687" s="80">
        <v>45591</v>
      </c>
      <c r="E687" s="79" t="s">
        <v>12</v>
      </c>
      <c r="F687" s="79" t="s">
        <v>43</v>
      </c>
      <c r="G687" s="79"/>
      <c r="H687" s="79" t="s">
        <v>132</v>
      </c>
    </row>
    <row r="688" spans="1:8">
      <c r="A688" s="79" t="str">
        <f>LeaveData[[#This Row],[ EMP ID]]&amp;LeaveData[[#This Row],[Date]]</f>
        <v>20231801845589</v>
      </c>
      <c r="B688" s="88">
        <v>202318018</v>
      </c>
      <c r="C688" s="79" t="s">
        <v>40</v>
      </c>
      <c r="D688" s="80">
        <v>45589</v>
      </c>
      <c r="E688" s="79" t="s">
        <v>12</v>
      </c>
      <c r="F688" s="79" t="s">
        <v>106</v>
      </c>
      <c r="G688" s="79"/>
      <c r="H688" s="79" t="s">
        <v>132</v>
      </c>
    </row>
    <row r="689" spans="1:8">
      <c r="A689" s="79" t="str">
        <f>LeaveData[[#This Row],[ EMP ID]]&amp;LeaveData[[#This Row],[Date]]</f>
        <v>20231802345590</v>
      </c>
      <c r="B689" s="88">
        <v>202318023</v>
      </c>
      <c r="C689" s="79" t="s">
        <v>148</v>
      </c>
      <c r="D689" s="80">
        <v>45590</v>
      </c>
      <c r="E689" s="79" t="s">
        <v>14</v>
      </c>
      <c r="F689" s="79" t="s">
        <v>125</v>
      </c>
      <c r="G689" s="79"/>
      <c r="H689" s="79" t="s">
        <v>346</v>
      </c>
    </row>
    <row r="690" spans="1:8">
      <c r="A690" s="79" t="str">
        <f>LeaveData[[#This Row],[ EMP ID]]&amp;LeaveData[[#This Row],[Date]]</f>
        <v>20231801745591</v>
      </c>
      <c r="B690" s="79">
        <v>202318017</v>
      </c>
      <c r="C690" s="79" t="s">
        <v>37</v>
      </c>
      <c r="D690" s="80">
        <v>45591</v>
      </c>
      <c r="E690" s="79" t="s">
        <v>12</v>
      </c>
      <c r="F690" s="79" t="s">
        <v>118</v>
      </c>
      <c r="G690" s="79"/>
      <c r="H690" s="79" t="s">
        <v>5</v>
      </c>
    </row>
    <row r="691" spans="1:8">
      <c r="A691" s="79" t="str">
        <f>LeaveData[[#This Row],[ EMP ID]]&amp;LeaveData[[#This Row],[Date]]</f>
        <v>20231802645602</v>
      </c>
      <c r="B691" s="79">
        <v>202318026</v>
      </c>
      <c r="C691" s="79" t="s">
        <v>53</v>
      </c>
      <c r="D691" s="80">
        <v>45602</v>
      </c>
      <c r="E691" s="79" t="s">
        <v>16</v>
      </c>
      <c r="F691" s="79" t="s">
        <v>45</v>
      </c>
      <c r="G691" s="79"/>
      <c r="H691" s="79" t="s">
        <v>340</v>
      </c>
    </row>
    <row r="692" spans="1:8">
      <c r="A692" s="79" t="str">
        <f>LeaveData[[#This Row],[ EMP ID]]&amp;LeaveData[[#This Row],[Date]]</f>
        <v>20231802645603</v>
      </c>
      <c r="B692" s="79">
        <v>202318026</v>
      </c>
      <c r="C692" s="79" t="s">
        <v>53</v>
      </c>
      <c r="D692" s="80">
        <v>45603</v>
      </c>
      <c r="E692" s="79" t="s">
        <v>16</v>
      </c>
      <c r="F692" s="79" t="s">
        <v>45</v>
      </c>
      <c r="G692" s="79"/>
      <c r="H692" s="79" t="s">
        <v>340</v>
      </c>
    </row>
    <row r="693" spans="1:8">
      <c r="A693" s="79" t="str">
        <f>LeaveData[[#This Row],[ EMP ID]]&amp;LeaveData[[#This Row],[Date]]</f>
        <v>20231802645604</v>
      </c>
      <c r="B693" s="79">
        <v>202318026</v>
      </c>
      <c r="C693" s="79" t="s">
        <v>53</v>
      </c>
      <c r="D693" s="80">
        <v>45604</v>
      </c>
      <c r="E693" s="79" t="s">
        <v>16</v>
      </c>
      <c r="F693" s="79" t="s">
        <v>45</v>
      </c>
      <c r="G693" s="79"/>
      <c r="H693" s="79" t="s">
        <v>340</v>
      </c>
    </row>
    <row r="694" spans="1:8">
      <c r="A694" s="79" t="str">
        <f>LeaveData[[#This Row],[ EMP ID]]&amp;LeaveData[[#This Row],[Date]]</f>
        <v>20231802645605</v>
      </c>
      <c r="B694" s="79">
        <v>202318026</v>
      </c>
      <c r="C694" s="79" t="s">
        <v>53</v>
      </c>
      <c r="D694" s="80">
        <v>45605</v>
      </c>
      <c r="E694" s="79" t="s">
        <v>16</v>
      </c>
      <c r="F694" s="79" t="s">
        <v>45</v>
      </c>
      <c r="G694" s="79"/>
      <c r="H694" s="79" t="s">
        <v>340</v>
      </c>
    </row>
    <row r="695" spans="1:8">
      <c r="A695" s="79" t="str">
        <f>LeaveData[[#This Row],[ EMP ID]]&amp;LeaveData[[#This Row],[Date]]</f>
        <v>20231802645592</v>
      </c>
      <c r="B695" s="79">
        <v>202318026</v>
      </c>
      <c r="C695" s="79" t="s">
        <v>53</v>
      </c>
      <c r="D695" s="80">
        <v>45592</v>
      </c>
      <c r="E695" s="79" t="s">
        <v>154</v>
      </c>
      <c r="F695" s="79" t="s">
        <v>106</v>
      </c>
      <c r="G695" s="79"/>
      <c r="H695" s="79" t="s">
        <v>347</v>
      </c>
    </row>
    <row r="696" spans="1:8">
      <c r="A696" s="79" t="str">
        <f>LeaveData[[#This Row],[ EMP ID]]&amp;LeaveData[[#This Row],[Date]]</f>
        <v>20231802745593</v>
      </c>
      <c r="B696" s="79">
        <v>202318027</v>
      </c>
      <c r="C696" s="79" t="s">
        <v>54</v>
      </c>
      <c r="D696" s="80">
        <v>45593</v>
      </c>
      <c r="E696" s="79" t="s">
        <v>12</v>
      </c>
      <c r="F696" s="79" t="s">
        <v>106</v>
      </c>
      <c r="G696" s="79"/>
      <c r="H696" s="79" t="s">
        <v>140</v>
      </c>
    </row>
    <row r="697" spans="1:8">
      <c r="A697" s="79" t="str">
        <f>LeaveData[[#This Row],[ EMP ID]]&amp;LeaveData[[#This Row],[Date]]</f>
        <v>20231802545593</v>
      </c>
      <c r="B697" s="79">
        <v>202318025</v>
      </c>
      <c r="C697" s="79" t="s">
        <v>122</v>
      </c>
      <c r="D697" s="80">
        <v>45593</v>
      </c>
      <c r="E697" s="79" t="s">
        <v>15</v>
      </c>
      <c r="F697" s="79" t="s">
        <v>106</v>
      </c>
      <c r="G697" s="79"/>
      <c r="H697" s="79" t="s">
        <v>348</v>
      </c>
    </row>
    <row r="698" spans="1:8">
      <c r="A698" s="79" t="str">
        <f>LeaveData[[#This Row],[ EMP ID]]&amp;LeaveData[[#This Row],[Date]]</f>
        <v>20242100145593</v>
      </c>
      <c r="B698" s="79">
        <v>202421001</v>
      </c>
      <c r="C698" s="79" t="s">
        <v>221</v>
      </c>
      <c r="D698" s="80">
        <v>45593</v>
      </c>
      <c r="E698" s="79" t="s">
        <v>13</v>
      </c>
      <c r="F698" s="79" t="s">
        <v>206</v>
      </c>
      <c r="G698" s="79"/>
      <c r="H698" s="79" t="s">
        <v>349</v>
      </c>
    </row>
    <row r="699" spans="1:8">
      <c r="A699" s="79" t="str">
        <f>LeaveData[[#This Row],[ EMP ID]]&amp;LeaveData[[#This Row],[Date]]</f>
        <v>20242100145594</v>
      </c>
      <c r="B699" s="79">
        <v>202421001</v>
      </c>
      <c r="C699" s="79" t="s">
        <v>221</v>
      </c>
      <c r="D699" s="80">
        <v>45594</v>
      </c>
      <c r="E699" s="79" t="s">
        <v>12</v>
      </c>
      <c r="F699" s="79" t="s">
        <v>206</v>
      </c>
      <c r="G699" s="79"/>
      <c r="H699" s="79" t="s">
        <v>5</v>
      </c>
    </row>
    <row r="700" spans="1:8">
      <c r="A700" s="79" t="str">
        <f>LeaveData[[#This Row],[ EMP ID]]&amp;LeaveData[[#This Row],[Date]]</f>
        <v>20242100245593</v>
      </c>
      <c r="B700" s="79">
        <v>202421002</v>
      </c>
      <c r="C700" s="79" t="s">
        <v>223</v>
      </c>
      <c r="D700" s="80">
        <v>45593</v>
      </c>
      <c r="E700" s="79" t="s">
        <v>13</v>
      </c>
      <c r="F700" s="79" t="s">
        <v>206</v>
      </c>
      <c r="G700" s="79"/>
      <c r="H700" s="79" t="s">
        <v>349</v>
      </c>
    </row>
    <row r="701" spans="1:8">
      <c r="A701" s="79" t="str">
        <f>LeaveData[[#This Row],[ EMP ID]]&amp;LeaveData[[#This Row],[Date]]</f>
        <v>20242100245594</v>
      </c>
      <c r="B701" s="79">
        <v>202421002</v>
      </c>
      <c r="C701" s="79" t="s">
        <v>223</v>
      </c>
      <c r="D701" s="80">
        <v>45594</v>
      </c>
      <c r="E701" s="79" t="s">
        <v>12</v>
      </c>
      <c r="F701" s="79" t="s">
        <v>206</v>
      </c>
      <c r="G701" s="79"/>
      <c r="H701" s="79" t="s">
        <v>5</v>
      </c>
    </row>
    <row r="702" spans="1:8">
      <c r="A702" s="79" t="str">
        <f>LeaveData[[#This Row],[ EMP ID]]&amp;LeaveData[[#This Row],[Date]]</f>
        <v>20241803745594</v>
      </c>
      <c r="B702" s="79">
        <v>202418037</v>
      </c>
      <c r="C702" s="79" t="s">
        <v>243</v>
      </c>
      <c r="D702" s="80">
        <v>45594</v>
      </c>
      <c r="E702" s="79" t="s">
        <v>12</v>
      </c>
      <c r="F702" s="79" t="s">
        <v>118</v>
      </c>
      <c r="G702" s="79"/>
      <c r="H702" s="79" t="s">
        <v>5</v>
      </c>
    </row>
    <row r="703" spans="1:8">
      <c r="A703" s="79" t="str">
        <f>LeaveData[[#This Row],[ EMP ID]]&amp;LeaveData[[#This Row],[Date]]</f>
        <v>20231802345594</v>
      </c>
      <c r="B703" s="79">
        <v>202318023</v>
      </c>
      <c r="C703" s="79" t="s">
        <v>148</v>
      </c>
      <c r="D703" s="80">
        <v>45594</v>
      </c>
      <c r="E703" s="79" t="s">
        <v>15</v>
      </c>
      <c r="F703" s="79" t="s">
        <v>118</v>
      </c>
      <c r="G703" s="79"/>
      <c r="H703" s="79" t="s">
        <v>350</v>
      </c>
    </row>
    <row r="704" spans="1:8">
      <c r="A704" s="79" t="str">
        <f>LeaveData[[#This Row],[ EMP ID]]&amp;LeaveData[[#This Row],[Date]]</f>
        <v>20231802945602</v>
      </c>
      <c r="B704" s="79">
        <v>202318029</v>
      </c>
      <c r="C704" s="79" t="s">
        <v>59</v>
      </c>
      <c r="D704" s="80">
        <v>45602</v>
      </c>
      <c r="E704" s="79" t="s">
        <v>13</v>
      </c>
      <c r="F704" s="79" t="s">
        <v>43</v>
      </c>
      <c r="G704" s="79"/>
      <c r="H704" s="79" t="s">
        <v>351</v>
      </c>
    </row>
    <row r="705" spans="1:8">
      <c r="A705" s="79" t="str">
        <f>LeaveData[[#This Row],[ EMP ID]]&amp;LeaveData[[#This Row],[Date]]</f>
        <v>20231802945603</v>
      </c>
      <c r="B705" s="79">
        <v>202318029</v>
      </c>
      <c r="C705" s="79" t="s">
        <v>59</v>
      </c>
      <c r="D705" s="80">
        <v>45603</v>
      </c>
      <c r="E705" s="79" t="s">
        <v>13</v>
      </c>
      <c r="F705" s="79" t="s">
        <v>43</v>
      </c>
      <c r="G705" s="79"/>
      <c r="H705" s="79" t="s">
        <v>351</v>
      </c>
    </row>
    <row r="706" spans="1:8">
      <c r="A706" s="79" t="str">
        <f>LeaveData[[#This Row],[ EMP ID]]&amp;LeaveData[[#This Row],[Date]]</f>
        <v>20231802945604</v>
      </c>
      <c r="B706" s="79">
        <v>202318029</v>
      </c>
      <c r="C706" s="79" t="s">
        <v>59</v>
      </c>
      <c r="D706" s="80">
        <v>45604</v>
      </c>
      <c r="E706" s="79" t="s">
        <v>13</v>
      </c>
      <c r="F706" s="79" t="s">
        <v>43</v>
      </c>
      <c r="G706" s="79"/>
      <c r="H706" s="79" t="s">
        <v>351</v>
      </c>
    </row>
    <row r="707" spans="1:8">
      <c r="A707" s="79" t="str">
        <f>LeaveData[[#This Row],[ EMP ID]]&amp;LeaveData[[#This Row],[Date]]</f>
        <v>20231802945607</v>
      </c>
      <c r="B707" s="79">
        <v>202318029</v>
      </c>
      <c r="C707" s="79" t="s">
        <v>59</v>
      </c>
      <c r="D707" s="80">
        <v>45607</v>
      </c>
      <c r="E707" s="79" t="s">
        <v>13</v>
      </c>
      <c r="F707" s="79" t="s">
        <v>43</v>
      </c>
      <c r="G707" s="79"/>
      <c r="H707" s="79" t="s">
        <v>351</v>
      </c>
    </row>
    <row r="708" spans="1:8">
      <c r="A708" s="79" t="str">
        <f>LeaveData[[#This Row],[ EMP ID]]&amp;LeaveData[[#This Row],[Date]]</f>
        <v>20231802945608</v>
      </c>
      <c r="B708" s="79">
        <v>202318029</v>
      </c>
      <c r="C708" s="79" t="s">
        <v>59</v>
      </c>
      <c r="D708" s="80">
        <v>45608</v>
      </c>
      <c r="E708" s="79" t="s">
        <v>13</v>
      </c>
      <c r="F708" s="79" t="s">
        <v>43</v>
      </c>
      <c r="G708" s="79"/>
      <c r="H708" s="79" t="s">
        <v>351</v>
      </c>
    </row>
    <row r="709" spans="1:8">
      <c r="A709" s="79" t="str">
        <f>LeaveData[[#This Row],[ EMP ID]]&amp;LeaveData[[#This Row],[Date]]</f>
        <v>20231802945609</v>
      </c>
      <c r="B709" s="79">
        <v>202318029</v>
      </c>
      <c r="C709" s="79" t="s">
        <v>59</v>
      </c>
      <c r="D709" s="80">
        <v>45609</v>
      </c>
      <c r="E709" s="79" t="s">
        <v>13</v>
      </c>
      <c r="F709" s="79" t="s">
        <v>43</v>
      </c>
      <c r="G709" s="79"/>
      <c r="H709" s="79" t="s">
        <v>351</v>
      </c>
    </row>
    <row r="710" spans="1:8">
      <c r="A710" s="79" t="str">
        <f>LeaveData[[#This Row],[ EMP ID]]&amp;LeaveData[[#This Row],[Date]]</f>
        <v>20231802945610</v>
      </c>
      <c r="B710" s="79">
        <v>202318029</v>
      </c>
      <c r="C710" s="79" t="s">
        <v>59</v>
      </c>
      <c r="D710" s="80">
        <v>45610</v>
      </c>
      <c r="E710" s="79" t="s">
        <v>13</v>
      </c>
      <c r="F710" s="79" t="s">
        <v>43</v>
      </c>
      <c r="G710" s="79"/>
      <c r="H710" s="79" t="s">
        <v>351</v>
      </c>
    </row>
    <row r="711" spans="1:8">
      <c r="A711" s="79" t="str">
        <f>LeaveData[[#This Row],[ EMP ID]]&amp;LeaveData[[#This Row],[Date]]</f>
        <v>20240100145624</v>
      </c>
      <c r="B711" s="79">
        <v>202401001</v>
      </c>
      <c r="C711" s="79" t="s">
        <v>61</v>
      </c>
      <c r="D711" s="80">
        <v>45624</v>
      </c>
      <c r="E711" s="79" t="s">
        <v>13</v>
      </c>
      <c r="F711" s="79" t="s">
        <v>43</v>
      </c>
      <c r="G711" s="79"/>
      <c r="H711" s="79"/>
    </row>
    <row r="712" spans="1:8">
      <c r="A712" s="79" t="str">
        <f>LeaveData[[#This Row],[ EMP ID]]&amp;LeaveData[[#This Row],[Date]]</f>
        <v>20240100145625</v>
      </c>
      <c r="B712" s="79">
        <v>202401001</v>
      </c>
      <c r="C712" s="79" t="s">
        <v>61</v>
      </c>
      <c r="D712" s="80">
        <v>45625</v>
      </c>
      <c r="E712" s="79" t="s">
        <v>13</v>
      </c>
      <c r="F712" s="79" t="s">
        <v>43</v>
      </c>
      <c r="G712" s="79"/>
      <c r="H712" s="79"/>
    </row>
    <row r="713" spans="1:8">
      <c r="A713" s="79" t="str">
        <f>LeaveData[[#This Row],[ EMP ID]]&amp;LeaveData[[#This Row],[Date]]</f>
        <v>20240100145626</v>
      </c>
      <c r="B713" s="79">
        <v>202401001</v>
      </c>
      <c r="C713" s="79" t="s">
        <v>61</v>
      </c>
      <c r="D713" s="80">
        <v>45626</v>
      </c>
      <c r="E713" s="79" t="s">
        <v>13</v>
      </c>
      <c r="F713" s="79" t="s">
        <v>43</v>
      </c>
      <c r="G713" s="79"/>
      <c r="H713" s="79"/>
    </row>
    <row r="714" spans="1:8">
      <c r="A714" s="79" t="str">
        <f>LeaveData[[#This Row],[ EMP ID]]&amp;LeaveData[[#This Row],[Date]]</f>
        <v>20240100145628</v>
      </c>
      <c r="B714" s="79">
        <v>202401001</v>
      </c>
      <c r="C714" s="79" t="s">
        <v>61</v>
      </c>
      <c r="D714" s="80">
        <v>45628</v>
      </c>
      <c r="E714" s="79" t="s">
        <v>13</v>
      </c>
      <c r="F714" s="79" t="s">
        <v>43</v>
      </c>
      <c r="G714" s="79"/>
      <c r="H714" s="79"/>
    </row>
    <row r="715" spans="1:8">
      <c r="A715" s="79" t="str">
        <f>LeaveData[[#This Row],[ EMP ID]]&amp;LeaveData[[#This Row],[Date]]</f>
        <v>20240100145629</v>
      </c>
      <c r="B715" s="79">
        <v>202401001</v>
      </c>
      <c r="C715" s="79" t="s">
        <v>61</v>
      </c>
      <c r="D715" s="80">
        <v>45629</v>
      </c>
      <c r="E715" s="79" t="s">
        <v>13</v>
      </c>
      <c r="F715" s="79" t="s">
        <v>43</v>
      </c>
      <c r="G715" s="79"/>
      <c r="H715" s="79"/>
    </row>
    <row r="716" spans="1:8">
      <c r="A716" s="79" t="str">
        <f>LeaveData[[#This Row],[ EMP ID]]&amp;LeaveData[[#This Row],[Date]]</f>
        <v>20240100145630</v>
      </c>
      <c r="B716" s="79">
        <v>202401001</v>
      </c>
      <c r="C716" s="79" t="s">
        <v>61</v>
      </c>
      <c r="D716" s="80">
        <v>45630</v>
      </c>
      <c r="E716" s="79" t="s">
        <v>13</v>
      </c>
      <c r="F716" s="79" t="s">
        <v>43</v>
      </c>
      <c r="G716" s="79"/>
      <c r="H716" s="79"/>
    </row>
    <row r="717" spans="1:8">
      <c r="A717" s="79" t="str">
        <f>LeaveData[[#This Row],[ EMP ID]]&amp;LeaveData[[#This Row],[Date]]</f>
        <v>20240100145631</v>
      </c>
      <c r="B717" s="79">
        <v>202401001</v>
      </c>
      <c r="C717" s="79" t="s">
        <v>61</v>
      </c>
      <c r="D717" s="80">
        <v>45631</v>
      </c>
      <c r="E717" s="79" t="s">
        <v>13</v>
      </c>
      <c r="F717" s="79" t="s">
        <v>43</v>
      </c>
      <c r="G717" s="79"/>
      <c r="H717" s="79"/>
    </row>
    <row r="718" spans="1:8">
      <c r="A718" s="79" t="str">
        <f>LeaveData[[#This Row],[ EMP ID]]&amp;LeaveData[[#This Row],[Date]]</f>
        <v>20240100145632</v>
      </c>
      <c r="B718" s="79">
        <v>202401001</v>
      </c>
      <c r="C718" s="79" t="s">
        <v>61</v>
      </c>
      <c r="D718" s="80">
        <v>45632</v>
      </c>
      <c r="E718" s="79" t="s">
        <v>13</v>
      </c>
      <c r="F718" s="79" t="s">
        <v>43</v>
      </c>
      <c r="G718" s="79"/>
      <c r="H718" s="79"/>
    </row>
    <row r="719" spans="1:8">
      <c r="A719" s="79" t="str">
        <f>LeaveData[[#This Row],[ EMP ID]]&amp;LeaveData[[#This Row],[Date]]</f>
        <v>20240100145633</v>
      </c>
      <c r="B719" s="79">
        <v>202401001</v>
      </c>
      <c r="C719" s="79" t="s">
        <v>61</v>
      </c>
      <c r="D719" s="80">
        <v>45633</v>
      </c>
      <c r="E719" s="79" t="s">
        <v>13</v>
      </c>
      <c r="F719" s="79" t="s">
        <v>43</v>
      </c>
      <c r="G719" s="79"/>
      <c r="H719" s="79"/>
    </row>
    <row r="720" spans="1:8">
      <c r="A720" s="79" t="str">
        <f>LeaveData[[#This Row],[ EMP ID]]&amp;LeaveData[[#This Row],[Date]]</f>
        <v>20231802745594</v>
      </c>
      <c r="B720" s="79">
        <v>202318027</v>
      </c>
      <c r="C720" s="79" t="s">
        <v>54</v>
      </c>
      <c r="D720" s="80">
        <v>45594</v>
      </c>
      <c r="E720" s="79" t="s">
        <v>12</v>
      </c>
      <c r="F720" s="79" t="s">
        <v>106</v>
      </c>
      <c r="G720" s="79"/>
      <c r="H720" s="79" t="s">
        <v>119</v>
      </c>
    </row>
    <row r="721" spans="1:8">
      <c r="A721" s="79" t="str">
        <f>LeaveData[[#This Row],[ EMP ID]]&amp;LeaveData[[#This Row],[Date]]</f>
        <v>20231802145604</v>
      </c>
      <c r="B721" s="79">
        <v>202318021</v>
      </c>
      <c r="C721" s="79" t="s">
        <v>257</v>
      </c>
      <c r="D721" s="80">
        <v>45604</v>
      </c>
      <c r="E721" s="79" t="s">
        <v>13</v>
      </c>
      <c r="F721" s="79" t="s">
        <v>43</v>
      </c>
      <c r="G721" s="79"/>
      <c r="H721" s="79" t="s">
        <v>352</v>
      </c>
    </row>
    <row r="722" spans="1:8">
      <c r="A722" s="79" t="str">
        <f>LeaveData[[#This Row],[ EMP ID]]&amp;LeaveData[[#This Row],[Date]]</f>
        <v>20242101045602</v>
      </c>
      <c r="B722" s="79">
        <v>202421010</v>
      </c>
      <c r="C722" s="79" t="s">
        <v>288</v>
      </c>
      <c r="D722" s="80">
        <v>45602</v>
      </c>
      <c r="E722" s="79" t="s">
        <v>16</v>
      </c>
      <c r="F722" s="79" t="s">
        <v>206</v>
      </c>
      <c r="G722" s="79"/>
      <c r="H722" s="79" t="s">
        <v>353</v>
      </c>
    </row>
    <row r="723" spans="1:8">
      <c r="A723" s="79" t="str">
        <f>LeaveData[[#This Row],[ EMP ID]]&amp;LeaveData[[#This Row],[Date]]</f>
        <v>20242101145602</v>
      </c>
      <c r="B723" s="79">
        <v>202421011</v>
      </c>
      <c r="C723" s="79" t="s">
        <v>309</v>
      </c>
      <c r="D723" s="80">
        <v>45602</v>
      </c>
      <c r="E723" s="79" t="s">
        <v>15</v>
      </c>
      <c r="F723" s="79" t="s">
        <v>206</v>
      </c>
      <c r="G723" s="79"/>
      <c r="H723" s="79" t="s">
        <v>140</v>
      </c>
    </row>
    <row r="724" spans="1:8">
      <c r="A724" s="79" t="str">
        <f>LeaveData[[#This Row],[ EMP ID]]&amp;LeaveData[[#This Row],[Date]]</f>
        <v>20221801445602</v>
      </c>
      <c r="B724" s="79">
        <v>202218014</v>
      </c>
      <c r="C724" s="79" t="s">
        <v>32</v>
      </c>
      <c r="D724" s="80">
        <v>45602</v>
      </c>
      <c r="E724" s="79" t="s">
        <v>12</v>
      </c>
      <c r="F724" s="79" t="s">
        <v>125</v>
      </c>
      <c r="G724" s="79"/>
      <c r="H724" s="79" t="s">
        <v>140</v>
      </c>
    </row>
    <row r="725" spans="1:8">
      <c r="A725" s="79" t="str">
        <f>LeaveData[[#This Row],[ EMP ID]]&amp;LeaveData[[#This Row],[Date]]</f>
        <v>20242100345602</v>
      </c>
      <c r="B725" s="79">
        <v>202421003</v>
      </c>
      <c r="C725" s="79" t="s">
        <v>205</v>
      </c>
      <c r="D725" s="80">
        <v>45602</v>
      </c>
      <c r="E725" s="79" t="s">
        <v>318</v>
      </c>
      <c r="F725" s="79" t="s">
        <v>206</v>
      </c>
      <c r="G725" s="79"/>
      <c r="H725" s="79"/>
    </row>
    <row r="726" spans="1:8">
      <c r="A726" s="79" t="str">
        <f>LeaveData[[#This Row],[ EMP ID]]&amp;LeaveData[[#This Row],[Date]]</f>
        <v>20221801445585</v>
      </c>
      <c r="B726" s="79">
        <v>202218014</v>
      </c>
      <c r="C726" s="79" t="s">
        <v>32</v>
      </c>
      <c r="D726" s="80">
        <v>45585</v>
      </c>
      <c r="E726" s="79" t="s">
        <v>154</v>
      </c>
      <c r="F726" s="79" t="s">
        <v>106</v>
      </c>
      <c r="G726" s="79"/>
      <c r="H726" s="79" t="s">
        <v>354</v>
      </c>
    </row>
    <row r="727" spans="1:8">
      <c r="A727" s="79" t="str">
        <f>LeaveData[[#This Row],[ EMP ID]]&amp;LeaveData[[#This Row],[Date]]</f>
        <v>20242101045617</v>
      </c>
      <c r="B727" s="79">
        <v>202421010</v>
      </c>
      <c r="C727" s="79" t="s">
        <v>288</v>
      </c>
      <c r="D727" s="80">
        <v>45617</v>
      </c>
      <c r="E727" s="79" t="s">
        <v>318</v>
      </c>
      <c r="F727" s="79" t="s">
        <v>206</v>
      </c>
      <c r="G727" s="79"/>
      <c r="H727" s="79" t="s">
        <v>355</v>
      </c>
    </row>
    <row r="728" spans="1:8">
      <c r="A728" s="79" t="str">
        <f>LeaveData[[#This Row],[ EMP ID]]&amp;LeaveData[[#This Row],[Date]]</f>
        <v>20242101045618</v>
      </c>
      <c r="B728" s="79">
        <v>202421010</v>
      </c>
      <c r="C728" s="79" t="s">
        <v>288</v>
      </c>
      <c r="D728" s="80">
        <v>45618</v>
      </c>
      <c r="E728" s="79" t="s">
        <v>318</v>
      </c>
      <c r="F728" s="79" t="s">
        <v>206</v>
      </c>
      <c r="G728" s="79"/>
      <c r="H728" s="79" t="s">
        <v>355</v>
      </c>
    </row>
    <row r="729" spans="1:8">
      <c r="A729" s="79" t="str">
        <f>LeaveData[[#This Row],[ EMP ID]]&amp;LeaveData[[#This Row],[Date]]</f>
        <v>20221801145611</v>
      </c>
      <c r="B729" s="79">
        <v>202218011</v>
      </c>
      <c r="C729" s="79" t="s">
        <v>28</v>
      </c>
      <c r="D729" s="80">
        <v>45611</v>
      </c>
      <c r="E729" s="79" t="s">
        <v>13</v>
      </c>
      <c r="F729" s="79" t="s">
        <v>27</v>
      </c>
      <c r="G729" s="79"/>
      <c r="H729" s="79" t="s">
        <v>356</v>
      </c>
    </row>
    <row r="730" spans="1:8">
      <c r="A730" s="79" t="str">
        <f>LeaveData[[#This Row],[ EMP ID]]&amp;LeaveData[[#This Row],[Date]]</f>
        <v>20221801145612</v>
      </c>
      <c r="B730" s="79">
        <v>202218011</v>
      </c>
      <c r="C730" s="79" t="s">
        <v>28</v>
      </c>
      <c r="D730" s="80">
        <v>45612</v>
      </c>
      <c r="E730" s="79" t="s">
        <v>13</v>
      </c>
      <c r="F730" s="79" t="s">
        <v>27</v>
      </c>
      <c r="G730" s="79"/>
      <c r="H730" s="79" t="s">
        <v>356</v>
      </c>
    </row>
    <row r="731" spans="1:8">
      <c r="A731" s="79" t="str">
        <f>LeaveData[[#This Row],[ EMP ID]]&amp;LeaveData[[#This Row],[Date]]</f>
        <v>20221801145614</v>
      </c>
      <c r="B731" s="79">
        <v>202218011</v>
      </c>
      <c r="C731" s="79" t="s">
        <v>28</v>
      </c>
      <c r="D731" s="80">
        <v>45614</v>
      </c>
      <c r="E731" s="79" t="s">
        <v>13</v>
      </c>
      <c r="F731" s="79" t="s">
        <v>27</v>
      </c>
      <c r="G731" s="79"/>
      <c r="H731" s="79" t="s">
        <v>356</v>
      </c>
    </row>
    <row r="732" spans="1:8">
      <c r="A732" s="79" t="str">
        <f>LeaveData[[#This Row],[ EMP ID]]&amp;LeaveData[[#This Row],[Date]]</f>
        <v>20221801145628</v>
      </c>
      <c r="B732" s="79">
        <v>202218011</v>
      </c>
      <c r="C732" s="79" t="s">
        <v>28</v>
      </c>
      <c r="D732" s="80">
        <v>45628</v>
      </c>
      <c r="E732" s="79" t="s">
        <v>13</v>
      </c>
      <c r="F732" s="79" t="s">
        <v>27</v>
      </c>
      <c r="G732" s="79"/>
      <c r="H732" s="79" t="s">
        <v>357</v>
      </c>
    </row>
    <row r="733" spans="1:8">
      <c r="A733" s="79" t="str">
        <f>LeaveData[[#This Row],[ EMP ID]]&amp;LeaveData[[#This Row],[Date]]</f>
        <v>20221801145629</v>
      </c>
      <c r="B733" s="79">
        <v>202218011</v>
      </c>
      <c r="C733" s="79" t="s">
        <v>28</v>
      </c>
      <c r="D733" s="80">
        <v>45629</v>
      </c>
      <c r="E733" s="79" t="s">
        <v>13</v>
      </c>
      <c r="F733" s="79" t="s">
        <v>27</v>
      </c>
      <c r="G733" s="79"/>
      <c r="H733" s="79" t="s">
        <v>357</v>
      </c>
    </row>
    <row r="734" spans="1:8">
      <c r="A734" s="79" t="str">
        <f>LeaveData[[#This Row],[ EMP ID]]&amp;LeaveData[[#This Row],[Date]]</f>
        <v>20221801145630</v>
      </c>
      <c r="B734" s="79">
        <v>202218011</v>
      </c>
      <c r="C734" s="79" t="s">
        <v>28</v>
      </c>
      <c r="D734" s="80">
        <v>45630</v>
      </c>
      <c r="E734" s="79" t="s">
        <v>13</v>
      </c>
      <c r="F734" s="79" t="s">
        <v>27</v>
      </c>
      <c r="G734" s="79"/>
      <c r="H734" s="79" t="s">
        <v>357</v>
      </c>
    </row>
    <row r="735" spans="1:8">
      <c r="A735" s="79" t="str">
        <f>LeaveData[[#This Row],[ EMP ID]]&amp;LeaveData[[#This Row],[Date]]</f>
        <v>20221801145631</v>
      </c>
      <c r="B735" s="79">
        <v>202218011</v>
      </c>
      <c r="C735" s="79" t="s">
        <v>28</v>
      </c>
      <c r="D735" s="80">
        <v>45631</v>
      </c>
      <c r="E735" s="79" t="s">
        <v>13</v>
      </c>
      <c r="F735" s="79" t="s">
        <v>27</v>
      </c>
      <c r="G735" s="79"/>
      <c r="H735" s="79" t="s">
        <v>357</v>
      </c>
    </row>
    <row r="736" spans="1:8">
      <c r="A736" s="79" t="str">
        <f>LeaveData[[#This Row],[ EMP ID]]&amp;LeaveData[[#This Row],[Date]]</f>
        <v>20221801145632</v>
      </c>
      <c r="B736" s="79">
        <v>202218011</v>
      </c>
      <c r="C736" s="79" t="s">
        <v>28</v>
      </c>
      <c r="D736" s="80">
        <v>45632</v>
      </c>
      <c r="E736" s="79" t="s">
        <v>13</v>
      </c>
      <c r="F736" s="79" t="s">
        <v>27</v>
      </c>
      <c r="G736" s="79"/>
      <c r="H736" s="79" t="s">
        <v>357</v>
      </c>
    </row>
    <row r="737" spans="1:8">
      <c r="A737" s="79" t="str">
        <f>LeaveData[[#This Row],[ EMP ID]]&amp;LeaveData[[#This Row],[Date]]</f>
        <v>20221801145633</v>
      </c>
      <c r="B737" s="79">
        <v>202218011</v>
      </c>
      <c r="C737" s="79" t="s">
        <v>28</v>
      </c>
      <c r="D737" s="80">
        <v>45633</v>
      </c>
      <c r="E737" s="79" t="s">
        <v>16</v>
      </c>
      <c r="F737" s="79" t="s">
        <v>27</v>
      </c>
      <c r="G737" s="79"/>
      <c r="H737" s="79" t="s">
        <v>357</v>
      </c>
    </row>
    <row r="738" spans="1:8">
      <c r="A738" s="79" t="str">
        <f>LeaveData[[#This Row],[ EMP ID]]&amp;LeaveData[[#This Row],[Date]]</f>
        <v>20241803645604</v>
      </c>
      <c r="B738" s="79">
        <v>202418036</v>
      </c>
      <c r="C738" s="79" t="s">
        <v>232</v>
      </c>
      <c r="D738" s="80">
        <v>45604</v>
      </c>
      <c r="E738" s="79" t="s">
        <v>12</v>
      </c>
      <c r="F738" s="79" t="s">
        <v>125</v>
      </c>
      <c r="G738" s="79"/>
      <c r="H738" s="79" t="s">
        <v>358</v>
      </c>
    </row>
    <row r="739" spans="1:8">
      <c r="A739" s="79" t="str">
        <f>LeaveData[[#This Row],[ EMP ID]]&amp;LeaveData[[#This Row],[Date]]</f>
        <v>20242101045604</v>
      </c>
      <c r="B739" s="79">
        <v>202421010</v>
      </c>
      <c r="C739" s="79" t="s">
        <v>288</v>
      </c>
      <c r="D739" s="80">
        <v>45604</v>
      </c>
      <c r="E739" s="79" t="s">
        <v>12</v>
      </c>
      <c r="F739" s="79" t="s">
        <v>206</v>
      </c>
      <c r="G739" s="79"/>
      <c r="H739" s="79" t="s">
        <v>359</v>
      </c>
    </row>
    <row r="740" spans="1:8">
      <c r="A740" s="79" t="str">
        <f>LeaveData[[#This Row],[ EMP ID]]&amp;LeaveData[[#This Row],[Date]]</f>
        <v>20231801945605</v>
      </c>
      <c r="B740" s="79">
        <v>202318019</v>
      </c>
      <c r="C740" s="79" t="s">
        <v>89</v>
      </c>
      <c r="D740" s="80">
        <v>45605</v>
      </c>
      <c r="E740" s="79" t="s">
        <v>16</v>
      </c>
      <c r="F740" s="79" t="s">
        <v>235</v>
      </c>
      <c r="G740" s="79"/>
      <c r="H740" s="79"/>
    </row>
    <row r="741" spans="1:8">
      <c r="A741" s="79" t="str">
        <f>LeaveData[[#This Row],[ EMP ID]]&amp;LeaveData[[#This Row],[Date]]</f>
        <v>20242100345604</v>
      </c>
      <c r="B741" s="79">
        <v>202421003</v>
      </c>
      <c r="C741" s="79" t="s">
        <v>205</v>
      </c>
      <c r="D741" s="80">
        <v>45604</v>
      </c>
      <c r="E741" s="79" t="s">
        <v>318</v>
      </c>
      <c r="F741" s="79" t="s">
        <v>206</v>
      </c>
      <c r="G741" s="79"/>
      <c r="H741" s="79" t="s">
        <v>5</v>
      </c>
    </row>
    <row r="742" spans="1:8">
      <c r="A742" s="79" t="str">
        <f>LeaveData[[#This Row],[ EMP ID]]&amp;LeaveData[[#This Row],[Date]]</f>
        <v>20241803745603</v>
      </c>
      <c r="B742" s="79">
        <v>202418037</v>
      </c>
      <c r="C742" s="79" t="s">
        <v>243</v>
      </c>
      <c r="D742" s="80">
        <v>45603</v>
      </c>
      <c r="E742" s="79" t="s">
        <v>318</v>
      </c>
      <c r="F742" s="79" t="s">
        <v>118</v>
      </c>
      <c r="G742" s="79"/>
      <c r="H742" s="79" t="s">
        <v>5</v>
      </c>
    </row>
    <row r="743" spans="1:8">
      <c r="A743" s="79" t="str">
        <f>LeaveData[[#This Row],[ EMP ID]]&amp;LeaveData[[#This Row],[Date]]</f>
        <v>20241803845608</v>
      </c>
      <c r="B743" s="79">
        <v>202418038</v>
      </c>
      <c r="C743" s="79" t="s">
        <v>246</v>
      </c>
      <c r="D743" s="80">
        <v>45608</v>
      </c>
      <c r="E743" s="79" t="s">
        <v>14</v>
      </c>
      <c r="F743" s="79" t="s">
        <v>125</v>
      </c>
      <c r="G743" s="79"/>
      <c r="H743" s="79" t="s">
        <v>360</v>
      </c>
    </row>
    <row r="744" spans="1:8">
      <c r="A744" s="79" t="str">
        <f>LeaveData[[#This Row],[ EMP ID]]&amp;LeaveData[[#This Row],[Date]]</f>
        <v>20241803545605</v>
      </c>
      <c r="B744" s="79">
        <v>202418035</v>
      </c>
      <c r="C744" s="79" t="s">
        <v>96</v>
      </c>
      <c r="D744" s="80">
        <v>45605</v>
      </c>
      <c r="E744" s="79" t="s">
        <v>12</v>
      </c>
      <c r="F744" s="79" t="s">
        <v>118</v>
      </c>
      <c r="G744" s="79"/>
      <c r="H744" s="79" t="s">
        <v>5</v>
      </c>
    </row>
    <row r="745" spans="1:8">
      <c r="A745" s="79" t="str">
        <f>LeaveData[[#This Row],[ EMP ID]]&amp;LeaveData[[#This Row],[Date]]</f>
        <v>20241803745605</v>
      </c>
      <c r="B745" s="79">
        <v>202418037</v>
      </c>
      <c r="C745" s="79" t="s">
        <v>243</v>
      </c>
      <c r="D745" s="80">
        <v>45605</v>
      </c>
      <c r="E745" s="79" t="s">
        <v>318</v>
      </c>
      <c r="F745" s="79" t="s">
        <v>118</v>
      </c>
      <c r="G745" s="79"/>
      <c r="H745" s="79" t="s">
        <v>5</v>
      </c>
    </row>
    <row r="746" spans="1:8">
      <c r="A746" s="79" t="str">
        <f>LeaveData[[#This Row],[ EMP ID]]&amp;LeaveData[[#This Row],[Date]]</f>
        <v>20221801245603</v>
      </c>
      <c r="B746" s="79">
        <v>202218012</v>
      </c>
      <c r="C746" s="79" t="s">
        <v>29</v>
      </c>
      <c r="D746" s="80">
        <v>45603</v>
      </c>
      <c r="E746" s="79" t="s">
        <v>16</v>
      </c>
      <c r="F746" s="79" t="s">
        <v>118</v>
      </c>
      <c r="G746" s="79"/>
      <c r="H746" s="79" t="s">
        <v>361</v>
      </c>
    </row>
    <row r="747" spans="1:8">
      <c r="A747" s="79" t="str">
        <f>LeaveData[[#This Row],[ EMP ID]]&amp;LeaveData[[#This Row],[Date]]</f>
        <v>20221801345608</v>
      </c>
      <c r="B747" s="79">
        <v>202218013</v>
      </c>
      <c r="C747" s="79" t="s">
        <v>85</v>
      </c>
      <c r="D747" s="80">
        <v>45608</v>
      </c>
      <c r="E747" s="79" t="s">
        <v>318</v>
      </c>
      <c r="F747" s="79" t="s">
        <v>118</v>
      </c>
      <c r="G747" s="79"/>
      <c r="H747" s="79" t="s">
        <v>119</v>
      </c>
    </row>
    <row r="748" spans="1:8">
      <c r="A748" s="79" t="str">
        <f>LeaveData[[#This Row],[ EMP ID]]&amp;LeaveData[[#This Row],[Date]]</f>
        <v>20231802145608</v>
      </c>
      <c r="B748" s="79">
        <v>202318021</v>
      </c>
      <c r="C748" s="79" t="s">
        <v>257</v>
      </c>
      <c r="D748" s="80">
        <v>45608</v>
      </c>
      <c r="E748" s="79" t="s">
        <v>318</v>
      </c>
      <c r="F748" s="79" t="s">
        <v>43</v>
      </c>
      <c r="G748" s="79"/>
      <c r="H748" s="79" t="s">
        <v>119</v>
      </c>
    </row>
    <row r="749" spans="1:8">
      <c r="A749" s="79" t="str">
        <f>LeaveData[[#This Row],[ EMP ID]]&amp;LeaveData[[#This Row],[Date]]</f>
        <v>20221800945609</v>
      </c>
      <c r="B749" s="79">
        <v>202218009</v>
      </c>
      <c r="C749" s="79" t="s">
        <v>26</v>
      </c>
      <c r="D749" s="80">
        <v>45609</v>
      </c>
      <c r="E749" s="79" t="s">
        <v>13</v>
      </c>
      <c r="F749" s="79" t="s">
        <v>29</v>
      </c>
      <c r="G749" s="79"/>
      <c r="H749" s="79" t="s">
        <v>116</v>
      </c>
    </row>
    <row r="750" spans="1:8">
      <c r="A750" s="79" t="str">
        <f>LeaveData[[#This Row],[ EMP ID]]&amp;LeaveData[[#This Row],[Date]]</f>
        <v>20242001545610</v>
      </c>
      <c r="B750" s="79">
        <v>202420015</v>
      </c>
      <c r="C750" s="79" t="s">
        <v>64</v>
      </c>
      <c r="D750" s="80">
        <v>45610</v>
      </c>
      <c r="E750" s="79" t="s">
        <v>13</v>
      </c>
      <c r="F750" s="79" t="s">
        <v>114</v>
      </c>
      <c r="G750" s="79"/>
      <c r="H750" s="79" t="s">
        <v>362</v>
      </c>
    </row>
    <row r="751" spans="1:8">
      <c r="A751" s="79" t="str">
        <f>LeaveData[[#This Row],[ EMP ID]]&amp;LeaveData[[#This Row],[Date]]</f>
        <v>20232000945611</v>
      </c>
      <c r="B751" s="79">
        <v>202320009</v>
      </c>
      <c r="C751" s="79" t="s">
        <v>143</v>
      </c>
      <c r="D751" s="80">
        <v>45611</v>
      </c>
      <c r="E751" s="79" t="s">
        <v>13</v>
      </c>
      <c r="F751" s="79" t="s">
        <v>118</v>
      </c>
      <c r="G751" s="79"/>
      <c r="H751" s="79" t="s">
        <v>116</v>
      </c>
    </row>
    <row r="752" spans="1:8">
      <c r="A752" s="79" t="str">
        <f>LeaveData[[#This Row],[ EMP ID]]&amp;LeaveData[[#This Row],[Date]]</f>
        <v>20201800645610</v>
      </c>
      <c r="B752" s="79">
        <v>202018006</v>
      </c>
      <c r="C752" s="79" t="s">
        <v>23</v>
      </c>
      <c r="D752" s="80">
        <v>45610</v>
      </c>
      <c r="E752" s="79" t="s">
        <v>13</v>
      </c>
      <c r="F752" s="79" t="s">
        <v>104</v>
      </c>
      <c r="G752" s="79"/>
      <c r="H752" s="79" t="s">
        <v>194</v>
      </c>
    </row>
    <row r="753" spans="1:8">
      <c r="A753" s="79" t="str">
        <f>LeaveData[[#This Row],[ EMP ID]]&amp;LeaveData[[#This Row],[Date]]</f>
        <v>20201800645611</v>
      </c>
      <c r="B753" s="79">
        <v>202018006</v>
      </c>
      <c r="C753" s="79" t="s">
        <v>23</v>
      </c>
      <c r="D753" s="80">
        <v>45611</v>
      </c>
      <c r="E753" s="79" t="s">
        <v>13</v>
      </c>
      <c r="F753" s="79" t="s">
        <v>104</v>
      </c>
      <c r="G753" s="79"/>
      <c r="H753" s="79" t="s">
        <v>194</v>
      </c>
    </row>
    <row r="754" spans="1:8">
      <c r="A754" s="79" t="str">
        <f>LeaveData[[#This Row],[ EMP ID]]&amp;LeaveData[[#This Row],[Date]]</f>
        <v>20231801745612</v>
      </c>
      <c r="B754" s="79">
        <v>202318017</v>
      </c>
      <c r="C754" s="79" t="s">
        <v>37</v>
      </c>
      <c r="D754" s="80">
        <v>45612</v>
      </c>
      <c r="E754" s="79" t="s">
        <v>13</v>
      </c>
      <c r="F754" s="79" t="s">
        <v>118</v>
      </c>
      <c r="G754" s="79"/>
      <c r="H754" s="79" t="s">
        <v>105</v>
      </c>
    </row>
    <row r="755" spans="1:8">
      <c r="A755" s="79" t="str">
        <f>LeaveData[[#This Row],[ EMP ID]]&amp;LeaveData[[#This Row],[Date]]</f>
        <v>20221801045611</v>
      </c>
      <c r="B755" s="79">
        <v>202218010</v>
      </c>
      <c r="C755" s="79" t="s">
        <v>27</v>
      </c>
      <c r="D755" s="80">
        <v>45611</v>
      </c>
      <c r="E755" s="79" t="s">
        <v>13</v>
      </c>
      <c r="F755" s="79" t="s">
        <v>118</v>
      </c>
      <c r="G755" s="79"/>
      <c r="H755" s="79" t="s">
        <v>363</v>
      </c>
    </row>
    <row r="756" spans="1:8">
      <c r="A756" s="79" t="str">
        <f>LeaveData[[#This Row],[ EMP ID]]&amp;LeaveData[[#This Row],[Date]]</f>
        <v>20231801945612</v>
      </c>
      <c r="B756" s="79">
        <v>202318019</v>
      </c>
      <c r="C756" s="79" t="s">
        <v>89</v>
      </c>
      <c r="D756" s="80">
        <v>45612</v>
      </c>
      <c r="E756" s="79" t="s">
        <v>130</v>
      </c>
      <c r="F756" s="79" t="s">
        <v>235</v>
      </c>
      <c r="G756" s="79"/>
      <c r="H756" s="79" t="s">
        <v>299</v>
      </c>
    </row>
    <row r="757" spans="1:8">
      <c r="A757" s="79" t="str">
        <f>LeaveData[[#This Row],[ EMP ID]]&amp;LeaveData[[#This Row],[Date]]</f>
        <v>20231801945630</v>
      </c>
      <c r="B757" s="79">
        <v>202318019</v>
      </c>
      <c r="C757" s="79" t="s">
        <v>89</v>
      </c>
      <c r="D757" s="80">
        <v>45630</v>
      </c>
      <c r="E757" s="79" t="s">
        <v>13</v>
      </c>
      <c r="F757" s="79" t="s">
        <v>235</v>
      </c>
      <c r="G757" s="79"/>
      <c r="H757" s="79" t="s">
        <v>364</v>
      </c>
    </row>
    <row r="758" spans="1:8">
      <c r="A758" s="79" t="str">
        <f>LeaveData[[#This Row],[ EMP ID]]&amp;LeaveData[[#This Row],[Date]]</f>
        <v>20231801945631</v>
      </c>
      <c r="B758" s="79">
        <v>202318019</v>
      </c>
      <c r="C758" s="79" t="s">
        <v>89</v>
      </c>
      <c r="D758" s="80">
        <v>45631</v>
      </c>
      <c r="E758" s="79" t="s">
        <v>13</v>
      </c>
      <c r="F758" s="79" t="s">
        <v>235</v>
      </c>
      <c r="G758" s="79"/>
      <c r="H758" s="79" t="s">
        <v>364</v>
      </c>
    </row>
    <row r="759" spans="1:8">
      <c r="A759" s="79" t="str">
        <f>LeaveData[[#This Row],[ EMP ID]]&amp;LeaveData[[#This Row],[Date]]</f>
        <v>20231801945632</v>
      </c>
      <c r="B759" s="79">
        <v>202318019</v>
      </c>
      <c r="C759" s="79" t="s">
        <v>89</v>
      </c>
      <c r="D759" s="80">
        <v>45632</v>
      </c>
      <c r="E759" s="79" t="s">
        <v>13</v>
      </c>
      <c r="F759" s="79" t="s">
        <v>235</v>
      </c>
      <c r="G759" s="79"/>
      <c r="H759" s="79" t="s">
        <v>364</v>
      </c>
    </row>
    <row r="760" spans="1:8">
      <c r="A760" s="79" t="str">
        <f>LeaveData[[#This Row],[ EMP ID]]&amp;LeaveData[[#This Row],[Date]]</f>
        <v>20231801945633</v>
      </c>
      <c r="B760" s="79">
        <v>202318019</v>
      </c>
      <c r="C760" s="79" t="s">
        <v>89</v>
      </c>
      <c r="D760" s="80">
        <v>45633</v>
      </c>
      <c r="E760" s="79" t="s">
        <v>13</v>
      </c>
      <c r="F760" s="79" t="s">
        <v>235</v>
      </c>
      <c r="G760" s="79"/>
      <c r="H760" s="79" t="s">
        <v>364</v>
      </c>
    </row>
    <row r="761" spans="1:8">
      <c r="A761" s="79" t="str">
        <f>LeaveData[[#This Row],[ EMP ID]]&amp;LeaveData[[#This Row],[Date]]</f>
        <v>20231801945635</v>
      </c>
      <c r="B761" s="79">
        <v>202318019</v>
      </c>
      <c r="C761" s="79" t="s">
        <v>89</v>
      </c>
      <c r="D761" s="80">
        <v>45635</v>
      </c>
      <c r="E761" s="79" t="s">
        <v>13</v>
      </c>
      <c r="F761" s="79" t="s">
        <v>235</v>
      </c>
      <c r="G761" s="79"/>
      <c r="H761" s="79" t="s">
        <v>364</v>
      </c>
    </row>
    <row r="762" spans="1:8">
      <c r="A762" s="79" t="str">
        <f>LeaveData[[#This Row],[ EMP ID]]&amp;LeaveData[[#This Row],[Date]]</f>
        <v>20231801945636</v>
      </c>
      <c r="B762" s="79">
        <v>202318019</v>
      </c>
      <c r="C762" s="79" t="s">
        <v>89</v>
      </c>
      <c r="D762" s="80">
        <v>45636</v>
      </c>
      <c r="E762" s="79" t="s">
        <v>13</v>
      </c>
      <c r="F762" s="79" t="s">
        <v>235</v>
      </c>
      <c r="G762" s="79"/>
      <c r="H762" s="79" t="s">
        <v>364</v>
      </c>
    </row>
    <row r="763" spans="1:8">
      <c r="A763" s="79" t="str">
        <f>LeaveData[[#This Row],[ EMP ID]]&amp;LeaveData[[#This Row],[Date]]</f>
        <v>20231802945611</v>
      </c>
      <c r="B763" s="79">
        <v>202318029</v>
      </c>
      <c r="C763" s="79" t="s">
        <v>59</v>
      </c>
      <c r="D763" s="80">
        <v>45611</v>
      </c>
      <c r="E763" s="79" t="s">
        <v>318</v>
      </c>
      <c r="F763" s="79" t="s">
        <v>43</v>
      </c>
      <c r="G763" s="79"/>
      <c r="H763" s="79" t="s">
        <v>105</v>
      </c>
    </row>
    <row r="764" spans="1:8">
      <c r="A764" s="79" t="str">
        <f>LeaveData[[#This Row],[ EMP ID]]&amp;LeaveData[[#This Row],[Date]]</f>
        <v>20231802945612</v>
      </c>
      <c r="B764" s="79">
        <v>202318029</v>
      </c>
      <c r="C764" s="79" t="s">
        <v>59</v>
      </c>
      <c r="D764" s="80">
        <v>45612</v>
      </c>
      <c r="E764" s="79" t="s">
        <v>318</v>
      </c>
      <c r="F764" s="79" t="s">
        <v>43</v>
      </c>
      <c r="G764" s="79"/>
      <c r="H764" s="79" t="s">
        <v>105</v>
      </c>
    </row>
    <row r="765" spans="1:8">
      <c r="A765" s="79" t="str">
        <f>LeaveData[[#This Row],[ EMP ID]]&amp;LeaveData[[#This Row],[Date]]</f>
        <v>20241803745614</v>
      </c>
      <c r="B765" s="79">
        <v>202418037</v>
      </c>
      <c r="C765" s="79" t="s">
        <v>243</v>
      </c>
      <c r="D765" s="80">
        <v>45614</v>
      </c>
      <c r="E765" s="79" t="s">
        <v>15</v>
      </c>
      <c r="F765" s="79" t="s">
        <v>118</v>
      </c>
      <c r="G765" s="79"/>
      <c r="H765" s="79" t="s">
        <v>112</v>
      </c>
    </row>
    <row r="766" spans="1:8">
      <c r="A766" s="79" t="str">
        <f>LeaveData[[#This Row],[ EMP ID]]&amp;LeaveData[[#This Row],[Date]]</f>
        <v>20221801145615</v>
      </c>
      <c r="B766" s="79">
        <v>202218011</v>
      </c>
      <c r="C766" s="79" t="s">
        <v>28</v>
      </c>
      <c r="D766" s="80">
        <v>45615</v>
      </c>
      <c r="E766" s="79" t="s">
        <v>16</v>
      </c>
      <c r="F766" s="79" t="s">
        <v>27</v>
      </c>
      <c r="G766" s="79"/>
      <c r="H766" s="79" t="s">
        <v>365</v>
      </c>
    </row>
    <row r="767" spans="1:8">
      <c r="A767" s="79" t="str">
        <f>LeaveData[[#This Row],[ EMP ID]]&amp;LeaveData[[#This Row],[Date]]</f>
        <v>20231802045615</v>
      </c>
      <c r="B767" s="79">
        <v>202318020</v>
      </c>
      <c r="C767" s="79" t="s">
        <v>43</v>
      </c>
      <c r="D767" s="80">
        <v>45615</v>
      </c>
      <c r="E767" s="79" t="s">
        <v>12</v>
      </c>
      <c r="F767" s="79" t="s">
        <v>104</v>
      </c>
      <c r="G767" s="79"/>
      <c r="H767" s="79" t="s">
        <v>366</v>
      </c>
    </row>
    <row r="768" spans="1:8">
      <c r="A768" s="79" t="str">
        <f>LeaveData[[#This Row],[ EMP ID]]&amp;LeaveData[[#This Row],[Date]]</f>
        <v>20231801745615</v>
      </c>
      <c r="B768" s="79">
        <v>202318017</v>
      </c>
      <c r="C768" s="79" t="s">
        <v>37</v>
      </c>
      <c r="D768" s="80">
        <v>45615</v>
      </c>
      <c r="E768" s="79" t="s">
        <v>15</v>
      </c>
      <c r="F768" s="79" t="s">
        <v>118</v>
      </c>
      <c r="G768" s="79"/>
      <c r="H768" s="79" t="s">
        <v>140</v>
      </c>
    </row>
    <row r="769" spans="1:8">
      <c r="A769" s="79" t="str">
        <f>LeaveData[[#This Row],[ EMP ID]]&amp;LeaveData[[#This Row],[Date]]</f>
        <v>20241804045625</v>
      </c>
      <c r="B769" s="79">
        <v>202418040</v>
      </c>
      <c r="C769" s="79" t="s">
        <v>341</v>
      </c>
      <c r="D769" s="80">
        <v>45625</v>
      </c>
      <c r="E769" s="79" t="s">
        <v>13</v>
      </c>
      <c r="F769" s="79" t="s">
        <v>114</v>
      </c>
      <c r="G769" s="79"/>
      <c r="H769" s="79" t="s">
        <v>105</v>
      </c>
    </row>
    <row r="770" spans="1:8">
      <c r="A770" s="79" t="str">
        <f>LeaveData[[#This Row],[ EMP ID]]&amp;LeaveData[[#This Row],[Date]]</f>
        <v>20241804045626</v>
      </c>
      <c r="B770" s="79">
        <v>202418040</v>
      </c>
      <c r="C770" s="79" t="s">
        <v>341</v>
      </c>
      <c r="D770" s="80">
        <v>45626</v>
      </c>
      <c r="E770" s="79" t="s">
        <v>13</v>
      </c>
      <c r="F770" s="79" t="s">
        <v>114</v>
      </c>
      <c r="G770" s="79"/>
      <c r="H770" s="79" t="s">
        <v>105</v>
      </c>
    </row>
    <row r="771" spans="1:8">
      <c r="A771" s="79" t="str">
        <f>LeaveData[[#This Row],[ EMP ID]]&amp;LeaveData[[#This Row],[Date]]</f>
        <v>20231802345617</v>
      </c>
      <c r="B771" s="79">
        <v>202318023</v>
      </c>
      <c r="C771" s="79" t="s">
        <v>148</v>
      </c>
      <c r="D771" s="80">
        <v>45617</v>
      </c>
      <c r="E771" s="79" t="s">
        <v>14</v>
      </c>
      <c r="F771" s="79" t="s">
        <v>118</v>
      </c>
      <c r="G771" s="79"/>
      <c r="H771" s="79" t="s">
        <v>239</v>
      </c>
    </row>
    <row r="772" spans="1:8">
      <c r="A772" s="79" t="str">
        <f>LeaveData[[#This Row],[ EMP ID]]&amp;LeaveData[[#This Row],[Date]]</f>
        <v>20241803545628</v>
      </c>
      <c r="B772" s="79">
        <v>202418035</v>
      </c>
      <c r="C772" s="79" t="s">
        <v>96</v>
      </c>
      <c r="D772" s="80">
        <v>45628</v>
      </c>
      <c r="E772" s="79" t="s">
        <v>318</v>
      </c>
      <c r="F772" s="79" t="s">
        <v>118</v>
      </c>
      <c r="G772" s="79"/>
      <c r="H772" s="79" t="s">
        <v>367</v>
      </c>
    </row>
    <row r="773" spans="1:8">
      <c r="A773" s="79" t="str">
        <f>LeaveData[[#This Row],[ EMP ID]]&amp;LeaveData[[#This Row],[Date]]</f>
        <v>20241803545629</v>
      </c>
      <c r="B773" s="79">
        <v>202418035</v>
      </c>
      <c r="C773" s="79" t="s">
        <v>96</v>
      </c>
      <c r="D773" s="80">
        <v>45629</v>
      </c>
      <c r="E773" s="79" t="s">
        <v>318</v>
      </c>
      <c r="F773" s="79" t="s">
        <v>118</v>
      </c>
      <c r="G773" s="79"/>
      <c r="H773" s="79" t="s">
        <v>368</v>
      </c>
    </row>
    <row r="774" spans="1:8">
      <c r="A774" s="79" t="str">
        <f>LeaveData[[#This Row],[ EMP ID]]&amp;LeaveData[[#This Row],[Date]]</f>
        <v>20241803545630</v>
      </c>
      <c r="B774" s="79">
        <v>202418035</v>
      </c>
      <c r="C774" s="79" t="s">
        <v>96</v>
      </c>
      <c r="D774" s="80">
        <v>45630</v>
      </c>
      <c r="E774" s="79" t="s">
        <v>318</v>
      </c>
      <c r="F774" s="79" t="s">
        <v>118</v>
      </c>
      <c r="G774" s="79"/>
      <c r="H774" s="79" t="s">
        <v>369</v>
      </c>
    </row>
    <row r="775" spans="1:8">
      <c r="A775" s="79" t="str">
        <f>LeaveData[[#This Row],[ EMP ID]]&amp;LeaveData[[#This Row],[Date]]</f>
        <v>20221801345617</v>
      </c>
      <c r="B775" s="79">
        <v>202218013</v>
      </c>
      <c r="C775" s="79" t="s">
        <v>85</v>
      </c>
      <c r="D775" s="80">
        <v>45617</v>
      </c>
      <c r="E775" s="79" t="s">
        <v>318</v>
      </c>
      <c r="F775" s="79" t="s">
        <v>118</v>
      </c>
      <c r="G775" s="79"/>
      <c r="H775" s="79" t="s">
        <v>119</v>
      </c>
    </row>
    <row r="776" spans="1:8">
      <c r="A776" s="79" t="str">
        <f>LeaveData[[#This Row],[ EMP ID]]&amp;LeaveData[[#This Row],[Date]]</f>
        <v>20241804045617</v>
      </c>
      <c r="B776" s="79">
        <v>202418040</v>
      </c>
      <c r="C776" s="79" t="s">
        <v>341</v>
      </c>
      <c r="D776" s="80">
        <v>45617</v>
      </c>
      <c r="E776" s="79" t="s">
        <v>13</v>
      </c>
      <c r="F776" s="79" t="s">
        <v>114</v>
      </c>
      <c r="G776" s="79"/>
      <c r="H776" s="79" t="s">
        <v>370</v>
      </c>
    </row>
    <row r="777" spans="1:8">
      <c r="A777" s="79" t="str">
        <f>LeaveData[[#This Row],[ EMP ID]]&amp;LeaveData[[#This Row],[Date]]</f>
        <v>20241803745619</v>
      </c>
      <c r="B777" s="79">
        <v>202418037</v>
      </c>
      <c r="C777" s="79" t="s">
        <v>243</v>
      </c>
      <c r="D777" s="80">
        <v>45619</v>
      </c>
      <c r="E777" s="79" t="s">
        <v>318</v>
      </c>
      <c r="F777" s="79" t="s">
        <v>118</v>
      </c>
      <c r="G777" s="79"/>
      <c r="H777" s="79" t="s">
        <v>371</v>
      </c>
    </row>
    <row r="778" spans="1:8">
      <c r="A778" s="79" t="str">
        <f>LeaveData[[#This Row],[ EMP ID]]&amp;LeaveData[[#This Row],[Date]]</f>
        <v>20232000745622</v>
      </c>
      <c r="B778" s="79">
        <v>202320007</v>
      </c>
      <c r="C778" s="79" t="s">
        <v>183</v>
      </c>
      <c r="D778" s="80">
        <v>45622</v>
      </c>
      <c r="E778" s="79" t="s">
        <v>13</v>
      </c>
      <c r="F778" s="79" t="s">
        <v>104</v>
      </c>
      <c r="G778" s="79"/>
      <c r="H778" s="79" t="s">
        <v>105</v>
      </c>
    </row>
    <row r="779" spans="1:8">
      <c r="A779" s="79" t="str">
        <f>LeaveData[[#This Row],[ EMP ID]]&amp;LeaveData[[#This Row],[Date]]</f>
        <v>20231802645621</v>
      </c>
      <c r="B779" s="79">
        <v>202318026</v>
      </c>
      <c r="C779" s="79" t="s">
        <v>53</v>
      </c>
      <c r="D779" s="80">
        <v>45621</v>
      </c>
      <c r="E779" s="79" t="s">
        <v>16</v>
      </c>
      <c r="F779" s="79" t="s">
        <v>45</v>
      </c>
      <c r="G779" s="79"/>
      <c r="H779" s="79" t="s">
        <v>372</v>
      </c>
    </row>
    <row r="780" spans="1:8">
      <c r="A780" s="79" t="str">
        <f>LeaveData[[#This Row],[ EMP ID]]&amp;LeaveData[[#This Row],[Date]]</f>
        <v>20231802645622</v>
      </c>
      <c r="B780" s="79">
        <v>202318026</v>
      </c>
      <c r="C780" s="79" t="s">
        <v>53</v>
      </c>
      <c r="D780" s="80">
        <v>45622</v>
      </c>
      <c r="E780" s="79" t="s">
        <v>16</v>
      </c>
      <c r="F780" s="79" t="s">
        <v>45</v>
      </c>
      <c r="G780" s="79"/>
      <c r="H780" s="79" t="s">
        <v>372</v>
      </c>
    </row>
    <row r="781" spans="1:8">
      <c r="A781" s="79" t="str">
        <f>LeaveData[[#This Row],[ EMP ID]]&amp;LeaveData[[#This Row],[Date]]</f>
        <v>20231802645623</v>
      </c>
      <c r="B781" s="79">
        <v>202318026</v>
      </c>
      <c r="C781" s="79" t="s">
        <v>53</v>
      </c>
      <c r="D781" s="80">
        <v>45623</v>
      </c>
      <c r="E781" s="79" t="s">
        <v>16</v>
      </c>
      <c r="F781" s="79" t="s">
        <v>45</v>
      </c>
      <c r="G781" s="79"/>
      <c r="H781" s="79" t="s">
        <v>372</v>
      </c>
    </row>
    <row r="782" spans="1:8">
      <c r="A782" s="79" t="str">
        <f>LeaveData[[#This Row],[ EMP ID]]&amp;LeaveData[[#This Row],[Date]]</f>
        <v>20231802645624</v>
      </c>
      <c r="B782" s="79">
        <v>202318026</v>
      </c>
      <c r="C782" s="79" t="s">
        <v>53</v>
      </c>
      <c r="D782" s="80">
        <v>45624</v>
      </c>
      <c r="E782" s="79" t="s">
        <v>16</v>
      </c>
      <c r="F782" s="79" t="s">
        <v>45</v>
      </c>
      <c r="G782" s="79"/>
      <c r="H782" s="79" t="s">
        <v>372</v>
      </c>
    </row>
    <row r="783" spans="1:8">
      <c r="A783" s="79" t="str">
        <f>LeaveData[[#This Row],[ EMP ID]]&amp;LeaveData[[#This Row],[Date]]</f>
        <v>20231802645625</v>
      </c>
      <c r="B783" s="79">
        <v>202318026</v>
      </c>
      <c r="C783" s="79" t="s">
        <v>53</v>
      </c>
      <c r="D783" s="80">
        <v>45625</v>
      </c>
      <c r="E783" s="79" t="s">
        <v>16</v>
      </c>
      <c r="F783" s="79" t="s">
        <v>45</v>
      </c>
      <c r="G783" s="79"/>
      <c r="H783" s="79" t="s">
        <v>372</v>
      </c>
    </row>
    <row r="784" spans="1:8">
      <c r="A784" s="79" t="str">
        <f>LeaveData[[#This Row],[ EMP ID]]&amp;LeaveData[[#This Row],[Date]]</f>
        <v>20231802645626</v>
      </c>
      <c r="B784" s="79">
        <v>202318026</v>
      </c>
      <c r="C784" s="79" t="s">
        <v>53</v>
      </c>
      <c r="D784" s="80">
        <v>45626</v>
      </c>
      <c r="E784" s="79" t="s">
        <v>16</v>
      </c>
      <c r="F784" s="79" t="s">
        <v>45</v>
      </c>
      <c r="G784" s="79"/>
      <c r="H784" s="79" t="s">
        <v>372</v>
      </c>
    </row>
    <row r="785" spans="1:8">
      <c r="A785" s="79" t="str">
        <f>LeaveData[[#This Row],[ EMP ID]]&amp;LeaveData[[#This Row],[Date]]</f>
        <v>20211800745628</v>
      </c>
      <c r="B785" s="79">
        <v>202118007</v>
      </c>
      <c r="C785" s="79" t="s">
        <v>103</v>
      </c>
      <c r="D785" s="80">
        <v>45628</v>
      </c>
      <c r="E785" s="79" t="s">
        <v>13</v>
      </c>
      <c r="F785" s="79" t="s">
        <v>104</v>
      </c>
      <c r="G785" s="79"/>
      <c r="H785" s="79" t="s">
        <v>168</v>
      </c>
    </row>
    <row r="786" spans="1:8">
      <c r="A786" s="79" t="str">
        <f>LeaveData[[#This Row],[ EMP ID]]&amp;LeaveData[[#This Row],[Date]]</f>
        <v>20211800745629</v>
      </c>
      <c r="B786" s="79">
        <v>202118007</v>
      </c>
      <c r="C786" s="79" t="s">
        <v>103</v>
      </c>
      <c r="D786" s="80">
        <v>45629</v>
      </c>
      <c r="E786" s="79" t="s">
        <v>13</v>
      </c>
      <c r="F786" s="79" t="s">
        <v>104</v>
      </c>
      <c r="G786" s="79"/>
      <c r="H786" s="79" t="s">
        <v>168</v>
      </c>
    </row>
    <row r="787" spans="1:8">
      <c r="A787" s="79" t="str">
        <f>LeaveData[[#This Row],[ EMP ID]]&amp;LeaveData[[#This Row],[Date]]</f>
        <v>20221801145622</v>
      </c>
      <c r="B787" s="79">
        <v>202218011</v>
      </c>
      <c r="C787" s="79" t="s">
        <v>28</v>
      </c>
      <c r="D787" s="80">
        <v>45622</v>
      </c>
      <c r="E787" s="79" t="s">
        <v>16</v>
      </c>
      <c r="F787" s="79" t="s">
        <v>27</v>
      </c>
      <c r="G787" s="79"/>
      <c r="H787" s="79" t="s">
        <v>373</v>
      </c>
    </row>
    <row r="788" spans="1:8">
      <c r="A788" s="79" t="str">
        <f>LeaveData[[#This Row],[ EMP ID]]&amp;LeaveData[[#This Row],[Date]]</f>
        <v>20221801145623</v>
      </c>
      <c r="B788" s="79">
        <v>202218011</v>
      </c>
      <c r="C788" s="79" t="s">
        <v>28</v>
      </c>
      <c r="D788" s="80">
        <v>45623</v>
      </c>
      <c r="E788" s="79" t="s">
        <v>16</v>
      </c>
      <c r="F788" s="79" t="s">
        <v>27</v>
      </c>
      <c r="G788" s="79"/>
      <c r="H788" s="79" t="s">
        <v>373</v>
      </c>
    </row>
    <row r="789" spans="1:8">
      <c r="A789" s="79" t="str">
        <f>LeaveData[[#This Row],[ EMP ID]]&amp;LeaveData[[#This Row],[Date]]</f>
        <v>20221801145624</v>
      </c>
      <c r="B789" s="79">
        <v>202218011</v>
      </c>
      <c r="C789" s="79" t="s">
        <v>28</v>
      </c>
      <c r="D789" s="80">
        <v>45624</v>
      </c>
      <c r="E789" s="79" t="s">
        <v>16</v>
      </c>
      <c r="F789" s="79" t="s">
        <v>27</v>
      </c>
      <c r="G789" s="79"/>
      <c r="H789" s="79" t="s">
        <v>373</v>
      </c>
    </row>
    <row r="790" spans="1:8">
      <c r="A790" s="79" t="str">
        <f>LeaveData[[#This Row],[ EMP ID]]&amp;LeaveData[[#This Row],[Date]]</f>
        <v>20221801145625</v>
      </c>
      <c r="B790" s="79">
        <v>202218011</v>
      </c>
      <c r="C790" s="79" t="s">
        <v>28</v>
      </c>
      <c r="D790" s="80">
        <v>45625</v>
      </c>
      <c r="E790" s="79" t="s">
        <v>16</v>
      </c>
      <c r="F790" s="79" t="s">
        <v>27</v>
      </c>
      <c r="G790" s="79"/>
      <c r="H790" s="79" t="s">
        <v>373</v>
      </c>
    </row>
    <row r="791" spans="1:8">
      <c r="A791" s="79" t="str">
        <f>LeaveData[[#This Row],[ EMP ID]]&amp;LeaveData[[#This Row],[Date]]</f>
        <v>20221801145626</v>
      </c>
      <c r="B791" s="79">
        <v>202218011</v>
      </c>
      <c r="C791" s="79" t="s">
        <v>28</v>
      </c>
      <c r="D791" s="80">
        <v>45626</v>
      </c>
      <c r="E791" s="79" t="s">
        <v>16</v>
      </c>
      <c r="F791" s="79" t="s">
        <v>27</v>
      </c>
      <c r="G791" s="79"/>
      <c r="H791" s="79" t="s">
        <v>373</v>
      </c>
    </row>
    <row r="792" spans="1:8">
      <c r="A792" s="79" t="str">
        <f>LeaveData[[#This Row],[ EMP ID]]&amp;LeaveData[[#This Row],[Date]]</f>
        <v>20242100345623</v>
      </c>
      <c r="B792" s="79">
        <v>202421003</v>
      </c>
      <c r="C792" s="79" t="s">
        <v>205</v>
      </c>
      <c r="D792" s="80">
        <v>45623</v>
      </c>
      <c r="E792" s="79" t="s">
        <v>318</v>
      </c>
      <c r="F792" s="79" t="s">
        <v>206</v>
      </c>
      <c r="G792" s="79"/>
      <c r="H792" s="79" t="s">
        <v>374</v>
      </c>
    </row>
    <row r="793" spans="1:8">
      <c r="A793" s="79" t="str">
        <f>LeaveData[[#This Row],[ EMP ID]]&amp;LeaveData[[#This Row],[Date]]</f>
        <v>20242001745616</v>
      </c>
      <c r="B793" s="79">
        <v>202420017</v>
      </c>
      <c r="C793" s="79" t="s">
        <v>375</v>
      </c>
      <c r="D793" s="80">
        <v>45616</v>
      </c>
      <c r="E793" s="79" t="s">
        <v>199</v>
      </c>
      <c r="F793" s="79" t="s">
        <v>118</v>
      </c>
      <c r="G793" s="79"/>
      <c r="H793" s="79" t="s">
        <v>200</v>
      </c>
    </row>
    <row r="794" spans="1:8">
      <c r="A794" s="79" t="str">
        <f>LeaveData[[#This Row],[ EMP ID]]&amp;LeaveData[[#This Row],[Date]]</f>
        <v>20241804145622</v>
      </c>
      <c r="B794" s="79">
        <v>202418041</v>
      </c>
      <c r="C794" s="79" t="s">
        <v>376</v>
      </c>
      <c r="D794" s="105">
        <v>45622</v>
      </c>
      <c r="E794" s="79" t="s">
        <v>199</v>
      </c>
      <c r="F794" s="79" t="s">
        <v>118</v>
      </c>
      <c r="G794" s="79"/>
      <c r="H794" s="79" t="s">
        <v>200</v>
      </c>
    </row>
    <row r="795" spans="1:8">
      <c r="A795" s="79" t="str">
        <f>LeaveData[[#This Row],[ EMP ID]]&amp;LeaveData[[#This Row],[Date]]</f>
        <v>20242101245566</v>
      </c>
      <c r="B795" s="79">
        <v>202421012</v>
      </c>
      <c r="C795" s="79" t="s">
        <v>377</v>
      </c>
      <c r="D795" s="105">
        <v>45566</v>
      </c>
      <c r="E795" s="79" t="s">
        <v>199</v>
      </c>
      <c r="F795" s="79" t="s">
        <v>206</v>
      </c>
      <c r="G795" s="79"/>
      <c r="H795" s="79" t="s">
        <v>200</v>
      </c>
    </row>
    <row r="796" spans="1:8">
      <c r="A796" s="79" t="str">
        <f>LeaveData[[#This Row],[ EMP ID]]&amp;LeaveData[[#This Row],[Date]]</f>
        <v>20242101345652</v>
      </c>
      <c r="B796" s="79">
        <v>202421013</v>
      </c>
      <c r="C796" s="79" t="s">
        <v>378</v>
      </c>
      <c r="D796" s="105">
        <v>45652</v>
      </c>
      <c r="E796" s="79" t="s">
        <v>199</v>
      </c>
      <c r="F796" s="79" t="s">
        <v>206</v>
      </c>
      <c r="G796" s="79"/>
      <c r="H796" s="79" t="s">
        <v>200</v>
      </c>
    </row>
    <row r="797" spans="1:8">
      <c r="A797" s="79" t="str">
        <f>LeaveData[[#This Row],[ EMP ID]]&amp;LeaveData[[#This Row],[Date]]</f>
        <v>20232001045641</v>
      </c>
      <c r="B797" s="79">
        <v>202320010</v>
      </c>
      <c r="C797" s="79" t="s">
        <v>49</v>
      </c>
      <c r="D797" s="80">
        <v>45641</v>
      </c>
      <c r="E797" s="79" t="s">
        <v>195</v>
      </c>
      <c r="F797" s="79" t="s">
        <v>118</v>
      </c>
      <c r="G797" s="79"/>
      <c r="H797" s="79" t="s">
        <v>196</v>
      </c>
    </row>
    <row r="798" spans="1:8">
      <c r="A798" s="79" t="str">
        <f>LeaveData[[#This Row],[ EMP ID]]&amp;LeaveData[[#This Row],[Date]]</f>
        <v>20241803745647</v>
      </c>
      <c r="B798" s="79">
        <v>202418037</v>
      </c>
      <c r="C798" s="79" t="s">
        <v>243</v>
      </c>
      <c r="D798" s="80">
        <v>45647</v>
      </c>
      <c r="E798" s="79" t="s">
        <v>195</v>
      </c>
      <c r="F798" s="79" t="s">
        <v>118</v>
      </c>
      <c r="G798" s="79"/>
      <c r="H798" s="79" t="s">
        <v>196</v>
      </c>
    </row>
    <row r="799" spans="1:8">
      <c r="A799" s="79" t="str">
        <f>LeaveData[[#This Row],[ EMP ID]]&amp;LeaveData[[#This Row],[Date]]</f>
        <v>20221801345644</v>
      </c>
      <c r="B799" s="79">
        <v>202218013</v>
      </c>
      <c r="C799" s="79" t="s">
        <v>85</v>
      </c>
      <c r="D799" s="80">
        <v>45644</v>
      </c>
      <c r="E799" s="79" t="s">
        <v>195</v>
      </c>
      <c r="F799" s="79" t="s">
        <v>118</v>
      </c>
      <c r="G799" s="79"/>
      <c r="H799" s="79" t="s">
        <v>196</v>
      </c>
    </row>
    <row r="800" spans="1:8">
      <c r="A800" s="79" t="str">
        <f>LeaveData[[#This Row],[ EMP ID]]&amp;LeaveData[[#This Row],[Date]]</f>
        <v>20182000145630</v>
      </c>
      <c r="B800" s="79">
        <v>201820001</v>
      </c>
      <c r="C800" s="79" t="s">
        <v>18</v>
      </c>
      <c r="D800" s="80">
        <v>45630</v>
      </c>
      <c r="E800" s="79" t="s">
        <v>13</v>
      </c>
      <c r="F800" s="79" t="s">
        <v>118</v>
      </c>
      <c r="G800" s="79"/>
      <c r="H800" s="79" t="s">
        <v>379</v>
      </c>
    </row>
    <row r="801" spans="1:8">
      <c r="A801" s="79" t="str">
        <f>LeaveData[[#This Row],[ EMP ID]]&amp;LeaveData[[#This Row],[Date]]</f>
        <v>20182000145631</v>
      </c>
      <c r="B801" s="79">
        <v>201820001</v>
      </c>
      <c r="C801" s="79" t="s">
        <v>18</v>
      </c>
      <c r="D801" s="80">
        <v>45631</v>
      </c>
      <c r="E801" s="79" t="s">
        <v>13</v>
      </c>
      <c r="F801" s="79" t="s">
        <v>118</v>
      </c>
      <c r="G801" s="79"/>
      <c r="H801" s="79" t="s">
        <v>379</v>
      </c>
    </row>
    <row r="802" spans="1:8">
      <c r="A802" s="79" t="str">
        <f>LeaveData[[#This Row],[ EMP ID]]&amp;LeaveData[[#This Row],[Date]]</f>
        <v>20231802945625</v>
      </c>
      <c r="B802" s="79">
        <v>202318029</v>
      </c>
      <c r="C802" s="79" t="s">
        <v>59</v>
      </c>
      <c r="D802" s="80">
        <v>45625</v>
      </c>
      <c r="E802" s="79" t="s">
        <v>318</v>
      </c>
      <c r="F802" s="79" t="s">
        <v>43</v>
      </c>
      <c r="G802" s="79"/>
      <c r="H802" s="79" t="s">
        <v>5</v>
      </c>
    </row>
    <row r="803" spans="1:8">
      <c r="A803" s="79" t="str">
        <f>LeaveData[[#This Row],[ EMP ID]]&amp;LeaveData[[#This Row],[Date]]</f>
        <v>20242101145632</v>
      </c>
      <c r="B803" s="79">
        <v>202421011</v>
      </c>
      <c r="C803" s="79" t="s">
        <v>309</v>
      </c>
      <c r="D803" s="80">
        <v>45632</v>
      </c>
      <c r="E803" s="79" t="s">
        <v>318</v>
      </c>
      <c r="F803" s="79" t="s">
        <v>206</v>
      </c>
      <c r="G803" s="79"/>
      <c r="H803" s="79" t="s">
        <v>380</v>
      </c>
    </row>
    <row r="804" spans="1:8">
      <c r="A804" s="79" t="str">
        <f>LeaveData[[#This Row],[ EMP ID]]&amp;LeaveData[[#This Row],[Date]]</f>
        <v>20242001745630</v>
      </c>
      <c r="B804" s="79">
        <v>202420017</v>
      </c>
      <c r="C804" s="79" t="s">
        <v>375</v>
      </c>
      <c r="D804" s="80">
        <v>45630</v>
      </c>
      <c r="E804" s="79" t="s">
        <v>318</v>
      </c>
      <c r="F804" s="79" t="s">
        <v>118</v>
      </c>
      <c r="G804" s="79"/>
      <c r="H804" s="79" t="s">
        <v>357</v>
      </c>
    </row>
    <row r="805" spans="1:8">
      <c r="A805" s="79" t="str">
        <f>LeaveData[[#This Row],[ EMP ID]]&amp;LeaveData[[#This Row],[Date]]</f>
        <v>20242001745631</v>
      </c>
      <c r="B805" s="79">
        <v>202420017</v>
      </c>
      <c r="C805" s="79" t="s">
        <v>375</v>
      </c>
      <c r="D805" s="80">
        <v>45631</v>
      </c>
      <c r="E805" s="79" t="s">
        <v>318</v>
      </c>
      <c r="F805" s="79" t="s">
        <v>118</v>
      </c>
      <c r="G805" s="79"/>
      <c r="H805" s="79" t="s">
        <v>357</v>
      </c>
    </row>
    <row r="806" spans="1:8">
      <c r="A806" s="79" t="str">
        <f>LeaveData[[#This Row],[ EMP ID]]&amp;LeaveData[[#This Row],[Date]]</f>
        <v>20231802745633</v>
      </c>
      <c r="B806" s="79">
        <v>202318027</v>
      </c>
      <c r="C806" s="79" t="s">
        <v>54</v>
      </c>
      <c r="D806" s="80">
        <v>45633</v>
      </c>
      <c r="E806" s="79" t="s">
        <v>13</v>
      </c>
      <c r="F806" s="79" t="s">
        <v>106</v>
      </c>
      <c r="G806" s="79"/>
      <c r="H806" s="79" t="s">
        <v>381</v>
      </c>
    </row>
    <row r="807" spans="1:8">
      <c r="A807" s="79" t="str">
        <f>LeaveData[[#This Row],[ EMP ID]]&amp;LeaveData[[#This Row],[Date]]</f>
        <v>20231801945624</v>
      </c>
      <c r="B807" s="79">
        <v>202318019</v>
      </c>
      <c r="C807" s="79" t="s">
        <v>89</v>
      </c>
      <c r="D807" s="80">
        <v>45624</v>
      </c>
      <c r="E807" s="79" t="s">
        <v>12</v>
      </c>
      <c r="F807" s="79" t="s">
        <v>235</v>
      </c>
      <c r="G807" s="79"/>
      <c r="H807" s="79" t="s">
        <v>5</v>
      </c>
    </row>
    <row r="808" spans="1:8">
      <c r="A808" s="79" t="str">
        <f>LeaveData[[#This Row],[ EMP ID]]&amp;LeaveData[[#This Row],[Date]]</f>
        <v>20231801745624</v>
      </c>
      <c r="B808" s="79">
        <v>202318017</v>
      </c>
      <c r="C808" s="79" t="s">
        <v>37</v>
      </c>
      <c r="D808" s="80">
        <v>45624</v>
      </c>
      <c r="E808" s="79" t="s">
        <v>12</v>
      </c>
      <c r="F808" s="79" t="s">
        <v>118</v>
      </c>
      <c r="G808" s="79"/>
      <c r="H808" s="79" t="s">
        <v>5</v>
      </c>
    </row>
    <row r="809" spans="1:8">
      <c r="A809" s="79" t="str">
        <f>LeaveData[[#This Row],[ EMP ID]]&amp;LeaveData[[#This Row],[Date]]</f>
        <v>20231801845642</v>
      </c>
      <c r="B809" s="79">
        <v>202318018</v>
      </c>
      <c r="C809" s="79" t="s">
        <v>40</v>
      </c>
      <c r="D809" s="80">
        <v>45642</v>
      </c>
      <c r="E809" s="79" t="s">
        <v>13</v>
      </c>
      <c r="F809" s="79" t="s">
        <v>125</v>
      </c>
      <c r="G809" s="79"/>
      <c r="H809" s="79" t="s">
        <v>189</v>
      </c>
    </row>
    <row r="810" spans="1:8">
      <c r="A810" s="79" t="str">
        <f>LeaveData[[#This Row],[ EMP ID]]&amp;LeaveData[[#This Row],[Date]]</f>
        <v>20231801845643</v>
      </c>
      <c r="B810" s="79">
        <v>202318018</v>
      </c>
      <c r="C810" s="79" t="s">
        <v>40</v>
      </c>
      <c r="D810" s="80">
        <v>45643</v>
      </c>
      <c r="E810" s="79" t="s">
        <v>13</v>
      </c>
      <c r="F810" s="79" t="s">
        <v>125</v>
      </c>
      <c r="G810" s="79"/>
      <c r="H810" s="79" t="s">
        <v>189</v>
      </c>
    </row>
    <row r="811" spans="1:8">
      <c r="A811" s="79" t="str">
        <f>LeaveData[[#This Row],[ EMP ID]]&amp;LeaveData[[#This Row],[Date]]</f>
        <v>20231801845644</v>
      </c>
      <c r="B811" s="79">
        <v>202318018</v>
      </c>
      <c r="C811" s="79" t="s">
        <v>40</v>
      </c>
      <c r="D811" s="80">
        <v>45644</v>
      </c>
      <c r="E811" s="79" t="s">
        <v>13</v>
      </c>
      <c r="F811" s="79" t="s">
        <v>125</v>
      </c>
      <c r="G811" s="79"/>
      <c r="H811" s="79" t="s">
        <v>189</v>
      </c>
    </row>
    <row r="812" spans="1:8">
      <c r="A812" s="79" t="str">
        <f>LeaveData[[#This Row],[ EMP ID]]&amp;LeaveData[[#This Row],[Date]]</f>
        <v>20231801845645</v>
      </c>
      <c r="B812" s="79">
        <v>202318018</v>
      </c>
      <c r="C812" s="79" t="s">
        <v>40</v>
      </c>
      <c r="D812" s="80">
        <v>45645</v>
      </c>
      <c r="E812" s="79" t="s">
        <v>13</v>
      </c>
      <c r="F812" s="79" t="s">
        <v>125</v>
      </c>
      <c r="G812" s="79"/>
      <c r="H812" s="79" t="s">
        <v>189</v>
      </c>
    </row>
    <row r="813" spans="1:8">
      <c r="A813" s="79" t="str">
        <f>LeaveData[[#This Row],[ EMP ID]]&amp;LeaveData[[#This Row],[Date]]</f>
        <v>20241803745628</v>
      </c>
      <c r="B813" s="79">
        <v>202418037</v>
      </c>
      <c r="C813" s="79" t="s">
        <v>243</v>
      </c>
      <c r="D813" s="80">
        <v>45628</v>
      </c>
      <c r="E813" s="79" t="s">
        <v>318</v>
      </c>
      <c r="F813" s="79" t="s">
        <v>118</v>
      </c>
      <c r="G813" s="79"/>
      <c r="H813" s="79" t="s">
        <v>382</v>
      </c>
    </row>
    <row r="814" spans="1:8">
      <c r="A814" s="79" t="str">
        <f>LeaveData[[#This Row],[ EMP ID]]&amp;LeaveData[[#This Row],[Date]]</f>
        <v>20241804145628</v>
      </c>
      <c r="B814" s="79">
        <v>202418041</v>
      </c>
      <c r="C814" s="79" t="s">
        <v>376</v>
      </c>
      <c r="D814" s="80">
        <v>45628</v>
      </c>
      <c r="E814" s="79" t="s">
        <v>15</v>
      </c>
      <c r="F814" s="79" t="s">
        <v>104</v>
      </c>
      <c r="G814" s="79"/>
      <c r="H814" s="79" t="s">
        <v>140</v>
      </c>
    </row>
    <row r="815" spans="1:8">
      <c r="A815" s="79" t="str">
        <f>LeaveData[[#This Row],[ EMP ID]]&amp;LeaveData[[#This Row],[Date]]</f>
        <v>20232000545630</v>
      </c>
      <c r="B815" s="79">
        <v>202320005</v>
      </c>
      <c r="C815" s="79" t="s">
        <v>38</v>
      </c>
      <c r="D815" s="80">
        <v>45630</v>
      </c>
      <c r="E815" s="79" t="s">
        <v>13</v>
      </c>
      <c r="F815" s="79" t="s">
        <v>118</v>
      </c>
      <c r="G815" s="79"/>
      <c r="H815" s="79" t="s">
        <v>383</v>
      </c>
    </row>
    <row r="816" spans="1:8">
      <c r="A816" s="79" t="str">
        <f>LeaveData[[#This Row],[ EMP ID]]&amp;LeaveData[[#This Row],[Date]]</f>
        <v>20221800945630</v>
      </c>
      <c r="B816" s="79">
        <v>202218009</v>
      </c>
      <c r="C816" s="79" t="s">
        <v>26</v>
      </c>
      <c r="D816" s="80">
        <v>45630</v>
      </c>
      <c r="E816" s="79" t="s">
        <v>13</v>
      </c>
      <c r="F816" s="79" t="s">
        <v>29</v>
      </c>
      <c r="G816" s="79"/>
      <c r="H816" s="79" t="s">
        <v>383</v>
      </c>
    </row>
    <row r="817" spans="1:8">
      <c r="A817" s="79" t="str">
        <f>LeaveData[[#This Row],[ EMP ID]]&amp;LeaveData[[#This Row],[Date]]</f>
        <v>20221800945631</v>
      </c>
      <c r="B817" s="79">
        <v>202218009</v>
      </c>
      <c r="C817" s="79" t="s">
        <v>26</v>
      </c>
      <c r="D817" s="80">
        <v>45631</v>
      </c>
      <c r="E817" s="79" t="s">
        <v>13</v>
      </c>
      <c r="F817" s="79" t="s">
        <v>29</v>
      </c>
      <c r="G817" s="79"/>
      <c r="H817" s="79" t="s">
        <v>383</v>
      </c>
    </row>
    <row r="818" spans="1:8">
      <c r="A818" s="79" t="str">
        <f>LeaveData[[#This Row],[ EMP ID]]&amp;LeaveData[[#This Row],[Date]]</f>
        <v>20242101045637</v>
      </c>
      <c r="B818" s="79">
        <v>202421010</v>
      </c>
      <c r="C818" s="79" t="s">
        <v>288</v>
      </c>
      <c r="D818" s="80">
        <v>45637</v>
      </c>
      <c r="E818" s="79" t="s">
        <v>318</v>
      </c>
      <c r="F818" s="79" t="s">
        <v>206</v>
      </c>
      <c r="G818" s="79"/>
      <c r="H818" s="90" t="s">
        <v>384</v>
      </c>
    </row>
    <row r="819" spans="1:8">
      <c r="A819" s="79" t="str">
        <f>LeaveData[[#This Row],[ EMP ID]]&amp;LeaveData[[#This Row],[Date]]</f>
        <v>20242101045638</v>
      </c>
      <c r="B819" s="79">
        <v>202421010</v>
      </c>
      <c r="C819" s="79" t="s">
        <v>288</v>
      </c>
      <c r="D819" s="80">
        <v>45638</v>
      </c>
      <c r="E819" s="79" t="s">
        <v>318</v>
      </c>
      <c r="F819" s="79" t="s">
        <v>206</v>
      </c>
      <c r="G819" s="79"/>
      <c r="H819" s="90" t="s">
        <v>385</v>
      </c>
    </row>
    <row r="820" spans="1:8">
      <c r="A820" s="79" t="str">
        <f>LeaveData[[#This Row],[ EMP ID]]&amp;LeaveData[[#This Row],[Date]]</f>
        <v>20242101045639</v>
      </c>
      <c r="B820" s="79">
        <v>202421010</v>
      </c>
      <c r="C820" s="79" t="s">
        <v>288</v>
      </c>
      <c r="D820" s="80">
        <v>45639</v>
      </c>
      <c r="E820" s="79" t="s">
        <v>318</v>
      </c>
      <c r="F820" s="79" t="s">
        <v>206</v>
      </c>
      <c r="G820" s="79"/>
      <c r="H820" s="90" t="s">
        <v>384</v>
      </c>
    </row>
    <row r="821" spans="1:8">
      <c r="A821" s="79" t="str">
        <f>LeaveData[[#This Row],[ EMP ID]]&amp;LeaveData[[#This Row],[Date]]</f>
        <v>20221801445629</v>
      </c>
      <c r="B821" s="79">
        <v>202218014</v>
      </c>
      <c r="C821" s="79" t="s">
        <v>32</v>
      </c>
      <c r="D821" s="80">
        <v>45629</v>
      </c>
      <c r="E821" s="79" t="s">
        <v>13</v>
      </c>
      <c r="F821" s="79" t="s">
        <v>125</v>
      </c>
      <c r="G821" s="79"/>
      <c r="H821" s="79"/>
    </row>
    <row r="822" spans="1:8">
      <c r="A822" s="79" t="str">
        <f>LeaveData[[#This Row],[ EMP ID]]&amp;LeaveData[[#This Row],[Date]]</f>
        <v>20221801345635</v>
      </c>
      <c r="B822" s="79">
        <v>202218013</v>
      </c>
      <c r="C822" s="79" t="s">
        <v>85</v>
      </c>
      <c r="D822" s="80">
        <v>45635</v>
      </c>
      <c r="E822" s="79" t="s">
        <v>14</v>
      </c>
      <c r="F822" s="79" t="s">
        <v>118</v>
      </c>
      <c r="G822" s="79"/>
      <c r="H822" s="79" t="s">
        <v>364</v>
      </c>
    </row>
    <row r="823" spans="1:8">
      <c r="A823" s="79" t="str">
        <f>LeaveData[[#This Row],[ EMP ID]]&amp;LeaveData[[#This Row],[Date]]</f>
        <v>20231802345632</v>
      </c>
      <c r="B823" s="79">
        <v>202318023</v>
      </c>
      <c r="C823" s="79" t="s">
        <v>148</v>
      </c>
      <c r="D823" s="80">
        <v>45632</v>
      </c>
      <c r="E823" s="79" t="s">
        <v>14</v>
      </c>
      <c r="F823" s="79" t="s">
        <v>29</v>
      </c>
      <c r="G823" s="79"/>
      <c r="H823" s="79" t="s">
        <v>386</v>
      </c>
    </row>
    <row r="824" spans="1:8">
      <c r="A824" s="79" t="str">
        <f>LeaveData[[#This Row],[ EMP ID]]&amp;LeaveData[[#This Row],[Date]]</f>
        <v>20242001545631</v>
      </c>
      <c r="B824" s="79">
        <v>202420015</v>
      </c>
      <c r="C824" s="79" t="s">
        <v>64</v>
      </c>
      <c r="D824" s="80">
        <v>45631</v>
      </c>
      <c r="E824" s="79" t="s">
        <v>12</v>
      </c>
      <c r="F824" s="79" t="s">
        <v>114</v>
      </c>
      <c r="G824" s="79"/>
      <c r="H824" s="79" t="s">
        <v>119</v>
      </c>
    </row>
    <row r="825" spans="1:8">
      <c r="A825" s="79" t="str">
        <f>LeaveData[[#This Row],[ EMP ID]]&amp;LeaveData[[#This Row],[Date]]</f>
        <v>20242100245631</v>
      </c>
      <c r="B825" s="79">
        <v>202421002</v>
      </c>
      <c r="C825" s="79" t="s">
        <v>223</v>
      </c>
      <c r="D825" s="80">
        <v>45631</v>
      </c>
      <c r="E825" s="79" t="s">
        <v>16</v>
      </c>
      <c r="F825" s="79" t="s">
        <v>206</v>
      </c>
      <c r="G825" s="79"/>
      <c r="H825" s="79" t="s">
        <v>387</v>
      </c>
    </row>
    <row r="826" spans="1:8">
      <c r="A826" s="79" t="str">
        <f>LeaveData[[#This Row],[ EMP ID]]&amp;LeaveData[[#This Row],[Date]]</f>
        <v>20231802845633</v>
      </c>
      <c r="B826" s="79">
        <v>202318028</v>
      </c>
      <c r="C826" s="79" t="s">
        <v>57</v>
      </c>
      <c r="D826" s="80">
        <v>45633</v>
      </c>
      <c r="E826" s="79" t="s">
        <v>13</v>
      </c>
      <c r="F826" s="79" t="s">
        <v>118</v>
      </c>
      <c r="G826" s="79"/>
      <c r="H826" s="79" t="s">
        <v>388</v>
      </c>
    </row>
    <row r="827" spans="1:8">
      <c r="A827" s="79" t="str">
        <f>LeaveData[[#This Row],[ EMP ID]]&amp;LeaveData[[#This Row],[Date]]</f>
        <v>20242100345635</v>
      </c>
      <c r="B827" s="79">
        <v>202421003</v>
      </c>
      <c r="C827" s="79" t="s">
        <v>205</v>
      </c>
      <c r="D827" s="80">
        <v>45635</v>
      </c>
      <c r="E827" s="79" t="s">
        <v>13</v>
      </c>
      <c r="F827" s="79" t="s">
        <v>206</v>
      </c>
      <c r="G827" s="79"/>
      <c r="H827" s="79" t="s">
        <v>187</v>
      </c>
    </row>
    <row r="828" spans="1:8">
      <c r="A828" s="79" t="str">
        <f>LeaveData[[#This Row],[ EMP ID]]&amp;LeaveData[[#This Row],[Date]]</f>
        <v>20242100345636</v>
      </c>
      <c r="B828" s="79">
        <v>202421003</v>
      </c>
      <c r="C828" s="79" t="s">
        <v>205</v>
      </c>
      <c r="D828" s="80">
        <v>45636</v>
      </c>
      <c r="E828" s="79" t="s">
        <v>16</v>
      </c>
      <c r="F828" s="79" t="s">
        <v>206</v>
      </c>
      <c r="G828" s="79"/>
      <c r="H828" s="79" t="s">
        <v>187</v>
      </c>
    </row>
    <row r="829" spans="1:8">
      <c r="A829" s="79" t="str">
        <f>LeaveData[[#This Row],[ EMP ID]]&amp;LeaveData[[#This Row],[Date]]</f>
        <v>20241803845649</v>
      </c>
      <c r="B829" s="79">
        <v>202418038</v>
      </c>
      <c r="C829" s="79" t="s">
        <v>246</v>
      </c>
      <c r="D829" s="80">
        <v>45649</v>
      </c>
      <c r="E829" s="79" t="s">
        <v>13</v>
      </c>
      <c r="F829" s="79" t="s">
        <v>125</v>
      </c>
      <c r="G829" s="79"/>
      <c r="H829" s="79" t="s">
        <v>389</v>
      </c>
    </row>
    <row r="830" spans="1:8">
      <c r="A830" s="79" t="str">
        <f>LeaveData[[#This Row],[ EMP ID]]&amp;LeaveData[[#This Row],[Date]]</f>
        <v>20241803845650</v>
      </c>
      <c r="B830" s="79">
        <v>202418038</v>
      </c>
      <c r="C830" s="79" t="s">
        <v>246</v>
      </c>
      <c r="D830" s="80">
        <v>45650</v>
      </c>
      <c r="E830" s="79" t="s">
        <v>16</v>
      </c>
      <c r="F830" s="79" t="s">
        <v>125</v>
      </c>
      <c r="G830" s="79"/>
      <c r="H830" s="79" t="s">
        <v>16</v>
      </c>
    </row>
    <row r="831" spans="1:8">
      <c r="A831" s="79" t="str">
        <f>LeaveData[[#This Row],[ EMP ID]]&amp;LeaveData[[#This Row],[Date]]</f>
        <v>20241803845651</v>
      </c>
      <c r="B831" s="79">
        <v>202418038</v>
      </c>
      <c r="C831" s="79" t="s">
        <v>246</v>
      </c>
      <c r="D831" s="80">
        <v>45651</v>
      </c>
      <c r="E831" s="79" t="s">
        <v>13</v>
      </c>
      <c r="F831" s="79" t="s">
        <v>125</v>
      </c>
      <c r="G831" s="79"/>
      <c r="H831" s="79" t="s">
        <v>389</v>
      </c>
    </row>
    <row r="832" spans="1:8">
      <c r="A832" s="79" t="str">
        <f>LeaveData[[#This Row],[ EMP ID]]&amp;LeaveData[[#This Row],[Date]]</f>
        <v>20241803845652</v>
      </c>
      <c r="B832" s="79">
        <v>202418038</v>
      </c>
      <c r="C832" s="79" t="s">
        <v>246</v>
      </c>
      <c r="D832" s="80">
        <v>45652</v>
      </c>
      <c r="E832" s="79" t="s">
        <v>13</v>
      </c>
      <c r="F832" s="79" t="s">
        <v>125</v>
      </c>
      <c r="G832" s="79"/>
      <c r="H832" s="79" t="s">
        <v>389</v>
      </c>
    </row>
    <row r="833" spans="1:8">
      <c r="A833" s="79" t="str">
        <f>LeaveData[[#This Row],[ EMP ID]]&amp;LeaveData[[#This Row],[Date]]</f>
        <v>20241803845653</v>
      </c>
      <c r="B833" s="79">
        <v>202418038</v>
      </c>
      <c r="C833" s="79" t="s">
        <v>246</v>
      </c>
      <c r="D833" s="80">
        <v>45653</v>
      </c>
      <c r="E833" s="79" t="s">
        <v>16</v>
      </c>
      <c r="F833" s="79" t="s">
        <v>125</v>
      </c>
      <c r="G833" s="79"/>
      <c r="H833" s="79" t="s">
        <v>16</v>
      </c>
    </row>
    <row r="834" spans="1:8">
      <c r="A834" s="79" t="str">
        <f>LeaveData[[#This Row],[ EMP ID]]&amp;LeaveData[[#This Row],[Date]]</f>
        <v>20241803845654</v>
      </c>
      <c r="B834" s="79">
        <v>202418038</v>
      </c>
      <c r="C834" s="79" t="s">
        <v>246</v>
      </c>
      <c r="D834" s="80">
        <v>45654</v>
      </c>
      <c r="E834" s="79" t="s">
        <v>16</v>
      </c>
      <c r="F834" s="79" t="s">
        <v>125</v>
      </c>
      <c r="G834" s="79"/>
      <c r="H834" s="79" t="s">
        <v>16</v>
      </c>
    </row>
    <row r="835" spans="1:8">
      <c r="A835" s="79" t="str">
        <f>LeaveData[[#This Row],[ EMP ID]]&amp;LeaveData[[#This Row],[Date]]</f>
        <v>20221801345643</v>
      </c>
      <c r="B835" s="79">
        <v>202218013</v>
      </c>
      <c r="C835" s="79" t="s">
        <v>85</v>
      </c>
      <c r="D835" s="80">
        <v>45643</v>
      </c>
      <c r="E835" s="79" t="s">
        <v>13</v>
      </c>
      <c r="F835" s="79" t="s">
        <v>118</v>
      </c>
      <c r="G835" s="79"/>
      <c r="H835" s="79" t="s">
        <v>390</v>
      </c>
    </row>
    <row r="836" spans="1:8">
      <c r="A836" s="79" t="str">
        <f>LeaveData[[#This Row],[ EMP ID]]&amp;LeaveData[[#This Row],[Date]]</f>
        <v>20221801045646</v>
      </c>
      <c r="B836" s="79">
        <v>202218010</v>
      </c>
      <c r="C836" s="79" t="s">
        <v>27</v>
      </c>
      <c r="D836" s="80">
        <v>45646</v>
      </c>
      <c r="E836" s="79" t="s">
        <v>14</v>
      </c>
      <c r="F836" s="79" t="s">
        <v>118</v>
      </c>
      <c r="G836" s="79"/>
      <c r="H836" s="79" t="s">
        <v>391</v>
      </c>
    </row>
    <row r="837" spans="1:8">
      <c r="A837" s="79" t="str">
        <f>LeaveData[[#This Row],[ EMP ID]]&amp;LeaveData[[#This Row],[Date]]</f>
        <v>20221801045651</v>
      </c>
      <c r="B837" s="79">
        <v>202218010</v>
      </c>
      <c r="C837" s="79" t="s">
        <v>27</v>
      </c>
      <c r="D837" s="80">
        <v>45651</v>
      </c>
      <c r="E837" s="79" t="s">
        <v>13</v>
      </c>
      <c r="F837" s="79" t="s">
        <v>118</v>
      </c>
      <c r="G837" s="79"/>
      <c r="H837" s="79" t="s">
        <v>392</v>
      </c>
    </row>
    <row r="838" spans="1:8">
      <c r="A838" s="79" t="str">
        <f>LeaveData[[#This Row],[ EMP ID]]&amp;LeaveData[[#This Row],[Date]]</f>
        <v>20221801045652</v>
      </c>
      <c r="B838" s="79">
        <v>202218010</v>
      </c>
      <c r="C838" s="79" t="s">
        <v>27</v>
      </c>
      <c r="D838" s="80">
        <v>45652</v>
      </c>
      <c r="E838" s="79" t="s">
        <v>13</v>
      </c>
      <c r="F838" s="79" t="s">
        <v>118</v>
      </c>
      <c r="G838" s="79"/>
      <c r="H838" s="79" t="s">
        <v>392</v>
      </c>
    </row>
    <row r="839" spans="1:8">
      <c r="A839" s="79" t="str">
        <f>LeaveData[[#This Row],[ EMP ID]]&amp;LeaveData[[#This Row],[Date]]</f>
        <v>20221801045658</v>
      </c>
      <c r="B839" s="79">
        <v>202218010</v>
      </c>
      <c r="C839" s="79" t="s">
        <v>27</v>
      </c>
      <c r="D839" s="80">
        <v>45658</v>
      </c>
      <c r="E839" s="79" t="s">
        <v>13</v>
      </c>
      <c r="F839" s="79" t="s">
        <v>118</v>
      </c>
      <c r="G839" s="79"/>
      <c r="H839" s="79" t="s">
        <v>392</v>
      </c>
    </row>
    <row r="840" spans="1:8">
      <c r="A840" s="79" t="str">
        <f>LeaveData[[#This Row],[ EMP ID]]&amp;LeaveData[[#This Row],[Date]]</f>
        <v>20221801045659</v>
      </c>
      <c r="B840" s="79">
        <v>202218010</v>
      </c>
      <c r="C840" s="79" t="s">
        <v>27</v>
      </c>
      <c r="D840" s="80">
        <v>45659</v>
      </c>
      <c r="E840" s="79" t="s">
        <v>13</v>
      </c>
      <c r="F840" s="79" t="s">
        <v>118</v>
      </c>
      <c r="G840" s="79"/>
      <c r="H840" s="79" t="s">
        <v>392</v>
      </c>
    </row>
    <row r="841" spans="1:8">
      <c r="A841" s="79" t="str">
        <f>LeaveData[[#This Row],[ EMP ID]]&amp;LeaveData[[#This Row],[Date]]</f>
        <v>20231802945638</v>
      </c>
      <c r="B841" s="79">
        <v>202318029</v>
      </c>
      <c r="C841" s="79" t="s">
        <v>59</v>
      </c>
      <c r="D841" s="80">
        <v>45638</v>
      </c>
      <c r="E841" s="79" t="s">
        <v>318</v>
      </c>
      <c r="F841" s="79" t="s">
        <v>43</v>
      </c>
      <c r="G841" s="79"/>
      <c r="H841" s="79" t="s">
        <v>300</v>
      </c>
    </row>
    <row r="842" spans="1:8">
      <c r="A842" s="79" t="str">
        <f>LeaveData[[#This Row],[ EMP ID]]&amp;LeaveData[[#This Row],[Date]]</f>
        <v>20231802345639</v>
      </c>
      <c r="B842" s="79">
        <v>202318023</v>
      </c>
      <c r="C842" s="79" t="s">
        <v>148</v>
      </c>
      <c r="D842" s="80">
        <v>45639</v>
      </c>
      <c r="E842" s="79" t="s">
        <v>14</v>
      </c>
      <c r="F842" s="79" t="s">
        <v>118</v>
      </c>
      <c r="G842" s="79"/>
      <c r="H842" s="79" t="s">
        <v>393</v>
      </c>
    </row>
    <row r="843" spans="1:8">
      <c r="A843" s="79" t="str">
        <f>LeaveData[[#This Row],[ EMP ID]]&amp;LeaveData[[#This Row],[Date]]</f>
        <v>20221801145639</v>
      </c>
      <c r="B843" s="79">
        <v>202218011</v>
      </c>
      <c r="C843" s="79" t="s">
        <v>28</v>
      </c>
      <c r="D843" s="80">
        <v>45639</v>
      </c>
      <c r="E843" s="79" t="s">
        <v>14</v>
      </c>
      <c r="F843" s="79" t="s">
        <v>27</v>
      </c>
      <c r="G843" s="79"/>
      <c r="H843" s="79" t="s">
        <v>116</v>
      </c>
    </row>
    <row r="844" spans="1:8">
      <c r="A844" s="79" t="str">
        <f>LeaveData[[#This Row],[ EMP ID]]&amp;LeaveData[[#This Row],[Date]]</f>
        <v>20241803645639</v>
      </c>
      <c r="B844" s="79">
        <v>202418036</v>
      </c>
      <c r="C844" s="79" t="s">
        <v>232</v>
      </c>
      <c r="D844" s="80">
        <v>45639</v>
      </c>
      <c r="E844" s="79" t="s">
        <v>318</v>
      </c>
      <c r="F844" s="79" t="s">
        <v>125</v>
      </c>
      <c r="G844" s="79"/>
      <c r="H844" s="79" t="s">
        <v>394</v>
      </c>
    </row>
    <row r="845" spans="1:8">
      <c r="A845" s="79" t="str">
        <f>LeaveData[[#This Row],[ EMP ID]]&amp;LeaveData[[#This Row],[Date]]</f>
        <v>20241804045646</v>
      </c>
      <c r="B845" s="79">
        <v>202418040</v>
      </c>
      <c r="C845" s="79" t="s">
        <v>341</v>
      </c>
      <c r="D845" s="80">
        <v>45646</v>
      </c>
      <c r="E845" s="79" t="s">
        <v>13</v>
      </c>
      <c r="F845" s="79" t="s">
        <v>114</v>
      </c>
      <c r="G845" s="79"/>
      <c r="H845" s="79" t="s">
        <v>395</v>
      </c>
    </row>
    <row r="846" spans="1:8">
      <c r="A846" s="79" t="str">
        <f>LeaveData[[#This Row],[ EMP ID]]&amp;LeaveData[[#This Row],[Date]]</f>
        <v>20241804045647</v>
      </c>
      <c r="B846" s="79">
        <v>202418040</v>
      </c>
      <c r="C846" s="79" t="s">
        <v>341</v>
      </c>
      <c r="D846" s="80">
        <v>45647</v>
      </c>
      <c r="E846" s="79" t="s">
        <v>13</v>
      </c>
      <c r="F846" s="79" t="s">
        <v>114</v>
      </c>
      <c r="G846" s="79"/>
      <c r="H846" s="79" t="s">
        <v>105</v>
      </c>
    </row>
    <row r="847" spans="1:8">
      <c r="A847" s="79" t="str">
        <f>LeaveData[[#This Row],[ EMP ID]]&amp;LeaveData[[#This Row],[Date]]</f>
        <v>20241804045649</v>
      </c>
      <c r="B847" s="79">
        <v>202418040</v>
      </c>
      <c r="C847" s="79" t="s">
        <v>341</v>
      </c>
      <c r="D847" s="80">
        <v>45649</v>
      </c>
      <c r="E847" s="79" t="s">
        <v>14</v>
      </c>
      <c r="F847" s="79" t="s">
        <v>114</v>
      </c>
      <c r="G847" s="79"/>
      <c r="H847" s="79" t="s">
        <v>395</v>
      </c>
    </row>
    <row r="848" spans="1:8">
      <c r="A848" s="79" t="str">
        <f>LeaveData[[#This Row],[ EMP ID]]&amp;LeaveData[[#This Row],[Date]]</f>
        <v>20241804045656</v>
      </c>
      <c r="B848" s="79">
        <v>202418040</v>
      </c>
      <c r="C848" s="79" t="s">
        <v>341</v>
      </c>
      <c r="D848" s="80">
        <v>45656</v>
      </c>
      <c r="E848" s="79" t="s">
        <v>13</v>
      </c>
      <c r="F848" s="79" t="s">
        <v>114</v>
      </c>
      <c r="G848" s="79"/>
      <c r="H848" s="79" t="s">
        <v>105</v>
      </c>
    </row>
    <row r="849" spans="1:8">
      <c r="A849" s="79" t="str">
        <f>LeaveData[[#This Row],[ EMP ID]]&amp;LeaveData[[#This Row],[Date]]</f>
        <v>20241803745637</v>
      </c>
      <c r="B849" s="79">
        <v>202418037</v>
      </c>
      <c r="C849" s="79" t="s">
        <v>243</v>
      </c>
      <c r="D849" s="80">
        <v>45637</v>
      </c>
      <c r="E849" s="79" t="s">
        <v>318</v>
      </c>
      <c r="F849" s="79" t="s">
        <v>118</v>
      </c>
      <c r="G849" s="79"/>
      <c r="H849" s="79" t="s">
        <v>396</v>
      </c>
    </row>
    <row r="850" spans="1:8">
      <c r="A850" s="79" t="str">
        <f>LeaveData[[#This Row],[ EMP ID]]&amp;LeaveData[[#This Row],[Date]]</f>
        <v>20241803745639</v>
      </c>
      <c r="B850" s="79">
        <v>202418037</v>
      </c>
      <c r="C850" s="79" t="s">
        <v>243</v>
      </c>
      <c r="D850" s="80">
        <v>45639</v>
      </c>
      <c r="E850" s="79" t="s">
        <v>318</v>
      </c>
      <c r="F850" s="79" t="s">
        <v>118</v>
      </c>
      <c r="G850" s="79"/>
      <c r="H850" s="79" t="s">
        <v>14</v>
      </c>
    </row>
    <row r="851" spans="1:8">
      <c r="A851" s="79" t="str">
        <f>LeaveData[[#This Row],[ EMP ID]]&amp;LeaveData[[#This Row],[Date]]</f>
        <v>20231801745643</v>
      </c>
      <c r="B851" s="79">
        <v>202318017</v>
      </c>
      <c r="C851" s="79" t="s">
        <v>37</v>
      </c>
      <c r="D851" s="80">
        <v>45643</v>
      </c>
      <c r="E851" s="79" t="s">
        <v>14</v>
      </c>
      <c r="F851" s="79" t="s">
        <v>118</v>
      </c>
      <c r="G851" s="79"/>
      <c r="H851" s="79" t="s">
        <v>397</v>
      </c>
    </row>
    <row r="852" spans="1:8">
      <c r="A852" s="79" t="str">
        <f>LeaveData[[#This Row],[ EMP ID]]&amp;LeaveData[[#This Row],[Date]]</f>
        <v>20231801745654</v>
      </c>
      <c r="B852" s="79">
        <v>202318017</v>
      </c>
      <c r="C852" s="79" t="s">
        <v>37</v>
      </c>
      <c r="D852" s="80">
        <v>45654</v>
      </c>
      <c r="E852" s="79" t="s">
        <v>13</v>
      </c>
      <c r="F852" s="79" t="s">
        <v>118</v>
      </c>
      <c r="G852" s="79"/>
      <c r="H852" s="79" t="s">
        <v>105</v>
      </c>
    </row>
    <row r="853" spans="1:8">
      <c r="A853" s="79" t="str">
        <f>LeaveData[[#This Row],[ EMP ID]]&amp;LeaveData[[#This Row],[Date]]</f>
        <v>20231801745661</v>
      </c>
      <c r="B853" s="79">
        <v>202318017</v>
      </c>
      <c r="C853" s="79" t="s">
        <v>37</v>
      </c>
      <c r="D853" s="80">
        <v>45661</v>
      </c>
      <c r="E853" s="79" t="s">
        <v>13</v>
      </c>
      <c r="F853" s="79" t="s">
        <v>118</v>
      </c>
      <c r="G853" s="79"/>
      <c r="H853" s="79" t="s">
        <v>105</v>
      </c>
    </row>
    <row r="854" spans="1:8">
      <c r="A854" s="79" t="str">
        <f>LeaveData[[#This Row],[ EMP ID]]&amp;LeaveData[[#This Row],[Date]]</f>
        <v>20242100345642</v>
      </c>
      <c r="B854" s="79">
        <v>202421003</v>
      </c>
      <c r="C854" s="79" t="s">
        <v>205</v>
      </c>
      <c r="D854" s="80">
        <v>45642</v>
      </c>
      <c r="E854" s="79" t="s">
        <v>16</v>
      </c>
      <c r="F854" s="79" t="s">
        <v>206</v>
      </c>
      <c r="G854" s="79"/>
      <c r="H854" s="79" t="s">
        <v>398</v>
      </c>
    </row>
    <row r="855" spans="1:8">
      <c r="A855" s="79" t="str">
        <f>LeaveData[[#This Row],[ EMP ID]]&amp;LeaveData[[#This Row],[Date]]</f>
        <v>20242100345637</v>
      </c>
      <c r="B855" s="79">
        <v>202421003</v>
      </c>
      <c r="C855" s="79" t="s">
        <v>205</v>
      </c>
      <c r="D855" s="80">
        <v>45637</v>
      </c>
      <c r="E855" s="79" t="s">
        <v>16</v>
      </c>
      <c r="F855" s="79" t="s">
        <v>206</v>
      </c>
      <c r="G855" s="79"/>
      <c r="H855" s="79" t="s">
        <v>187</v>
      </c>
    </row>
    <row r="856" spans="1:8">
      <c r="A856" s="79" t="str">
        <f>LeaveData[[#This Row],[ EMP ID]]&amp;LeaveData[[#This Row],[Date]]</f>
        <v>20241803645643</v>
      </c>
      <c r="B856" s="79">
        <v>202418036</v>
      </c>
      <c r="C856" s="79" t="s">
        <v>232</v>
      </c>
      <c r="D856" s="80">
        <v>45643</v>
      </c>
      <c r="E856" s="79" t="s">
        <v>14</v>
      </c>
      <c r="F856" s="79" t="s">
        <v>118</v>
      </c>
      <c r="G856" s="79"/>
      <c r="H856" s="79" t="s">
        <v>310</v>
      </c>
    </row>
    <row r="857" spans="1:8">
      <c r="A857" s="79" t="str">
        <f>LeaveData[[#This Row],[ EMP ID]]&amp;LeaveData[[#This Row],[Date]]</f>
        <v>20231802845656</v>
      </c>
      <c r="B857" s="79">
        <v>202318028</v>
      </c>
      <c r="C857" s="79" t="s">
        <v>57</v>
      </c>
      <c r="D857" s="80">
        <v>45656</v>
      </c>
      <c r="E857" s="79" t="s">
        <v>13</v>
      </c>
      <c r="F857" s="79" t="s">
        <v>118</v>
      </c>
      <c r="G857" s="79"/>
      <c r="H857" s="79" t="s">
        <v>380</v>
      </c>
    </row>
    <row r="858" spans="1:8">
      <c r="A858" s="79" t="str">
        <f>LeaveData[[#This Row],[ EMP ID]]&amp;LeaveData[[#This Row],[Date]]</f>
        <v>20231802845657</v>
      </c>
      <c r="B858" s="79">
        <v>202318028</v>
      </c>
      <c r="C858" s="79" t="s">
        <v>57</v>
      </c>
      <c r="D858" s="80">
        <v>45657</v>
      </c>
      <c r="E858" s="79" t="s">
        <v>13</v>
      </c>
      <c r="F858" s="79" t="s">
        <v>118</v>
      </c>
      <c r="G858" s="79"/>
      <c r="H858" s="79" t="s">
        <v>380</v>
      </c>
    </row>
    <row r="859" spans="1:8">
      <c r="A859" s="79" t="str">
        <f>LeaveData[[#This Row],[ EMP ID]]&amp;LeaveData[[#This Row],[Date]]</f>
        <v>20231802845658</v>
      </c>
      <c r="B859" s="79">
        <v>202318028</v>
      </c>
      <c r="C859" s="79" t="s">
        <v>57</v>
      </c>
      <c r="D859" s="80">
        <v>45658</v>
      </c>
      <c r="E859" s="79" t="s">
        <v>13</v>
      </c>
      <c r="F859" s="79" t="s">
        <v>118</v>
      </c>
      <c r="G859" s="79"/>
      <c r="H859" s="79" t="s">
        <v>380</v>
      </c>
    </row>
    <row r="860" spans="1:8">
      <c r="A860" s="79" t="str">
        <f>LeaveData[[#This Row],[ EMP ID]]&amp;LeaveData[[#This Row],[Date]]</f>
        <v>20231802845659</v>
      </c>
      <c r="B860" s="79">
        <v>202318028</v>
      </c>
      <c r="C860" s="79" t="s">
        <v>57</v>
      </c>
      <c r="D860" s="80">
        <v>45659</v>
      </c>
      <c r="E860" s="79" t="s">
        <v>13</v>
      </c>
      <c r="F860" s="79" t="s">
        <v>118</v>
      </c>
      <c r="G860" s="79"/>
      <c r="H860" s="79" t="s">
        <v>380</v>
      </c>
    </row>
    <row r="861" spans="1:8">
      <c r="A861" s="79" t="str">
        <f>LeaveData[[#This Row],[ EMP ID]]&amp;LeaveData[[#This Row],[Date]]</f>
        <v>20231802845670</v>
      </c>
      <c r="B861" s="79">
        <v>202318028</v>
      </c>
      <c r="C861" s="79" t="s">
        <v>57</v>
      </c>
      <c r="D861" s="80">
        <v>45670</v>
      </c>
      <c r="E861" s="79" t="s">
        <v>13</v>
      </c>
      <c r="F861" s="79" t="s">
        <v>118</v>
      </c>
      <c r="G861" s="79"/>
      <c r="H861" s="79" t="s">
        <v>380</v>
      </c>
    </row>
    <row r="862" spans="1:8">
      <c r="A862" s="79" t="str">
        <f>LeaveData[[#This Row],[ EMP ID]]&amp;LeaveData[[#This Row],[Date]]</f>
        <v>20231802845644</v>
      </c>
      <c r="B862" s="79">
        <v>202318028</v>
      </c>
      <c r="C862" s="79" t="s">
        <v>57</v>
      </c>
      <c r="D862" s="80">
        <v>45644</v>
      </c>
      <c r="E862" s="79" t="s">
        <v>14</v>
      </c>
      <c r="F862" s="79" t="s">
        <v>118</v>
      </c>
      <c r="G862" s="79"/>
      <c r="H862" s="79" t="s">
        <v>399</v>
      </c>
    </row>
    <row r="863" spans="1:8">
      <c r="A863" s="79" t="str">
        <f>LeaveData[[#This Row],[ EMP ID]]&amp;LeaveData[[#This Row],[Date]]</f>
        <v>20182000145646</v>
      </c>
      <c r="B863" s="79">
        <v>201820001</v>
      </c>
      <c r="C863" s="79" t="s">
        <v>18</v>
      </c>
      <c r="D863" s="80">
        <v>45646</v>
      </c>
      <c r="E863" s="79" t="s">
        <v>12</v>
      </c>
      <c r="F863" s="79" t="s">
        <v>118</v>
      </c>
      <c r="G863" s="79"/>
      <c r="H863" s="79" t="s">
        <v>5</v>
      </c>
    </row>
    <row r="864" spans="1:8">
      <c r="A864" s="79" t="str">
        <f>LeaveData[[#This Row],[ EMP ID]]&amp;LeaveData[[#This Row],[Date]]</f>
        <v>20221800945649</v>
      </c>
      <c r="B864" s="79">
        <v>202218009</v>
      </c>
      <c r="C864" s="79" t="s">
        <v>26</v>
      </c>
      <c r="D864" s="80">
        <v>45649</v>
      </c>
      <c r="E864" s="79" t="s">
        <v>12</v>
      </c>
      <c r="F864" s="79" t="s">
        <v>29</v>
      </c>
      <c r="G864" s="79"/>
      <c r="H864" s="79" t="s">
        <v>5</v>
      </c>
    </row>
    <row r="865" spans="1:8">
      <c r="A865" s="79" t="str">
        <f>LeaveData[[#This Row],[ EMP ID]]&amp;LeaveData[[#This Row],[Date]]</f>
        <v>20231802345651</v>
      </c>
      <c r="B865" s="79">
        <v>202318023</v>
      </c>
      <c r="C865" s="79" t="s">
        <v>148</v>
      </c>
      <c r="D865" s="80">
        <v>45651</v>
      </c>
      <c r="E865" s="79" t="s">
        <v>14</v>
      </c>
      <c r="F865" s="79" t="s">
        <v>118</v>
      </c>
      <c r="G865" s="79"/>
      <c r="H865" s="79" t="s">
        <v>239</v>
      </c>
    </row>
    <row r="866" spans="1:8">
      <c r="A866" s="79" t="str">
        <f>LeaveData[[#This Row],[ EMP ID]]&amp;LeaveData[[#This Row],[Date]]</f>
        <v>20231802345653</v>
      </c>
      <c r="B866" s="79">
        <v>202318023</v>
      </c>
      <c r="C866" s="79" t="s">
        <v>148</v>
      </c>
      <c r="D866" s="80">
        <v>45653</v>
      </c>
      <c r="E866" s="79" t="s">
        <v>14</v>
      </c>
      <c r="F866" s="79" t="s">
        <v>118</v>
      </c>
      <c r="G866" s="79"/>
      <c r="H866" s="79" t="s">
        <v>239</v>
      </c>
    </row>
    <row r="867" spans="1:8">
      <c r="A867" s="79" t="str">
        <f>LeaveData[[#This Row],[ EMP ID]]&amp;LeaveData[[#This Row],[Date]]</f>
        <v>20231802345654</v>
      </c>
      <c r="B867" s="79">
        <v>202318023</v>
      </c>
      <c r="C867" s="79" t="s">
        <v>148</v>
      </c>
      <c r="D867" s="80">
        <v>45654</v>
      </c>
      <c r="E867" s="79" t="s">
        <v>13</v>
      </c>
      <c r="F867" s="79" t="s">
        <v>118</v>
      </c>
      <c r="G867" s="79"/>
      <c r="H867" s="79" t="s">
        <v>239</v>
      </c>
    </row>
    <row r="868" spans="1:8">
      <c r="A868" s="79" t="str">
        <f>LeaveData[[#This Row],[ EMP ID]]&amp;LeaveData[[#This Row],[Date]]</f>
        <v>20241803545653</v>
      </c>
      <c r="B868" s="79">
        <v>202418035</v>
      </c>
      <c r="C868" s="79" t="s">
        <v>96</v>
      </c>
      <c r="D868" s="80">
        <v>45653</v>
      </c>
      <c r="E868" s="79" t="s">
        <v>13</v>
      </c>
      <c r="F868" s="79" t="s">
        <v>118</v>
      </c>
      <c r="G868" s="79"/>
      <c r="H868" s="79" t="s">
        <v>400</v>
      </c>
    </row>
    <row r="869" spans="1:8">
      <c r="A869" s="79" t="str">
        <f>LeaveData[[#This Row],[ EMP ID]]&amp;LeaveData[[#This Row],[Date]]</f>
        <v>20242101045654</v>
      </c>
      <c r="B869" s="79">
        <v>202421010</v>
      </c>
      <c r="C869" s="79" t="s">
        <v>288</v>
      </c>
      <c r="D869" s="80">
        <v>45654</v>
      </c>
      <c r="E869" s="79" t="s">
        <v>13</v>
      </c>
      <c r="F869" s="79" t="s">
        <v>206</v>
      </c>
      <c r="G869" s="79"/>
      <c r="H869" s="79" t="s">
        <v>401</v>
      </c>
    </row>
    <row r="870" spans="1:8">
      <c r="A870" s="79" t="str">
        <f>LeaveData[[#This Row],[ EMP ID]]&amp;LeaveData[[#This Row],[Date]]</f>
        <v>20241803345652</v>
      </c>
      <c r="B870" s="79">
        <v>202418033</v>
      </c>
      <c r="C870" s="79" t="s">
        <v>65</v>
      </c>
      <c r="D870" s="80">
        <v>45652</v>
      </c>
      <c r="E870" s="79" t="s">
        <v>13</v>
      </c>
      <c r="F870" s="79" t="s">
        <v>118</v>
      </c>
      <c r="G870" s="79"/>
      <c r="H870" s="79" t="s">
        <v>105</v>
      </c>
    </row>
    <row r="871" spans="1:8">
      <c r="A871" s="79" t="str">
        <f>LeaveData[[#This Row],[ EMP ID]]&amp;LeaveData[[#This Row],[Date]]</f>
        <v>20241803345653</v>
      </c>
      <c r="B871" s="79">
        <v>202418033</v>
      </c>
      <c r="C871" s="79" t="s">
        <v>65</v>
      </c>
      <c r="D871" s="80">
        <v>45653</v>
      </c>
      <c r="E871" s="79" t="s">
        <v>13</v>
      </c>
      <c r="F871" s="79" t="s">
        <v>118</v>
      </c>
      <c r="G871" s="79"/>
      <c r="H871" s="79" t="s">
        <v>105</v>
      </c>
    </row>
    <row r="872" spans="1:8">
      <c r="A872" s="79" t="str">
        <f>LeaveData[[#This Row],[ EMP ID]]&amp;LeaveData[[#This Row],[Date]]</f>
        <v>20241803345654</v>
      </c>
      <c r="B872" s="79">
        <v>202418033</v>
      </c>
      <c r="C872" s="79" t="s">
        <v>65</v>
      </c>
      <c r="D872" s="80">
        <v>45654</v>
      </c>
      <c r="E872" s="79" t="s">
        <v>13</v>
      </c>
      <c r="F872" s="79" t="s">
        <v>118</v>
      </c>
      <c r="G872" s="79"/>
      <c r="H872" s="79" t="s">
        <v>105</v>
      </c>
    </row>
    <row r="873" spans="1:8">
      <c r="A873" s="79" t="str">
        <f>LeaveData[[#This Row],[ EMP ID]]&amp;LeaveData[[#This Row],[Date]]</f>
        <v>20241804245642</v>
      </c>
      <c r="B873" s="79">
        <v>202418042</v>
      </c>
      <c r="C873" s="79" t="s">
        <v>402</v>
      </c>
      <c r="D873" s="80">
        <v>45642</v>
      </c>
      <c r="E873" s="79" t="s">
        <v>199</v>
      </c>
      <c r="F873" s="79" t="s">
        <v>114</v>
      </c>
      <c r="G873" s="79"/>
      <c r="H873" s="79" t="s">
        <v>200</v>
      </c>
    </row>
    <row r="874" spans="1:8">
      <c r="A874" s="79" t="str">
        <f>LeaveData[[#This Row],[ EMP ID]]&amp;LeaveData[[#This Row],[Date]]</f>
        <v>20251804345663</v>
      </c>
      <c r="B874" s="79">
        <v>202518043</v>
      </c>
      <c r="C874" s="79" t="s">
        <v>403</v>
      </c>
      <c r="D874" s="80">
        <v>45663</v>
      </c>
      <c r="E874" s="79" t="s">
        <v>199</v>
      </c>
      <c r="F874" s="79" t="s">
        <v>125</v>
      </c>
      <c r="G874" s="79"/>
      <c r="H874" s="79" t="s">
        <v>200</v>
      </c>
    </row>
    <row r="875" spans="1:8">
      <c r="A875" s="79" t="str">
        <f>LeaveData[[#This Row],[ EMP ID]]&amp;LeaveData[[#This Row],[Date]]</f>
        <v>20232000545639</v>
      </c>
      <c r="B875" s="79">
        <v>202320005</v>
      </c>
      <c r="C875" s="79" t="s">
        <v>38</v>
      </c>
      <c r="D875" s="80">
        <v>45639</v>
      </c>
      <c r="E875" s="79" t="s">
        <v>195</v>
      </c>
      <c r="F875" s="79" t="s">
        <v>118</v>
      </c>
      <c r="G875" s="79"/>
      <c r="H875" s="79" t="s">
        <v>196</v>
      </c>
    </row>
    <row r="876" spans="1:8">
      <c r="A876" s="79" t="str">
        <f>LeaveData[[#This Row],[ EMP ID]]&amp;LeaveData[[#This Row],[Date]]</f>
        <v>20241803645653</v>
      </c>
      <c r="B876" s="79">
        <v>202418036</v>
      </c>
      <c r="C876" s="79" t="s">
        <v>232</v>
      </c>
      <c r="D876" s="80">
        <v>45653</v>
      </c>
      <c r="E876" s="79" t="s">
        <v>12</v>
      </c>
      <c r="F876" s="79" t="s">
        <v>125</v>
      </c>
      <c r="G876" s="79"/>
      <c r="H876" s="79" t="s">
        <v>140</v>
      </c>
    </row>
    <row r="877" spans="1:8">
      <c r="A877" s="79" t="str">
        <f>LeaveData[[#This Row],[ EMP ID]]&amp;LeaveData[[#This Row],[Date]]</f>
        <v>20231802945654</v>
      </c>
      <c r="B877" s="79">
        <v>202318029</v>
      </c>
      <c r="C877" s="79" t="s">
        <v>59</v>
      </c>
      <c r="D877" s="80">
        <v>45654</v>
      </c>
      <c r="E877" s="79" t="s">
        <v>318</v>
      </c>
      <c r="F877" s="79" t="s">
        <v>43</v>
      </c>
      <c r="G877" s="79"/>
      <c r="H877" s="79" t="s">
        <v>300</v>
      </c>
    </row>
    <row r="878" spans="1:8">
      <c r="A878" s="79" t="str">
        <f>LeaveData[[#This Row],[ EMP ID]]&amp;LeaveData[[#This Row],[Date]]</f>
        <v>20231802345657</v>
      </c>
      <c r="B878" s="79">
        <v>202318023</v>
      </c>
      <c r="C878" s="79" t="s">
        <v>148</v>
      </c>
      <c r="D878" s="80">
        <v>45657</v>
      </c>
      <c r="E878" s="79" t="s">
        <v>14</v>
      </c>
      <c r="F878" s="79" t="s">
        <v>118</v>
      </c>
      <c r="G878" s="79"/>
      <c r="H878" s="79" t="s">
        <v>239</v>
      </c>
    </row>
    <row r="879" spans="1:8">
      <c r="A879" s="79" t="str">
        <f>LeaveData[[#This Row],[ EMP ID]]&amp;LeaveData[[#This Row],[Date]]</f>
        <v>20242001745657</v>
      </c>
      <c r="B879" s="79">
        <v>202420017</v>
      </c>
      <c r="C879" s="79" t="s">
        <v>375</v>
      </c>
      <c r="D879" s="80">
        <v>45657</v>
      </c>
      <c r="E879" s="79" t="s">
        <v>318</v>
      </c>
      <c r="F879" s="79" t="s">
        <v>104</v>
      </c>
      <c r="G879" s="79"/>
      <c r="H879" s="79" t="s">
        <v>5</v>
      </c>
    </row>
    <row r="880" spans="1:8">
      <c r="A880" s="79" t="str">
        <f>LeaveData[[#This Row],[ EMP ID]]&amp;LeaveData[[#This Row],[Date]]</f>
        <v>20231802045639</v>
      </c>
      <c r="B880" s="79">
        <v>202318020</v>
      </c>
      <c r="C880" s="79" t="s">
        <v>43</v>
      </c>
      <c r="D880" s="80">
        <v>45639</v>
      </c>
      <c r="E880" s="79" t="s">
        <v>154</v>
      </c>
      <c r="F880" s="79" t="s">
        <v>104</v>
      </c>
      <c r="G880" s="79"/>
      <c r="H880" s="79" t="s">
        <v>155</v>
      </c>
    </row>
    <row r="881" spans="1:8">
      <c r="A881" s="79" t="str">
        <f>LeaveData[[#This Row],[ EMP ID]]&amp;LeaveData[[#This Row],[Date]]</f>
        <v>20231802245639</v>
      </c>
      <c r="B881" s="106">
        <v>202318022</v>
      </c>
      <c r="C881" s="106" t="s">
        <v>45</v>
      </c>
      <c r="D881" s="80">
        <v>45639</v>
      </c>
      <c r="E881" s="79" t="s">
        <v>154</v>
      </c>
      <c r="F881" s="79" t="s">
        <v>118</v>
      </c>
      <c r="G881" s="79"/>
      <c r="H881" s="79" t="s">
        <v>155</v>
      </c>
    </row>
    <row r="882" spans="1:8">
      <c r="A882" s="79" t="str">
        <f>LeaveData[[#This Row],[ EMP ID]]&amp;LeaveData[[#This Row],[Date]]</f>
        <v>20231801745659</v>
      </c>
      <c r="B882" s="106">
        <v>202318017</v>
      </c>
      <c r="C882" s="106" t="s">
        <v>37</v>
      </c>
      <c r="D882" s="80">
        <v>45659</v>
      </c>
      <c r="E882" s="79" t="s">
        <v>14</v>
      </c>
      <c r="F882" s="79" t="s">
        <v>118</v>
      </c>
      <c r="G882" s="79"/>
      <c r="H882" s="79" t="s">
        <v>168</v>
      </c>
    </row>
    <row r="883" spans="1:8">
      <c r="A883" s="79" t="str">
        <f>LeaveData[[#This Row],[ EMP ID]]&amp;LeaveData[[#This Row],[Date]]</f>
        <v>20231801745660</v>
      </c>
      <c r="B883" s="106">
        <v>202318017</v>
      </c>
      <c r="C883" s="106" t="s">
        <v>37</v>
      </c>
      <c r="D883" s="80">
        <v>45660</v>
      </c>
      <c r="E883" s="79" t="s">
        <v>13</v>
      </c>
      <c r="F883" s="79" t="s">
        <v>118</v>
      </c>
      <c r="G883" s="79"/>
      <c r="H883" s="79" t="s">
        <v>168</v>
      </c>
    </row>
    <row r="884" spans="1:8">
      <c r="A884" s="79" t="str">
        <f>LeaveData[[#This Row],[ EMP ID]]&amp;LeaveData[[#This Row],[Date]]</f>
        <v>20231802145637</v>
      </c>
      <c r="B884" s="79">
        <v>202318021</v>
      </c>
      <c r="C884" s="79" t="s">
        <v>257</v>
      </c>
      <c r="D884" s="80">
        <v>45637</v>
      </c>
      <c r="E884" s="79" t="s">
        <v>195</v>
      </c>
      <c r="F884" s="79" t="s">
        <v>43</v>
      </c>
      <c r="G884" s="79"/>
      <c r="H884" s="79" t="s">
        <v>196</v>
      </c>
    </row>
    <row r="885" spans="1:8">
      <c r="A885" s="79" t="str">
        <f>LeaveData[[#This Row],[ EMP ID]]&amp;LeaveData[[#This Row],[Date]]</f>
        <v>20231802845661</v>
      </c>
      <c r="B885" s="79">
        <v>202318028</v>
      </c>
      <c r="C885" s="79" t="s">
        <v>57</v>
      </c>
      <c r="D885" s="80">
        <v>45661</v>
      </c>
      <c r="E885" s="79" t="s">
        <v>14</v>
      </c>
      <c r="F885" s="79" t="s">
        <v>118</v>
      </c>
      <c r="G885" s="79"/>
      <c r="H885" s="79" t="s">
        <v>404</v>
      </c>
    </row>
    <row r="886" spans="1:8">
      <c r="A886" s="79" t="str">
        <f>LeaveData[[#This Row],[ EMP ID]]&amp;LeaveData[[#This Row],[Date]]</f>
        <v>20241804045663</v>
      </c>
      <c r="B886" s="79">
        <v>202418040</v>
      </c>
      <c r="C886" s="79" t="s">
        <v>341</v>
      </c>
      <c r="D886" s="80">
        <v>45663</v>
      </c>
      <c r="E886" s="79" t="s">
        <v>14</v>
      </c>
      <c r="F886" s="79" t="s">
        <v>114</v>
      </c>
      <c r="G886" s="79"/>
      <c r="H886" s="79" t="s">
        <v>168</v>
      </c>
    </row>
    <row r="887" spans="1:8">
      <c r="A887" s="79" t="str">
        <f>LeaveData[[#This Row],[ EMP ID]]&amp;LeaveData[[#This Row],[Date]]</f>
        <v>20242100345663</v>
      </c>
      <c r="B887" s="79">
        <v>202421003</v>
      </c>
      <c r="C887" s="79" t="s">
        <v>205</v>
      </c>
      <c r="D887" s="80">
        <v>45663</v>
      </c>
      <c r="E887" s="79" t="s">
        <v>318</v>
      </c>
      <c r="F887" s="79" t="s">
        <v>206</v>
      </c>
      <c r="G887" s="79"/>
      <c r="H887" s="79" t="s">
        <v>405</v>
      </c>
    </row>
    <row r="888" spans="1:8">
      <c r="A888" s="79" t="str">
        <f>LeaveData[[#This Row],[ EMP ID]]&amp;LeaveData[[#This Row],[Date]]</f>
        <v>20241804145662</v>
      </c>
      <c r="B888" s="79">
        <v>202418041</v>
      </c>
      <c r="C888" s="79" t="s">
        <v>376</v>
      </c>
      <c r="D888" s="80">
        <v>45662</v>
      </c>
      <c r="E888" s="79" t="s">
        <v>406</v>
      </c>
      <c r="F888" s="79" t="s">
        <v>106</v>
      </c>
      <c r="G888" s="79"/>
      <c r="H888" s="79" t="s">
        <v>407</v>
      </c>
    </row>
    <row r="889" spans="1:8">
      <c r="A889" s="79" t="str">
        <f>LeaveData[[#This Row],[ EMP ID]]&amp;LeaveData[[#This Row],[Date]]</f>
        <v>20231802045662</v>
      </c>
      <c r="B889" s="79">
        <v>202318020</v>
      </c>
      <c r="C889" s="79" t="s">
        <v>43</v>
      </c>
      <c r="D889" s="80">
        <v>45662</v>
      </c>
      <c r="E889" s="79" t="s">
        <v>406</v>
      </c>
      <c r="F889" s="79" t="s">
        <v>106</v>
      </c>
      <c r="G889" s="79"/>
      <c r="H889" s="79" t="s">
        <v>408</v>
      </c>
    </row>
    <row r="890" spans="1:8">
      <c r="A890" s="79" t="str">
        <f>LeaveData[[#This Row],[ EMP ID]]&amp;LeaveData[[#This Row],[Date]]</f>
        <v>20231802245662</v>
      </c>
      <c r="B890" s="79">
        <v>202318022</v>
      </c>
      <c r="C890" s="79" t="s">
        <v>45</v>
      </c>
      <c r="D890" s="80">
        <v>45662</v>
      </c>
      <c r="E890" s="79" t="s">
        <v>406</v>
      </c>
      <c r="F890" s="79" t="s">
        <v>106</v>
      </c>
      <c r="G890" s="79"/>
      <c r="H890" s="79" t="s">
        <v>409</v>
      </c>
    </row>
    <row r="891" spans="1:8">
      <c r="A891" s="79" t="str">
        <f>LeaveData[[#This Row],[ EMP ID]]&amp;LeaveData[[#This Row],[Date]]</f>
        <v>20231802945664</v>
      </c>
      <c r="B891" s="79">
        <v>202318029</v>
      </c>
      <c r="C891" s="79" t="s">
        <v>59</v>
      </c>
      <c r="D891" s="80">
        <v>45664</v>
      </c>
      <c r="E891" s="79" t="s">
        <v>12</v>
      </c>
      <c r="F891" s="79" t="s">
        <v>43</v>
      </c>
      <c r="G891" s="79"/>
      <c r="H891" s="79" t="s">
        <v>5</v>
      </c>
    </row>
    <row r="892" spans="1:8">
      <c r="A892" s="79" t="str">
        <f>LeaveData[[#This Row],[ EMP ID]]&amp;LeaveData[[#This Row],[Date]]</f>
        <v>20231802945665</v>
      </c>
      <c r="B892" s="79">
        <v>202318029</v>
      </c>
      <c r="C892" s="79" t="s">
        <v>59</v>
      </c>
      <c r="D892" s="80">
        <v>45665</v>
      </c>
      <c r="E892" s="79" t="s">
        <v>195</v>
      </c>
      <c r="F892" s="79" t="s">
        <v>43</v>
      </c>
      <c r="G892" s="79"/>
      <c r="H892" s="79" t="s">
        <v>196</v>
      </c>
    </row>
    <row r="893" spans="1:8">
      <c r="A893" s="79" t="str">
        <f>LeaveData[[#This Row],[ EMP ID]]&amp;LeaveData[[#This Row],[Date]]</f>
        <v>20242100345665</v>
      </c>
      <c r="B893" s="79">
        <v>202421003</v>
      </c>
      <c r="C893" s="79" t="s">
        <v>205</v>
      </c>
      <c r="D893" s="80">
        <v>45665</v>
      </c>
      <c r="E893" s="79" t="s">
        <v>15</v>
      </c>
      <c r="F893" s="79" t="s">
        <v>206</v>
      </c>
      <c r="G893" s="79"/>
      <c r="H893" s="79" t="s">
        <v>410</v>
      </c>
    </row>
    <row r="894" spans="1:8">
      <c r="A894" s="79" t="str">
        <f>LeaveData[[#This Row],[ EMP ID]]&amp;LeaveData[[#This Row],[Date]]</f>
        <v>20221801445670</v>
      </c>
      <c r="B894" s="79">
        <v>202218014</v>
      </c>
      <c r="C894" s="79" t="s">
        <v>32</v>
      </c>
      <c r="D894" s="80">
        <v>45670</v>
      </c>
      <c r="E894" s="79" t="s">
        <v>13</v>
      </c>
      <c r="F894" s="79" t="s">
        <v>125</v>
      </c>
      <c r="G894" s="79"/>
      <c r="H894" s="79" t="s">
        <v>237</v>
      </c>
    </row>
    <row r="895" spans="1:8">
      <c r="A895" s="79" t="str">
        <f>LeaveData[[#This Row],[ EMP ID]]&amp;LeaveData[[#This Row],[Date]]</f>
        <v>20231801945661</v>
      </c>
      <c r="B895" s="79">
        <v>202318019</v>
      </c>
      <c r="C895" s="79" t="s">
        <v>89</v>
      </c>
      <c r="D895" s="80">
        <v>45661</v>
      </c>
      <c r="E895" s="79" t="s">
        <v>13</v>
      </c>
      <c r="F895" s="79" t="s">
        <v>235</v>
      </c>
      <c r="G895" s="79"/>
      <c r="H895" s="79" t="s">
        <v>116</v>
      </c>
    </row>
    <row r="896" spans="1:8">
      <c r="A896" s="79" t="str">
        <f>LeaveData[[#This Row],[ EMP ID]]&amp;LeaveData[[#This Row],[Date]]</f>
        <v>20241804245666</v>
      </c>
      <c r="B896" s="79">
        <v>202418042</v>
      </c>
      <c r="C896" s="79" t="s">
        <v>402</v>
      </c>
      <c r="D896" s="80">
        <v>45666</v>
      </c>
      <c r="E896" s="79" t="s">
        <v>15</v>
      </c>
      <c r="F896" s="79" t="s">
        <v>104</v>
      </c>
      <c r="G896" s="79"/>
      <c r="H896" s="79" t="s">
        <v>411</v>
      </c>
    </row>
    <row r="897" spans="1:8">
      <c r="A897" s="79" t="str">
        <f>LeaveData[[#This Row],[ EMP ID]]&amp;LeaveData[[#This Row],[Date]]</f>
        <v>20240100145670</v>
      </c>
      <c r="B897" s="79">
        <v>202401001</v>
      </c>
      <c r="C897" s="79" t="s">
        <v>61</v>
      </c>
      <c r="D897" s="80">
        <v>45670</v>
      </c>
      <c r="E897" s="79" t="s">
        <v>13</v>
      </c>
      <c r="F897" s="79" t="s">
        <v>43</v>
      </c>
      <c r="G897" s="79"/>
      <c r="H897" s="79" t="s">
        <v>157</v>
      </c>
    </row>
    <row r="898" spans="1:8">
      <c r="A898" s="79" t="str">
        <f>LeaveData[[#This Row],[ EMP ID]]&amp;LeaveData[[#This Row],[Date]]</f>
        <v>20231802845667</v>
      </c>
      <c r="B898" s="79">
        <v>202318028</v>
      </c>
      <c r="C898" s="79" t="s">
        <v>57</v>
      </c>
      <c r="D898" s="80">
        <v>45667</v>
      </c>
      <c r="E898" s="79" t="s">
        <v>13</v>
      </c>
      <c r="F898" s="79" t="s">
        <v>118</v>
      </c>
      <c r="G898" s="79"/>
      <c r="H898" s="79" t="s">
        <v>178</v>
      </c>
    </row>
    <row r="899" spans="1:8">
      <c r="A899" s="79" t="str">
        <f>LeaveData[[#This Row],[ EMP ID]]&amp;LeaveData[[#This Row],[Date]]</f>
        <v>20232000945670</v>
      </c>
      <c r="B899" s="79">
        <v>202320009</v>
      </c>
      <c r="C899" s="79" t="s">
        <v>143</v>
      </c>
      <c r="D899" s="80">
        <v>45670</v>
      </c>
      <c r="E899" s="79" t="s">
        <v>13</v>
      </c>
      <c r="F899" s="79" t="s">
        <v>118</v>
      </c>
      <c r="G899" s="79"/>
      <c r="H899" s="79" t="s">
        <v>116</v>
      </c>
    </row>
    <row r="900" spans="1:8">
      <c r="A900" s="79" t="str">
        <f>LeaveData[[#This Row],[ EMP ID]]&amp;LeaveData[[#This Row],[Date]]</f>
        <v>20231801945670</v>
      </c>
      <c r="B900" s="79">
        <v>202318019</v>
      </c>
      <c r="C900" s="79" t="s">
        <v>89</v>
      </c>
      <c r="D900" s="80">
        <v>45670</v>
      </c>
      <c r="E900" s="79" t="s">
        <v>13</v>
      </c>
      <c r="F900" s="79" t="s">
        <v>235</v>
      </c>
      <c r="G900" s="79"/>
      <c r="H900" s="79" t="s">
        <v>364</v>
      </c>
    </row>
    <row r="901" spans="1:8">
      <c r="A901" s="79" t="str">
        <f>LeaveData[[#This Row],[ EMP ID]]&amp;LeaveData[[#This Row],[Date]]</f>
        <v>20231801945673</v>
      </c>
      <c r="B901" s="79">
        <v>202318019</v>
      </c>
      <c r="C901" s="79" t="s">
        <v>89</v>
      </c>
      <c r="D901" s="80">
        <v>45673</v>
      </c>
      <c r="E901" s="79" t="s">
        <v>13</v>
      </c>
      <c r="F901" s="79" t="s">
        <v>235</v>
      </c>
      <c r="G901" s="79"/>
      <c r="H901" s="79" t="s">
        <v>364</v>
      </c>
    </row>
    <row r="902" spans="1:8">
      <c r="A902" s="79" t="str">
        <f>LeaveData[[#This Row],[ EMP ID]]&amp;LeaveData[[#This Row],[Date]]</f>
        <v>20231801945674</v>
      </c>
      <c r="B902" s="79">
        <v>202318019</v>
      </c>
      <c r="C902" s="79" t="s">
        <v>89</v>
      </c>
      <c r="D902" s="80">
        <v>45674</v>
      </c>
      <c r="E902" s="79" t="s">
        <v>13</v>
      </c>
      <c r="F902" s="79" t="s">
        <v>235</v>
      </c>
      <c r="G902" s="79"/>
      <c r="H902" s="79" t="s">
        <v>364</v>
      </c>
    </row>
    <row r="903" spans="1:8">
      <c r="A903" s="79" t="str">
        <f>LeaveData[[#This Row],[ EMP ID]]&amp;LeaveData[[#This Row],[Date]]</f>
        <v>20231801945675</v>
      </c>
      <c r="B903" s="79">
        <v>202318019</v>
      </c>
      <c r="C903" s="79" t="s">
        <v>89</v>
      </c>
      <c r="D903" s="80">
        <v>45675</v>
      </c>
      <c r="E903" s="79" t="s">
        <v>13</v>
      </c>
      <c r="F903" s="79" t="s">
        <v>235</v>
      </c>
      <c r="G903" s="79"/>
      <c r="H903" s="79" t="s">
        <v>364</v>
      </c>
    </row>
    <row r="904" spans="1:8">
      <c r="A904" s="79" t="str">
        <f>LeaveData[[#This Row],[ EMP ID]]&amp;LeaveData[[#This Row],[Date]]</f>
        <v>20241804245670</v>
      </c>
      <c r="B904" s="79">
        <v>202418042</v>
      </c>
      <c r="C904" s="79" t="s">
        <v>402</v>
      </c>
      <c r="D904" s="107">
        <v>45670</v>
      </c>
      <c r="E904" s="79" t="s">
        <v>12</v>
      </c>
      <c r="F904" s="79" t="s">
        <v>114</v>
      </c>
      <c r="G904" s="79"/>
      <c r="H904" s="79" t="s">
        <v>140</v>
      </c>
    </row>
    <row r="905" spans="1:8">
      <c r="A905" s="79" t="str">
        <f>LeaveData[[#This Row],[ EMP ID]]&amp;LeaveData[[#This Row],[Date]]</f>
        <v>20241804245673</v>
      </c>
      <c r="B905" s="79">
        <v>202418042</v>
      </c>
      <c r="C905" s="79" t="s">
        <v>402</v>
      </c>
      <c r="D905" s="107">
        <v>45673</v>
      </c>
      <c r="E905" s="79" t="s">
        <v>12</v>
      </c>
      <c r="F905" s="79" t="s">
        <v>114</v>
      </c>
      <c r="G905" s="79"/>
      <c r="H905" s="79" t="s">
        <v>140</v>
      </c>
    </row>
    <row r="906" spans="1:8">
      <c r="A906" s="79" t="str">
        <f>LeaveData[[#This Row],[ EMP ID]]&amp;LeaveData[[#This Row],[Date]]</f>
        <v>20241804145670</v>
      </c>
      <c r="B906" s="79">
        <v>202418041</v>
      </c>
      <c r="C906" s="79" t="s">
        <v>376</v>
      </c>
      <c r="D906" s="107">
        <v>45670</v>
      </c>
      <c r="E906" s="79" t="s">
        <v>13</v>
      </c>
      <c r="F906" s="79" t="s">
        <v>114</v>
      </c>
      <c r="G906" s="79"/>
      <c r="H906" s="79" t="s">
        <v>412</v>
      </c>
    </row>
    <row r="907" spans="1:8">
      <c r="A907" s="79" t="str">
        <f>LeaveData[[#This Row],[ EMP ID]]&amp;LeaveData[[#This Row],[Date]]</f>
        <v>20241803845670</v>
      </c>
      <c r="B907" s="79">
        <v>202418038</v>
      </c>
      <c r="C907" s="79" t="s">
        <v>246</v>
      </c>
      <c r="D907" s="80">
        <v>45670</v>
      </c>
      <c r="E907" s="79" t="s">
        <v>14</v>
      </c>
      <c r="F907" s="79" t="s">
        <v>125</v>
      </c>
      <c r="G907" s="79"/>
      <c r="H907" s="79" t="s">
        <v>116</v>
      </c>
    </row>
    <row r="908" spans="1:8">
      <c r="A908" s="79" t="str">
        <f>LeaveData[[#This Row],[ EMP ID]]&amp;LeaveData[[#This Row],[Date]]</f>
        <v>20242101145675</v>
      </c>
      <c r="B908" s="79">
        <v>202421011</v>
      </c>
      <c r="C908" s="79" t="s">
        <v>309</v>
      </c>
      <c r="D908" s="80">
        <v>45675</v>
      </c>
      <c r="E908" s="79" t="s">
        <v>13</v>
      </c>
      <c r="F908" s="79" t="s">
        <v>206</v>
      </c>
      <c r="G908" s="79"/>
      <c r="H908" s="79" t="s">
        <v>105</v>
      </c>
    </row>
    <row r="909" spans="1:8">
      <c r="A909" s="79" t="str">
        <f>LeaveData[[#This Row],[ EMP ID]]&amp;LeaveData[[#This Row],[Date]]</f>
        <v>20242101045670</v>
      </c>
      <c r="B909" s="79">
        <v>202421010</v>
      </c>
      <c r="C909" s="79" t="s">
        <v>288</v>
      </c>
      <c r="D909" s="80">
        <v>45670</v>
      </c>
      <c r="E909" s="79" t="s">
        <v>13</v>
      </c>
      <c r="F909" s="79" t="s">
        <v>206</v>
      </c>
      <c r="G909" s="79"/>
      <c r="H909" s="79" t="s">
        <v>286</v>
      </c>
    </row>
    <row r="910" spans="1:8">
      <c r="A910" s="79" t="str">
        <f>LeaveData[[#This Row],[ EMP ID]]&amp;LeaveData[[#This Row],[Date]]</f>
        <v>20241803345681</v>
      </c>
      <c r="B910" s="79">
        <v>202418033</v>
      </c>
      <c r="C910" s="79" t="s">
        <v>65</v>
      </c>
      <c r="D910" s="80">
        <v>45681</v>
      </c>
      <c r="E910" s="79" t="s">
        <v>13</v>
      </c>
      <c r="F910" s="79" t="s">
        <v>118</v>
      </c>
      <c r="G910" s="79"/>
      <c r="H910" s="79" t="s">
        <v>413</v>
      </c>
    </row>
    <row r="911" spans="1:8">
      <c r="A911" s="79" t="str">
        <f>LeaveData[[#This Row],[ EMP ID]]&amp;LeaveData[[#This Row],[Date]]</f>
        <v>20241803345682</v>
      </c>
      <c r="B911" s="79">
        <v>202418033</v>
      </c>
      <c r="C911" s="79" t="s">
        <v>65</v>
      </c>
      <c r="D911" s="80">
        <v>45682</v>
      </c>
      <c r="E911" s="79" t="s">
        <v>13</v>
      </c>
      <c r="F911" s="79" t="s">
        <v>118</v>
      </c>
      <c r="G911" s="79"/>
      <c r="H911" s="79" t="s">
        <v>413</v>
      </c>
    </row>
    <row r="912" spans="1:8">
      <c r="A912" s="79" t="str">
        <f>LeaveData[[#This Row],[ EMP ID]]&amp;LeaveData[[#This Row],[Date]]</f>
        <v>20241803345684</v>
      </c>
      <c r="B912" s="79">
        <v>202418033</v>
      </c>
      <c r="C912" s="79" t="s">
        <v>65</v>
      </c>
      <c r="D912" s="80">
        <v>45684</v>
      </c>
      <c r="E912" s="79" t="s">
        <v>13</v>
      </c>
      <c r="F912" s="79" t="s">
        <v>118</v>
      </c>
      <c r="G912" s="79"/>
      <c r="H912" s="79" t="s">
        <v>413</v>
      </c>
    </row>
    <row r="913" spans="1:8">
      <c r="A913" s="79" t="str">
        <f>LeaveData[[#This Row],[ EMP ID]]&amp;LeaveData[[#This Row],[Date]]</f>
        <v>20241803345685</v>
      </c>
      <c r="B913" s="79">
        <v>202418033</v>
      </c>
      <c r="C913" s="79" t="s">
        <v>65</v>
      </c>
      <c r="D913" s="80">
        <v>45685</v>
      </c>
      <c r="E913" s="79" t="s">
        <v>13</v>
      </c>
      <c r="F913" s="79" t="s">
        <v>118</v>
      </c>
      <c r="G913" s="79"/>
      <c r="H913" s="79" t="s">
        <v>413</v>
      </c>
    </row>
    <row r="914" spans="1:8">
      <c r="A914" s="79" t="str">
        <f>LeaveData[[#This Row],[ EMP ID]]&amp;LeaveData[[#This Row],[Date]]</f>
        <v>20241803345686</v>
      </c>
      <c r="B914" s="79">
        <v>202418033</v>
      </c>
      <c r="C914" s="79" t="s">
        <v>65</v>
      </c>
      <c r="D914" s="80">
        <v>45686</v>
      </c>
      <c r="E914" s="79" t="s">
        <v>13</v>
      </c>
      <c r="F914" s="79" t="s">
        <v>118</v>
      </c>
      <c r="G914" s="79"/>
      <c r="H914" s="79" t="s">
        <v>413</v>
      </c>
    </row>
    <row r="915" spans="1:8">
      <c r="A915" s="79" t="str">
        <f>LeaveData[[#This Row],[ EMP ID]]&amp;LeaveData[[#This Row],[Date]]</f>
        <v>20241803345687</v>
      </c>
      <c r="B915" s="79">
        <v>202418033</v>
      </c>
      <c r="C915" s="79" t="s">
        <v>65</v>
      </c>
      <c r="D915" s="80">
        <v>45687</v>
      </c>
      <c r="E915" s="79" t="s">
        <v>13</v>
      </c>
      <c r="F915" s="79" t="s">
        <v>118</v>
      </c>
      <c r="G915" s="79"/>
      <c r="H915" s="79" t="s">
        <v>413</v>
      </c>
    </row>
    <row r="916" spans="1:8">
      <c r="A916" s="79" t="str">
        <f>LeaveData[[#This Row],[ EMP ID]]&amp;LeaveData[[#This Row],[Date]]</f>
        <v>20241803345688</v>
      </c>
      <c r="B916" s="79">
        <v>202418033</v>
      </c>
      <c r="C916" s="79" t="s">
        <v>65</v>
      </c>
      <c r="D916" s="80">
        <v>45688</v>
      </c>
      <c r="E916" s="79" t="s">
        <v>13</v>
      </c>
      <c r="F916" s="79" t="s">
        <v>118</v>
      </c>
      <c r="G916" s="79"/>
      <c r="H916" s="79" t="s">
        <v>413</v>
      </c>
    </row>
    <row r="917" spans="1:8">
      <c r="A917" s="79" t="str">
        <f>LeaveData[[#This Row],[ EMP ID]]&amp;LeaveData[[#This Row],[Date]]</f>
        <v>20241803345689</v>
      </c>
      <c r="B917" s="79">
        <v>202418033</v>
      </c>
      <c r="C917" s="79" t="s">
        <v>65</v>
      </c>
      <c r="D917" s="80">
        <v>45689</v>
      </c>
      <c r="E917" s="79" t="s">
        <v>13</v>
      </c>
      <c r="F917" s="79" t="s">
        <v>118</v>
      </c>
      <c r="G917" s="79"/>
      <c r="H917" s="79" t="s">
        <v>413</v>
      </c>
    </row>
    <row r="918" spans="1:8">
      <c r="A918" s="79" t="str">
        <f>LeaveData[[#This Row],[ EMP ID]]&amp;LeaveData[[#This Row],[Date]]</f>
        <v>20231801745682</v>
      </c>
      <c r="B918" s="79">
        <v>202318017</v>
      </c>
      <c r="C918" s="79" t="s">
        <v>37</v>
      </c>
      <c r="D918" s="80">
        <v>45682</v>
      </c>
      <c r="E918" s="79" t="s">
        <v>13</v>
      </c>
      <c r="F918" s="79" t="s">
        <v>118</v>
      </c>
      <c r="G918" s="79"/>
      <c r="H918" s="79" t="s">
        <v>414</v>
      </c>
    </row>
    <row r="919" spans="1:8">
      <c r="A919" s="79" t="str">
        <f>LeaveData[[#This Row],[ EMP ID]]&amp;LeaveData[[#This Row],[Date]]</f>
        <v>20231801745683</v>
      </c>
      <c r="B919" s="79">
        <v>202318017</v>
      </c>
      <c r="C919" s="79" t="s">
        <v>37</v>
      </c>
      <c r="D919" s="80">
        <v>45683</v>
      </c>
      <c r="E919" s="79" t="s">
        <v>13</v>
      </c>
      <c r="F919" s="79" t="s">
        <v>118</v>
      </c>
      <c r="G919" s="79"/>
      <c r="H919" s="79" t="s">
        <v>414</v>
      </c>
    </row>
    <row r="920" spans="1:8">
      <c r="A920" s="79" t="str">
        <f>LeaveData[[#This Row],[ EMP ID]]&amp;LeaveData[[#This Row],[Date]]</f>
        <v>20231801745684</v>
      </c>
      <c r="B920" s="79">
        <v>202318017</v>
      </c>
      <c r="C920" s="79" t="s">
        <v>37</v>
      </c>
      <c r="D920" s="80">
        <v>45684</v>
      </c>
      <c r="E920" s="79" t="s">
        <v>13</v>
      </c>
      <c r="F920" s="79" t="s">
        <v>118</v>
      </c>
      <c r="G920" s="79"/>
      <c r="H920" s="79" t="s">
        <v>414</v>
      </c>
    </row>
    <row r="921" spans="1:8">
      <c r="A921" s="79" t="str">
        <f>LeaveData[[#This Row],[ EMP ID]]&amp;LeaveData[[#This Row],[Date]]</f>
        <v>20231801745685</v>
      </c>
      <c r="B921" s="79">
        <v>202318017</v>
      </c>
      <c r="C921" s="79" t="s">
        <v>37</v>
      </c>
      <c r="D921" s="80">
        <v>45685</v>
      </c>
      <c r="E921" s="79" t="s">
        <v>13</v>
      </c>
      <c r="F921" s="79" t="s">
        <v>118</v>
      </c>
      <c r="G921" s="79"/>
      <c r="H921" s="79" t="s">
        <v>414</v>
      </c>
    </row>
    <row r="922" spans="1:8">
      <c r="A922" s="79" t="str">
        <f>LeaveData[[#This Row],[ EMP ID]]&amp;LeaveData[[#This Row],[Date]]</f>
        <v>20231801745686</v>
      </c>
      <c r="B922" s="79">
        <v>202318017</v>
      </c>
      <c r="C922" s="79" t="s">
        <v>37</v>
      </c>
      <c r="D922" s="80">
        <v>45686</v>
      </c>
      <c r="E922" s="79" t="s">
        <v>13</v>
      </c>
      <c r="F922" s="79" t="s">
        <v>118</v>
      </c>
      <c r="G922" s="79"/>
      <c r="H922" s="79" t="s">
        <v>414</v>
      </c>
    </row>
    <row r="923" spans="1:8">
      <c r="A923" s="79" t="str">
        <f>LeaveData[[#This Row],[ EMP ID]]&amp;LeaveData[[#This Row],[Date]]</f>
        <v>20221801445679</v>
      </c>
      <c r="B923" s="79">
        <v>202218014</v>
      </c>
      <c r="C923" s="79" t="s">
        <v>32</v>
      </c>
      <c r="D923" s="80">
        <v>45679</v>
      </c>
      <c r="E923" s="79" t="s">
        <v>13</v>
      </c>
      <c r="F923" s="79" t="s">
        <v>125</v>
      </c>
      <c r="G923" s="79"/>
      <c r="H923" s="79" t="s">
        <v>105</v>
      </c>
    </row>
    <row r="924" spans="1:8">
      <c r="A924" s="79" t="str">
        <f>LeaveData[[#This Row],[ EMP ID]]&amp;LeaveData[[#This Row],[Date]]</f>
        <v>20201800645677</v>
      </c>
      <c r="B924" s="79">
        <v>202018006</v>
      </c>
      <c r="C924" s="79" t="s">
        <v>23</v>
      </c>
      <c r="D924" s="80">
        <v>45677</v>
      </c>
      <c r="E924" s="79" t="s">
        <v>13</v>
      </c>
      <c r="F924" s="79" t="s">
        <v>104</v>
      </c>
      <c r="G924" s="79"/>
      <c r="H924" s="79" t="s">
        <v>380</v>
      </c>
    </row>
    <row r="925" spans="1:8">
      <c r="A925" s="79" t="str">
        <f>LeaveData[[#This Row],[ EMP ID]]&amp;LeaveData[[#This Row],[Date]]</f>
        <v>20201800645678</v>
      </c>
      <c r="B925" s="79">
        <v>202018006</v>
      </c>
      <c r="C925" s="79" t="s">
        <v>23</v>
      </c>
      <c r="D925" s="80">
        <v>45678</v>
      </c>
      <c r="E925" s="79" t="s">
        <v>13</v>
      </c>
      <c r="F925" s="79" t="s">
        <v>104</v>
      </c>
      <c r="G925" s="79"/>
      <c r="H925" s="79" t="s">
        <v>380</v>
      </c>
    </row>
    <row r="926" spans="1:8">
      <c r="A926" s="79" t="str">
        <f>LeaveData[[#This Row],[ EMP ID]]&amp;LeaveData[[#This Row],[Date]]</f>
        <v>20221801445668</v>
      </c>
      <c r="B926" s="79">
        <v>202218014</v>
      </c>
      <c r="C926" s="79" t="s">
        <v>32</v>
      </c>
      <c r="D926" s="80">
        <v>45668</v>
      </c>
      <c r="E926" s="79" t="s">
        <v>154</v>
      </c>
      <c r="F926" s="79" t="s">
        <v>125</v>
      </c>
      <c r="G926" s="79"/>
      <c r="H926" s="79" t="s">
        <v>155</v>
      </c>
    </row>
    <row r="927" spans="1:8">
      <c r="A927" s="79" t="str">
        <f>LeaveData[[#This Row],[ EMP ID]]&amp;LeaveData[[#This Row],[Date]]</f>
        <v>20231802645670</v>
      </c>
      <c r="B927" s="79">
        <v>202318026</v>
      </c>
      <c r="C927" s="79" t="s">
        <v>53</v>
      </c>
      <c r="D927" s="80">
        <v>45670</v>
      </c>
      <c r="E927" s="79" t="s">
        <v>16</v>
      </c>
      <c r="F927" s="79" t="s">
        <v>45</v>
      </c>
      <c r="G927" s="79"/>
      <c r="H927" s="79" t="s">
        <v>415</v>
      </c>
    </row>
    <row r="928" spans="1:8">
      <c r="A928" s="79" t="str">
        <f>LeaveData[[#This Row],[ EMP ID]]&amp;LeaveData[[#This Row],[Date]]</f>
        <v>20231802645668</v>
      </c>
      <c r="B928" s="79">
        <v>202318026</v>
      </c>
      <c r="C928" s="79" t="s">
        <v>53</v>
      </c>
      <c r="D928" s="80">
        <v>45668</v>
      </c>
      <c r="E928" s="79" t="s">
        <v>154</v>
      </c>
      <c r="F928" s="79" t="s">
        <v>106</v>
      </c>
      <c r="G928" s="79"/>
      <c r="H928" s="79" t="s">
        <v>155</v>
      </c>
    </row>
    <row r="929" spans="1:8">
      <c r="A929" s="79" t="str">
        <f>LeaveData[[#This Row],[ EMP ID]]&amp;LeaveData[[#This Row],[Date]]</f>
        <v>20241803545670</v>
      </c>
      <c r="B929" s="79">
        <v>202418035</v>
      </c>
      <c r="C929" s="79" t="s">
        <v>96</v>
      </c>
      <c r="D929" s="80">
        <v>45670</v>
      </c>
      <c r="E929" s="79" t="s">
        <v>12</v>
      </c>
      <c r="F929" s="79" t="s">
        <v>118</v>
      </c>
      <c r="G929" s="79"/>
      <c r="H929" s="79" t="s">
        <v>140</v>
      </c>
    </row>
    <row r="930" spans="1:8">
      <c r="A930" s="79" t="str">
        <f>LeaveData[[#This Row],[ EMP ID]]&amp;LeaveData[[#This Row],[Date]]</f>
        <v>20241803545668</v>
      </c>
      <c r="B930" s="79">
        <v>202418035</v>
      </c>
      <c r="C930" s="79" t="s">
        <v>96</v>
      </c>
      <c r="D930" s="80">
        <v>45668</v>
      </c>
      <c r="E930" s="79" t="s">
        <v>154</v>
      </c>
      <c r="F930" s="79" t="s">
        <v>118</v>
      </c>
      <c r="G930" s="79"/>
      <c r="H930" s="79" t="s">
        <v>155</v>
      </c>
    </row>
    <row r="931" spans="1:8">
      <c r="A931" s="79" t="str">
        <f>LeaveData[[#This Row],[ EMP ID]]&amp;LeaveData[[#This Row],[Date]]</f>
        <v>20242101145307</v>
      </c>
      <c r="B931" s="79">
        <v>202421011</v>
      </c>
      <c r="C931" s="79" t="s">
        <v>309</v>
      </c>
      <c r="D931" s="80">
        <v>45307</v>
      </c>
      <c r="E931" s="79" t="s">
        <v>12</v>
      </c>
      <c r="F931" s="79" t="s">
        <v>206</v>
      </c>
      <c r="G931" s="79"/>
      <c r="H931" s="79" t="s">
        <v>416</v>
      </c>
    </row>
    <row r="932" spans="1:8">
      <c r="A932" s="79" t="str">
        <f>LeaveData[[#This Row],[ EMP ID]]&amp;LeaveData[[#This Row],[Date]]</f>
        <v>20211800745675</v>
      </c>
      <c r="B932" s="79">
        <v>202118007</v>
      </c>
      <c r="C932" s="79" t="s">
        <v>103</v>
      </c>
      <c r="D932" s="80">
        <v>45675</v>
      </c>
      <c r="E932" s="79" t="s">
        <v>14</v>
      </c>
      <c r="F932" s="79" t="s">
        <v>104</v>
      </c>
      <c r="G932" s="79"/>
      <c r="H932" s="79" t="s">
        <v>168</v>
      </c>
    </row>
    <row r="933" spans="1:8">
      <c r="A933" s="79" t="str">
        <f>LeaveData[[#This Row],[ EMP ID]]&amp;LeaveData[[#This Row],[Date]]</f>
        <v>20211800745677</v>
      </c>
      <c r="B933" s="79">
        <v>202118007</v>
      </c>
      <c r="C933" s="79" t="s">
        <v>103</v>
      </c>
      <c r="D933" s="80">
        <v>45677</v>
      </c>
      <c r="E933" s="79" t="s">
        <v>13</v>
      </c>
      <c r="F933" s="79" t="s">
        <v>104</v>
      </c>
      <c r="G933" s="79"/>
      <c r="H933" s="79" t="s">
        <v>168</v>
      </c>
    </row>
    <row r="934" spans="1:8">
      <c r="A934" s="79" t="str">
        <f>LeaveData[[#This Row],[ EMP ID]]&amp;LeaveData[[#This Row],[Date]]</f>
        <v>20211800745678</v>
      </c>
      <c r="B934" s="79">
        <v>202118007</v>
      </c>
      <c r="C934" s="79" t="s">
        <v>103</v>
      </c>
      <c r="D934" s="80">
        <v>45678</v>
      </c>
      <c r="E934" s="79" t="s">
        <v>13</v>
      </c>
      <c r="F934" s="79" t="s">
        <v>104</v>
      </c>
      <c r="G934" s="79"/>
      <c r="H934" s="79" t="s">
        <v>168</v>
      </c>
    </row>
    <row r="935" spans="1:8">
      <c r="A935" s="79" t="str">
        <f>LeaveData[[#This Row],[ EMP ID]]&amp;LeaveData[[#This Row],[Date]]</f>
        <v>20211800745684</v>
      </c>
      <c r="B935" s="79">
        <v>202118007</v>
      </c>
      <c r="C935" s="79" t="s">
        <v>103</v>
      </c>
      <c r="D935" s="80">
        <v>45684</v>
      </c>
      <c r="E935" s="79" t="s">
        <v>13</v>
      </c>
      <c r="F935" s="79" t="s">
        <v>104</v>
      </c>
      <c r="G935" s="79"/>
      <c r="H935" s="79" t="s">
        <v>168</v>
      </c>
    </row>
    <row r="936" spans="1:8">
      <c r="A936" s="79" t="str">
        <f>LeaveData[[#This Row],[ EMP ID]]&amp;LeaveData[[#This Row],[Date]]</f>
        <v>20211800745685</v>
      </c>
      <c r="B936" s="79">
        <v>202118007</v>
      </c>
      <c r="C936" s="79" t="s">
        <v>103</v>
      </c>
      <c r="D936" s="80">
        <v>45685</v>
      </c>
      <c r="E936" s="79" t="s">
        <v>13</v>
      </c>
      <c r="F936" s="79" t="s">
        <v>104</v>
      </c>
      <c r="G936" s="79"/>
      <c r="H936" s="79" t="s">
        <v>168</v>
      </c>
    </row>
    <row r="937" spans="1:8">
      <c r="A937" s="79" t="str">
        <f>LeaveData[[#This Row],[ EMP ID]]&amp;LeaveData[[#This Row],[Date]]</f>
        <v>20182000145680</v>
      </c>
      <c r="B937" s="79">
        <v>201820001</v>
      </c>
      <c r="C937" s="79" t="s">
        <v>18</v>
      </c>
      <c r="D937" s="80">
        <v>45680</v>
      </c>
      <c r="E937" s="79" t="s">
        <v>13</v>
      </c>
      <c r="F937" s="79" t="s">
        <v>118</v>
      </c>
      <c r="G937" s="79"/>
      <c r="H937" s="79" t="s">
        <v>417</v>
      </c>
    </row>
    <row r="938" spans="1:8">
      <c r="A938" s="79" t="str">
        <f>LeaveData[[#This Row],[ EMP ID]]&amp;LeaveData[[#This Row],[Date]]</f>
        <v>20182000145681</v>
      </c>
      <c r="B938" s="79">
        <v>201820001</v>
      </c>
      <c r="C938" s="79" t="s">
        <v>18</v>
      </c>
      <c r="D938" s="80">
        <v>45681</v>
      </c>
      <c r="E938" s="79" t="s">
        <v>13</v>
      </c>
      <c r="F938" s="79" t="s">
        <v>118</v>
      </c>
      <c r="G938" s="79"/>
      <c r="H938" s="79" t="s">
        <v>417</v>
      </c>
    </row>
    <row r="939" spans="1:8">
      <c r="A939" s="79" t="str">
        <f>LeaveData[[#This Row],[ EMP ID]]&amp;LeaveData[[#This Row],[Date]]</f>
        <v>20182000145682</v>
      </c>
      <c r="B939" s="79">
        <v>201820001</v>
      </c>
      <c r="C939" s="79" t="s">
        <v>18</v>
      </c>
      <c r="D939" s="80">
        <v>45682</v>
      </c>
      <c r="E939" s="79" t="s">
        <v>13</v>
      </c>
      <c r="F939" s="79" t="s">
        <v>118</v>
      </c>
      <c r="G939" s="79"/>
      <c r="H939" s="79" t="s">
        <v>417</v>
      </c>
    </row>
    <row r="940" spans="1:8">
      <c r="A940" s="79" t="str">
        <f>LeaveData[[#This Row],[ EMP ID]]&amp;LeaveData[[#This Row],[Date]]</f>
        <v>20231802545677</v>
      </c>
      <c r="B940" s="79">
        <v>202318025</v>
      </c>
      <c r="C940" s="79" t="s">
        <v>122</v>
      </c>
      <c r="D940" s="80">
        <v>45677</v>
      </c>
      <c r="E940" s="79" t="s">
        <v>13</v>
      </c>
      <c r="F940" s="79" t="s">
        <v>125</v>
      </c>
      <c r="G940" s="79"/>
      <c r="H940" s="79" t="s">
        <v>418</v>
      </c>
    </row>
    <row r="941" spans="1:8">
      <c r="A941" s="79" t="str">
        <f>LeaveData[[#This Row],[ EMP ID]]&amp;LeaveData[[#This Row],[Date]]</f>
        <v>20231802545678</v>
      </c>
      <c r="B941" s="79">
        <v>202318025</v>
      </c>
      <c r="C941" s="79" t="s">
        <v>122</v>
      </c>
      <c r="D941" s="80">
        <v>45678</v>
      </c>
      <c r="E941" s="79" t="s">
        <v>13</v>
      </c>
      <c r="F941" s="79" t="s">
        <v>125</v>
      </c>
      <c r="G941" s="79"/>
      <c r="H941" s="79" t="s">
        <v>418</v>
      </c>
    </row>
    <row r="942" spans="1:8">
      <c r="A942" s="79" t="str">
        <f>LeaveData[[#This Row],[ EMP ID]]&amp;LeaveData[[#This Row],[Date]]</f>
        <v>20231802545679</v>
      </c>
      <c r="B942" s="79">
        <v>202318025</v>
      </c>
      <c r="C942" s="79" t="s">
        <v>122</v>
      </c>
      <c r="D942" s="80">
        <v>45679</v>
      </c>
      <c r="E942" s="79" t="s">
        <v>13</v>
      </c>
      <c r="F942" s="79" t="s">
        <v>125</v>
      </c>
      <c r="G942" s="79"/>
      <c r="H942" s="79" t="s">
        <v>418</v>
      </c>
    </row>
    <row r="943" spans="1:8">
      <c r="A943" s="79" t="str">
        <f>LeaveData[[#This Row],[ EMP ID]]&amp;LeaveData[[#This Row],[Date]]</f>
        <v>20211800845675</v>
      </c>
      <c r="B943" s="79">
        <v>202118008</v>
      </c>
      <c r="C943" s="79" t="s">
        <v>25</v>
      </c>
      <c r="D943" s="80">
        <v>45675</v>
      </c>
      <c r="E943" s="79" t="s">
        <v>14</v>
      </c>
      <c r="F943" s="79" t="s">
        <v>118</v>
      </c>
      <c r="G943" s="79"/>
      <c r="H943" s="79" t="s">
        <v>419</v>
      </c>
    </row>
    <row r="944" spans="1:8">
      <c r="A944" s="79" t="str">
        <f>LeaveData[[#This Row],[ EMP ID]]&amp;LeaveData[[#This Row],[Date]]</f>
        <v>20221800945675</v>
      </c>
      <c r="B944" s="79">
        <v>202218009</v>
      </c>
      <c r="C944" s="79" t="s">
        <v>26</v>
      </c>
      <c r="D944" s="80">
        <v>45675</v>
      </c>
      <c r="E944" s="79" t="s">
        <v>13</v>
      </c>
      <c r="F944" s="79" t="s">
        <v>29</v>
      </c>
      <c r="G944" s="79"/>
      <c r="H944" s="79" t="s">
        <v>420</v>
      </c>
    </row>
    <row r="945" spans="1:8">
      <c r="A945" s="79" t="str">
        <f>LeaveData[[#This Row],[ EMP ID]]&amp;LeaveData[[#This Row],[Date]]</f>
        <v>20221801145680</v>
      </c>
      <c r="B945" s="79">
        <v>202218011</v>
      </c>
      <c r="C945" s="79" t="s">
        <v>28</v>
      </c>
      <c r="D945" s="80">
        <v>45680</v>
      </c>
      <c r="E945" s="79" t="s">
        <v>13</v>
      </c>
      <c r="F945" s="79" t="s">
        <v>27</v>
      </c>
      <c r="G945" s="79"/>
      <c r="H945" s="79" t="s">
        <v>419</v>
      </c>
    </row>
    <row r="946" spans="1:8">
      <c r="A946" s="79" t="str">
        <f>LeaveData[[#This Row],[ EMP ID]]&amp;LeaveData[[#This Row],[Date]]</f>
        <v>20221801145681</v>
      </c>
      <c r="B946" s="79">
        <v>202218011</v>
      </c>
      <c r="C946" s="79" t="s">
        <v>28</v>
      </c>
      <c r="D946" s="80">
        <v>45681</v>
      </c>
      <c r="E946" s="79" t="s">
        <v>13</v>
      </c>
      <c r="F946" s="79" t="s">
        <v>27</v>
      </c>
      <c r="G946" s="79"/>
      <c r="H946" s="79" t="s">
        <v>419</v>
      </c>
    </row>
    <row r="947" spans="1:8">
      <c r="A947" s="79" t="str">
        <f>LeaveData[[#This Row],[ EMP ID]]&amp;LeaveData[[#This Row],[Date]]</f>
        <v>20221801245675</v>
      </c>
      <c r="B947" s="79">
        <v>202218012</v>
      </c>
      <c r="C947" s="79" t="s">
        <v>29</v>
      </c>
      <c r="D947" s="80">
        <v>45675</v>
      </c>
      <c r="E947" s="79" t="s">
        <v>15</v>
      </c>
      <c r="F947" s="79" t="s">
        <v>118</v>
      </c>
      <c r="G947" s="79"/>
      <c r="H947" s="79" t="s">
        <v>416</v>
      </c>
    </row>
    <row r="948" spans="1:8">
      <c r="A948" s="79" t="str">
        <f>LeaveData[[#This Row],[ EMP ID]]&amp;LeaveData[[#This Row],[Date]]</f>
        <v>20231802345682</v>
      </c>
      <c r="B948" s="79">
        <v>202318023</v>
      </c>
      <c r="C948" s="79" t="s">
        <v>148</v>
      </c>
      <c r="D948" s="80">
        <v>45682</v>
      </c>
      <c r="E948" s="79" t="s">
        <v>13</v>
      </c>
      <c r="F948" s="79" t="s">
        <v>118</v>
      </c>
      <c r="G948" s="79"/>
      <c r="H948" s="79" t="s">
        <v>421</v>
      </c>
    </row>
    <row r="949" spans="1:8">
      <c r="A949" s="79" t="str">
        <f>LeaveData[[#This Row],[ EMP ID]]&amp;LeaveData[[#This Row],[Date]]</f>
        <v>20231802045668</v>
      </c>
      <c r="B949" s="79">
        <v>202318020</v>
      </c>
      <c r="C949" s="79" t="s">
        <v>43</v>
      </c>
      <c r="D949" s="80">
        <v>45668</v>
      </c>
      <c r="E949" s="79" t="s">
        <v>154</v>
      </c>
      <c r="F949" s="79" t="s">
        <v>106</v>
      </c>
      <c r="G949" s="79"/>
      <c r="H949" s="79" t="s">
        <v>155</v>
      </c>
    </row>
    <row r="950" spans="1:8">
      <c r="A950" s="79" t="str">
        <f>LeaveData[[#This Row],[ EMP ID]]&amp;LeaveData[[#This Row],[Date]]</f>
        <v>20231802045669</v>
      </c>
      <c r="B950" s="79">
        <v>202318020</v>
      </c>
      <c r="C950" s="79" t="s">
        <v>43</v>
      </c>
      <c r="D950" s="80">
        <v>45669</v>
      </c>
      <c r="E950" s="79" t="s">
        <v>406</v>
      </c>
      <c r="F950" s="79" t="s">
        <v>106</v>
      </c>
      <c r="G950" s="79"/>
      <c r="H950" s="79" t="s">
        <v>422</v>
      </c>
    </row>
    <row r="951" spans="1:8">
      <c r="A951" s="79" t="str">
        <f>LeaveData[[#This Row],[ EMP ID]]&amp;LeaveData[[#This Row],[Date]]</f>
        <v>20231802045671</v>
      </c>
      <c r="B951" s="79">
        <v>202318020</v>
      </c>
      <c r="C951" s="79" t="s">
        <v>43</v>
      </c>
      <c r="D951" s="80">
        <v>45671</v>
      </c>
      <c r="E951" s="79" t="s">
        <v>406</v>
      </c>
      <c r="F951" s="79" t="s">
        <v>106</v>
      </c>
      <c r="G951" s="79"/>
      <c r="H951" s="79" t="s">
        <v>423</v>
      </c>
    </row>
    <row r="952" spans="1:8">
      <c r="A952" s="79" t="str">
        <f>LeaveData[[#This Row],[ EMP ID]]&amp;LeaveData[[#This Row],[Date]]</f>
        <v>20231802045672</v>
      </c>
      <c r="B952" s="79">
        <v>202318020</v>
      </c>
      <c r="C952" s="79" t="s">
        <v>43</v>
      </c>
      <c r="D952" s="80">
        <v>45672</v>
      </c>
      <c r="E952" s="79" t="s">
        <v>406</v>
      </c>
      <c r="F952" s="79" t="s">
        <v>106</v>
      </c>
      <c r="G952" s="79"/>
      <c r="H952" s="79" t="s">
        <v>423</v>
      </c>
    </row>
    <row r="953" spans="1:8">
      <c r="A953" s="79" t="str">
        <f>LeaveData[[#This Row],[ EMP ID]]&amp;LeaveData[[#This Row],[Date]]</f>
        <v>20231802245668</v>
      </c>
      <c r="B953" s="79">
        <v>202318022</v>
      </c>
      <c r="C953" s="79" t="s">
        <v>45</v>
      </c>
      <c r="D953" s="80">
        <v>45668</v>
      </c>
      <c r="E953" s="79" t="s">
        <v>154</v>
      </c>
      <c r="F953" s="79" t="s">
        <v>118</v>
      </c>
      <c r="G953" s="79"/>
      <c r="H953" s="79" t="s">
        <v>155</v>
      </c>
    </row>
    <row r="954" spans="1:8">
      <c r="A954" s="79" t="str">
        <f>LeaveData[[#This Row],[ EMP ID]]&amp;LeaveData[[#This Row],[Date]]</f>
        <v>20231802245669</v>
      </c>
      <c r="B954" s="79">
        <v>202318022</v>
      </c>
      <c r="C954" s="79" t="s">
        <v>45</v>
      </c>
      <c r="D954" s="80">
        <v>45669</v>
      </c>
      <c r="E954" s="79" t="s">
        <v>406</v>
      </c>
      <c r="F954" s="79" t="s">
        <v>118</v>
      </c>
      <c r="G954" s="79"/>
      <c r="H954" s="79" t="s">
        <v>422</v>
      </c>
    </row>
    <row r="955" spans="1:8">
      <c r="A955" s="79" t="str">
        <f>LeaveData[[#This Row],[ EMP ID]]&amp;LeaveData[[#This Row],[Date]]</f>
        <v>20231802245671</v>
      </c>
      <c r="B955" s="79">
        <v>202318022</v>
      </c>
      <c r="C955" s="79" t="s">
        <v>45</v>
      </c>
      <c r="D955" s="80">
        <v>45671</v>
      </c>
      <c r="E955" s="79" t="s">
        <v>406</v>
      </c>
      <c r="F955" s="79" t="s">
        <v>118</v>
      </c>
      <c r="G955" s="79"/>
      <c r="H955" s="79" t="s">
        <v>423</v>
      </c>
    </row>
    <row r="956" spans="1:8">
      <c r="A956" s="79" t="str">
        <f>LeaveData[[#This Row],[ EMP ID]]&amp;LeaveData[[#This Row],[Date]]</f>
        <v>20231802245672</v>
      </c>
      <c r="B956" s="79">
        <v>202318022</v>
      </c>
      <c r="C956" s="79" t="s">
        <v>45</v>
      </c>
      <c r="D956" s="80">
        <v>45672</v>
      </c>
      <c r="E956" s="79" t="s">
        <v>406</v>
      </c>
      <c r="F956" s="79" t="s">
        <v>118</v>
      </c>
      <c r="G956" s="79"/>
      <c r="H956" s="79" t="s">
        <v>423</v>
      </c>
    </row>
    <row r="957" spans="1:8">
      <c r="A957" s="79" t="str">
        <f>LeaveData[[#This Row],[ EMP ID]]&amp;LeaveData[[#This Row],[Date]]</f>
        <v>20242100345677</v>
      </c>
      <c r="B957" s="79">
        <v>202421003</v>
      </c>
      <c r="C957" s="79" t="s">
        <v>205</v>
      </c>
      <c r="D957" s="80">
        <v>45677</v>
      </c>
      <c r="E957" s="79" t="s">
        <v>318</v>
      </c>
      <c r="F957" s="79" t="s">
        <v>206</v>
      </c>
      <c r="G957" s="79"/>
      <c r="H957" s="79" t="s">
        <v>424</v>
      </c>
    </row>
    <row r="958" spans="1:8">
      <c r="A958" s="79" t="str">
        <f>LeaveData[[#This Row],[ EMP ID]]&amp;LeaveData[[#This Row],[Date]]</f>
        <v>20241803845688</v>
      </c>
      <c r="B958" s="79">
        <v>202418038</v>
      </c>
      <c r="C958" s="79" t="s">
        <v>246</v>
      </c>
      <c r="D958" s="80">
        <v>45688</v>
      </c>
      <c r="E958" s="79" t="s">
        <v>16</v>
      </c>
      <c r="F958" s="79" t="s">
        <v>125</v>
      </c>
      <c r="G958" s="79"/>
      <c r="H958" s="79" t="s">
        <v>425</v>
      </c>
    </row>
    <row r="959" spans="1:8">
      <c r="A959" s="79" t="str">
        <f>LeaveData[[#This Row],[ EMP ID]]&amp;LeaveData[[#This Row],[Date]]</f>
        <v>20241803845689</v>
      </c>
      <c r="B959" s="79">
        <v>202418038</v>
      </c>
      <c r="C959" s="79" t="s">
        <v>246</v>
      </c>
      <c r="D959" s="80">
        <v>45689</v>
      </c>
      <c r="E959" s="79" t="s">
        <v>16</v>
      </c>
      <c r="F959" s="79" t="s">
        <v>125</v>
      </c>
      <c r="G959" s="79"/>
      <c r="H959" s="79" t="s">
        <v>425</v>
      </c>
    </row>
    <row r="960" spans="1:8">
      <c r="A960" s="79" t="str">
        <f>LeaveData[[#This Row],[ EMP ID]]&amp;LeaveData[[#This Row],[Date]]</f>
        <v>20231802345681</v>
      </c>
      <c r="B960" s="79">
        <v>202318023</v>
      </c>
      <c r="C960" s="79" t="s">
        <v>148</v>
      </c>
      <c r="D960" s="80">
        <v>45681</v>
      </c>
      <c r="E960" s="79" t="s">
        <v>14</v>
      </c>
      <c r="F960" s="79" t="s">
        <v>118</v>
      </c>
      <c r="G960" s="79"/>
      <c r="H960" s="79" t="s">
        <v>426</v>
      </c>
    </row>
    <row r="961" spans="1:8">
      <c r="A961" s="79" t="str">
        <f>LeaveData[[#This Row],[ EMP ID]]&amp;LeaveData[[#This Row],[Date]]</f>
        <v>20241804045679</v>
      </c>
      <c r="B961" s="79">
        <v>202418040</v>
      </c>
      <c r="C961" s="79" t="s">
        <v>341</v>
      </c>
      <c r="D961" s="80">
        <v>45679</v>
      </c>
      <c r="E961" s="79" t="s">
        <v>12</v>
      </c>
      <c r="F961" s="79" t="s">
        <v>114</v>
      </c>
      <c r="G961" s="79"/>
      <c r="H961" s="79" t="s">
        <v>427</v>
      </c>
    </row>
    <row r="962" spans="1:8">
      <c r="A962" s="79" t="str">
        <f>LeaveData[[#This Row],[ EMP ID]]&amp;LeaveData[[#This Row],[Date]]</f>
        <v>20242101045682</v>
      </c>
      <c r="B962" s="79">
        <v>202421010</v>
      </c>
      <c r="C962" s="79" t="s">
        <v>288</v>
      </c>
      <c r="D962" s="80">
        <v>45682</v>
      </c>
      <c r="E962" s="79" t="s">
        <v>12</v>
      </c>
      <c r="F962" s="79" t="s">
        <v>206</v>
      </c>
      <c r="G962" s="79"/>
      <c r="H962" s="79" t="s">
        <v>428</v>
      </c>
    </row>
    <row r="963" spans="1:8">
      <c r="A963" s="79" t="str">
        <f>LeaveData[[#This Row],[ EMP ID]]&amp;LeaveData[[#This Row],[Date]]</f>
        <v>20231801945681</v>
      </c>
      <c r="B963" s="79">
        <v>202318019</v>
      </c>
      <c r="C963" s="79" t="s">
        <v>89</v>
      </c>
      <c r="D963" s="80">
        <v>45681</v>
      </c>
      <c r="E963" s="79" t="s">
        <v>12</v>
      </c>
      <c r="F963" s="79" t="s">
        <v>235</v>
      </c>
      <c r="G963" s="79"/>
      <c r="H963" s="79" t="s">
        <v>119</v>
      </c>
    </row>
    <row r="964" spans="1:8">
      <c r="A964" s="79" t="str">
        <f>LeaveData[[#This Row],[ EMP ID]]&amp;LeaveData[[#This Row],[Date]]</f>
        <v>20231801945682</v>
      </c>
      <c r="B964" s="79">
        <v>202318019</v>
      </c>
      <c r="C964" s="79" t="s">
        <v>89</v>
      </c>
      <c r="D964" s="80">
        <v>45682</v>
      </c>
      <c r="E964" s="79" t="s">
        <v>12</v>
      </c>
      <c r="F964" s="79" t="s">
        <v>235</v>
      </c>
      <c r="G964" s="79"/>
      <c r="H964" s="79" t="s">
        <v>119</v>
      </c>
    </row>
    <row r="965" spans="1:8">
      <c r="A965" s="79" t="str">
        <f>LeaveData[[#This Row],[ EMP ID]]&amp;LeaveData[[#This Row],[Date]]</f>
        <v>20231802045682</v>
      </c>
      <c r="B965" s="79">
        <v>202318020</v>
      </c>
      <c r="C965" s="79" t="s">
        <v>43</v>
      </c>
      <c r="D965" s="80">
        <v>45682</v>
      </c>
      <c r="E965" s="79" t="s">
        <v>16</v>
      </c>
      <c r="F965" s="79" t="s">
        <v>104</v>
      </c>
      <c r="G965" s="79"/>
      <c r="H965" s="79" t="s">
        <v>429</v>
      </c>
    </row>
    <row r="966" spans="1:8">
      <c r="A966" s="79" t="str">
        <f>LeaveData[[#This Row],[ EMP ID]]&amp;LeaveData[[#This Row],[Date]]</f>
        <v>20231802045683</v>
      </c>
      <c r="B966" s="79">
        <v>202318020</v>
      </c>
      <c r="C966" s="79" t="s">
        <v>43</v>
      </c>
      <c r="D966" s="80">
        <v>45683</v>
      </c>
      <c r="E966" s="79" t="s">
        <v>406</v>
      </c>
      <c r="F966" s="79" t="s">
        <v>106</v>
      </c>
      <c r="G966" s="79"/>
      <c r="H966" s="79" t="s">
        <v>422</v>
      </c>
    </row>
    <row r="967" spans="1:8">
      <c r="A967" s="79" t="str">
        <f>LeaveData[[#This Row],[ EMP ID]]&amp;LeaveData[[#This Row],[Date]]</f>
        <v>20231802245683</v>
      </c>
      <c r="B967" s="79">
        <v>202318022</v>
      </c>
      <c r="C967" s="79" t="s">
        <v>45</v>
      </c>
      <c r="D967" s="80">
        <v>45683</v>
      </c>
      <c r="E967" s="79" t="s">
        <v>406</v>
      </c>
      <c r="F967" s="79" t="s">
        <v>118</v>
      </c>
      <c r="G967" s="79"/>
      <c r="H967" s="79" t="s">
        <v>430</v>
      </c>
    </row>
    <row r="968" spans="1:8">
      <c r="A968" s="79" t="str">
        <f>LeaveData[[#This Row],[ EMP ID]]&amp;LeaveData[[#This Row],[Date]]</f>
        <v>20242101145692</v>
      </c>
      <c r="B968" s="79">
        <v>202421011</v>
      </c>
      <c r="C968" s="79" t="s">
        <v>309</v>
      </c>
      <c r="D968" s="80">
        <v>45692</v>
      </c>
      <c r="E968" s="79" t="s">
        <v>13</v>
      </c>
      <c r="F968" s="79" t="s">
        <v>206</v>
      </c>
      <c r="G968" s="79"/>
      <c r="H968" s="79" t="s">
        <v>431</v>
      </c>
    </row>
    <row r="969" spans="1:8">
      <c r="A969" s="79" t="str">
        <f>LeaveData[[#This Row],[ EMP ID]]&amp;LeaveData[[#This Row],[Date]]</f>
        <v>20242101145693</v>
      </c>
      <c r="B969" s="79">
        <v>202421011</v>
      </c>
      <c r="C969" s="79" t="s">
        <v>309</v>
      </c>
      <c r="D969" s="80">
        <v>45693</v>
      </c>
      <c r="E969" s="79" t="s">
        <v>13</v>
      </c>
      <c r="F969" s="79" t="s">
        <v>206</v>
      </c>
      <c r="G969" s="79"/>
      <c r="H969" s="79" t="s">
        <v>431</v>
      </c>
    </row>
    <row r="970" spans="1:8">
      <c r="A970" s="79" t="str">
        <f>LeaveData[[#This Row],[ EMP ID]]&amp;LeaveData[[#This Row],[Date]]</f>
        <v>20242101145694</v>
      </c>
      <c r="B970" s="79">
        <v>202421011</v>
      </c>
      <c r="C970" s="79" t="s">
        <v>309</v>
      </c>
      <c r="D970" s="80">
        <v>45694</v>
      </c>
      <c r="E970" s="79" t="s">
        <v>13</v>
      </c>
      <c r="F970" s="79" t="s">
        <v>206</v>
      </c>
      <c r="G970" s="79"/>
      <c r="H970" s="79" t="s">
        <v>431</v>
      </c>
    </row>
    <row r="971" spans="1:8">
      <c r="A971" s="79" t="str">
        <f>LeaveData[[#This Row],[ EMP ID]]&amp;LeaveData[[#This Row],[Date]]</f>
        <v>20242101145695</v>
      </c>
      <c r="B971" s="79">
        <v>202421011</v>
      </c>
      <c r="C971" s="79" t="s">
        <v>309</v>
      </c>
      <c r="D971" s="80">
        <v>45695</v>
      </c>
      <c r="E971" s="79" t="s">
        <v>13</v>
      </c>
      <c r="F971" s="79" t="s">
        <v>206</v>
      </c>
      <c r="G971" s="79"/>
      <c r="H971" s="79" t="s">
        <v>431</v>
      </c>
    </row>
    <row r="972" spans="1:8">
      <c r="A972" s="79" t="str">
        <f>LeaveData[[#This Row],[ EMP ID]]&amp;LeaveData[[#This Row],[Date]]</f>
        <v>20211800845693</v>
      </c>
      <c r="B972" s="79">
        <v>202118008</v>
      </c>
      <c r="C972" s="79" t="s">
        <v>25</v>
      </c>
      <c r="D972" s="80">
        <v>45693</v>
      </c>
      <c r="E972" s="79" t="s">
        <v>13</v>
      </c>
      <c r="F972" s="79" t="s">
        <v>118</v>
      </c>
      <c r="G972" s="79"/>
      <c r="H972" s="79" t="s">
        <v>432</v>
      </c>
    </row>
    <row r="973" spans="1:8">
      <c r="A973" s="79" t="str">
        <f>LeaveData[[#This Row],[ EMP ID]]&amp;LeaveData[[#This Row],[Date]]</f>
        <v>20211800845694</v>
      </c>
      <c r="B973" s="79">
        <v>202118008</v>
      </c>
      <c r="C973" s="79" t="s">
        <v>25</v>
      </c>
      <c r="D973" s="80">
        <v>45694</v>
      </c>
      <c r="E973" s="79" t="s">
        <v>13</v>
      </c>
      <c r="F973" s="79" t="s">
        <v>118</v>
      </c>
      <c r="G973" s="79"/>
      <c r="H973" s="79" t="s">
        <v>432</v>
      </c>
    </row>
    <row r="974" spans="1:8">
      <c r="A974" s="79" t="str">
        <f>LeaveData[[#This Row],[ EMP ID]]&amp;LeaveData[[#This Row],[Date]]</f>
        <v>20211800845695</v>
      </c>
      <c r="B974" s="79">
        <v>202118008</v>
      </c>
      <c r="C974" s="79" t="s">
        <v>25</v>
      </c>
      <c r="D974" s="80">
        <v>45695</v>
      </c>
      <c r="E974" s="79" t="s">
        <v>13</v>
      </c>
      <c r="F974" s="79" t="s">
        <v>118</v>
      </c>
      <c r="G974" s="79"/>
      <c r="H974" s="79" t="s">
        <v>432</v>
      </c>
    </row>
    <row r="975" spans="1:8">
      <c r="A975" s="79" t="str">
        <f>LeaveData[[#This Row],[ EMP ID]]&amp;LeaveData[[#This Row],[Date]]</f>
        <v>20242001745687</v>
      </c>
      <c r="B975" s="79">
        <v>202420017</v>
      </c>
      <c r="C975" s="79" t="s">
        <v>375</v>
      </c>
      <c r="D975" s="80">
        <v>45687</v>
      </c>
      <c r="E975" s="79" t="s">
        <v>12</v>
      </c>
      <c r="F975" s="79" t="s">
        <v>104</v>
      </c>
      <c r="G975" s="79"/>
      <c r="H975" s="79" t="s">
        <v>253</v>
      </c>
    </row>
    <row r="976" spans="1:8">
      <c r="A976" s="79" t="str">
        <f>LeaveData[[#This Row],[ EMP ID]]&amp;LeaveData[[#This Row],[Date]]</f>
        <v>20242001745710</v>
      </c>
      <c r="B976" s="79">
        <v>202420017</v>
      </c>
      <c r="C976" s="79" t="s">
        <v>375</v>
      </c>
      <c r="D976" s="80">
        <v>45710</v>
      </c>
      <c r="E976" s="79" t="s">
        <v>13</v>
      </c>
      <c r="F976" s="79" t="s">
        <v>104</v>
      </c>
      <c r="G976" s="79"/>
      <c r="H976" s="79" t="s">
        <v>380</v>
      </c>
    </row>
    <row r="977" spans="1:8">
      <c r="A977" s="79" t="str">
        <f>LeaveData[[#This Row],[ EMP ID]]&amp;LeaveData[[#This Row],[Date]]</f>
        <v>20242001745713</v>
      </c>
      <c r="B977" s="79">
        <v>202420017</v>
      </c>
      <c r="C977" s="79" t="s">
        <v>375</v>
      </c>
      <c r="D977" s="80">
        <v>45713</v>
      </c>
      <c r="E977" s="79" t="s">
        <v>13</v>
      </c>
      <c r="F977" s="79" t="s">
        <v>104</v>
      </c>
      <c r="G977" s="79"/>
      <c r="H977" s="79" t="s">
        <v>380</v>
      </c>
    </row>
    <row r="978" spans="1:8">
      <c r="A978" s="79" t="str">
        <f>LeaveData[[#This Row],[ EMP ID]]&amp;LeaveData[[#This Row],[Date]]</f>
        <v>20242001745716</v>
      </c>
      <c r="B978" s="79">
        <v>202420017</v>
      </c>
      <c r="C978" s="79" t="s">
        <v>375</v>
      </c>
      <c r="D978" s="80">
        <v>45716</v>
      </c>
      <c r="E978" s="79" t="s">
        <v>13</v>
      </c>
      <c r="F978" s="79" t="s">
        <v>104</v>
      </c>
      <c r="G978" s="79"/>
      <c r="H978" s="79" t="s">
        <v>380</v>
      </c>
    </row>
    <row r="979" spans="1:8">
      <c r="A979" s="79" t="str">
        <f>LeaveData[[#This Row],[ EMP ID]]&amp;LeaveData[[#This Row],[Date]]</f>
        <v>20251804445673</v>
      </c>
      <c r="B979" s="79">
        <v>202518044</v>
      </c>
      <c r="C979" s="79" t="s">
        <v>433</v>
      </c>
      <c r="D979" s="80">
        <v>45673</v>
      </c>
      <c r="E979" s="79" t="s">
        <v>199</v>
      </c>
      <c r="F979" s="79" t="s">
        <v>104</v>
      </c>
      <c r="G979" s="79"/>
      <c r="H979" s="79" t="s">
        <v>200</v>
      </c>
    </row>
    <row r="980" spans="1:8">
      <c r="A980" s="79" t="str">
        <f>LeaveData[[#This Row],[ EMP ID]]&amp;LeaveData[[#This Row],[Date]]</f>
        <v>20251804445691</v>
      </c>
      <c r="B980" s="79">
        <v>202518044</v>
      </c>
      <c r="C980" s="79" t="s">
        <v>433</v>
      </c>
      <c r="D980" s="80">
        <v>45691</v>
      </c>
      <c r="E980" s="79" t="s">
        <v>13</v>
      </c>
      <c r="F980" s="79" t="s">
        <v>114</v>
      </c>
      <c r="G980" s="79"/>
      <c r="H980" s="79" t="s">
        <v>105</v>
      </c>
    </row>
    <row r="981" spans="1:8">
      <c r="A981" s="79" t="str">
        <f>LeaveData[[#This Row],[ EMP ID]]&amp;LeaveData[[#This Row],[Date]]</f>
        <v>20251804445692</v>
      </c>
      <c r="B981" s="79">
        <v>202518044</v>
      </c>
      <c r="C981" s="79" t="s">
        <v>433</v>
      </c>
      <c r="D981" s="80">
        <v>45692</v>
      </c>
      <c r="E981" s="79" t="s">
        <v>13</v>
      </c>
      <c r="F981" s="79" t="s">
        <v>114</v>
      </c>
      <c r="G981" s="79"/>
      <c r="H981" s="79" t="s">
        <v>105</v>
      </c>
    </row>
    <row r="982" spans="1:8">
      <c r="A982" s="79" t="str">
        <f>LeaveData[[#This Row],[ EMP ID]]&amp;LeaveData[[#This Row],[Date]]</f>
        <v>20211800745683</v>
      </c>
      <c r="B982" s="79">
        <v>202118007</v>
      </c>
      <c r="C982" s="79" t="s">
        <v>103</v>
      </c>
      <c r="D982" s="80">
        <v>45683</v>
      </c>
      <c r="E982" s="79" t="s">
        <v>406</v>
      </c>
      <c r="F982" s="79" t="s">
        <v>104</v>
      </c>
      <c r="G982" s="79"/>
      <c r="H982" s="79" t="s">
        <v>422</v>
      </c>
    </row>
    <row r="983" spans="1:8">
      <c r="A983" s="79" t="str">
        <f>LeaveData[[#This Row],[ EMP ID]]&amp;LeaveData[[#This Row],[Date]]</f>
        <v>20221801445688</v>
      </c>
      <c r="B983" s="79">
        <v>202218014</v>
      </c>
      <c r="C983" s="79" t="s">
        <v>32</v>
      </c>
      <c r="D983" s="80">
        <v>45688</v>
      </c>
      <c r="E983" s="79" t="s">
        <v>12</v>
      </c>
      <c r="F983" s="79" t="s">
        <v>125</v>
      </c>
      <c r="G983" s="79"/>
      <c r="H983" s="79" t="s">
        <v>416</v>
      </c>
    </row>
    <row r="984" spans="1:8">
      <c r="A984" s="79" t="str">
        <f>LeaveData[[#This Row],[ EMP ID]]&amp;LeaveData[[#This Row],[Date]]</f>
        <v>20240100145671</v>
      </c>
      <c r="B984" s="79">
        <v>202401001</v>
      </c>
      <c r="C984" s="79" t="s">
        <v>61</v>
      </c>
      <c r="D984" s="80">
        <v>45671</v>
      </c>
      <c r="E984" s="79" t="s">
        <v>406</v>
      </c>
      <c r="F984" s="79" t="s">
        <v>43</v>
      </c>
      <c r="G984" s="79"/>
      <c r="H984" s="79" t="s">
        <v>423</v>
      </c>
    </row>
    <row r="985" spans="1:8">
      <c r="A985" s="79" t="str">
        <f>LeaveData[[#This Row],[ EMP ID]]&amp;LeaveData[[#This Row],[Date]]</f>
        <v>20240100145672</v>
      </c>
      <c r="B985" s="79">
        <v>202401001</v>
      </c>
      <c r="C985" s="79" t="s">
        <v>61</v>
      </c>
      <c r="D985" s="80">
        <v>45672</v>
      </c>
      <c r="E985" s="79" t="s">
        <v>406</v>
      </c>
      <c r="F985" s="79" t="s">
        <v>43</v>
      </c>
      <c r="G985" s="79"/>
      <c r="H985" s="79" t="s">
        <v>423</v>
      </c>
    </row>
    <row r="986" spans="1:8">
      <c r="A986" s="79" t="str">
        <f>LeaveData[[#This Row],[ EMP ID]]&amp;LeaveData[[#This Row],[Date]]</f>
        <v>20242100145688</v>
      </c>
      <c r="B986" s="79">
        <v>202421001</v>
      </c>
      <c r="C986" s="79" t="s">
        <v>221</v>
      </c>
      <c r="D986" s="80">
        <v>45688</v>
      </c>
      <c r="E986" s="79" t="s">
        <v>15</v>
      </c>
      <c r="F986" s="79" t="s">
        <v>206</v>
      </c>
      <c r="G986" s="79"/>
      <c r="H986" s="79" t="s">
        <v>434</v>
      </c>
    </row>
    <row r="987" spans="1:8">
      <c r="A987" s="79" t="str">
        <f>LeaveData[[#This Row],[ EMP ID]]&amp;LeaveData[[#This Row],[Date]]</f>
        <v>20231802745332</v>
      </c>
      <c r="B987" s="79">
        <v>202318027</v>
      </c>
      <c r="C987" s="79" t="s">
        <v>54</v>
      </c>
      <c r="D987" s="80">
        <v>45332</v>
      </c>
      <c r="E987" s="79" t="s">
        <v>13</v>
      </c>
      <c r="F987" s="79" t="s">
        <v>106</v>
      </c>
      <c r="G987" s="79"/>
      <c r="H987" s="79" t="s">
        <v>435</v>
      </c>
    </row>
    <row r="988" spans="1:8">
      <c r="A988" s="79" t="str">
        <f>LeaveData[[#This Row],[ EMP ID]]&amp;LeaveData[[#This Row],[Date]]</f>
        <v>20231802745333</v>
      </c>
      <c r="B988" s="79">
        <v>202318027</v>
      </c>
      <c r="C988" s="79" t="s">
        <v>54</v>
      </c>
      <c r="D988" s="80">
        <v>45333</v>
      </c>
      <c r="E988" s="79" t="s">
        <v>13</v>
      </c>
      <c r="F988" s="79" t="s">
        <v>106</v>
      </c>
      <c r="G988" s="79"/>
      <c r="H988" s="79" t="s">
        <v>435</v>
      </c>
    </row>
    <row r="989" spans="1:8">
      <c r="A989" s="79" t="str">
        <f>LeaveData[[#This Row],[ EMP ID]]&amp;LeaveData[[#This Row],[Date]]</f>
        <v>20231802745334</v>
      </c>
      <c r="B989" s="79">
        <v>202318027</v>
      </c>
      <c r="C989" s="79" t="s">
        <v>54</v>
      </c>
      <c r="D989" s="80">
        <v>45334</v>
      </c>
      <c r="E989" s="79" t="s">
        <v>13</v>
      </c>
      <c r="F989" s="79" t="s">
        <v>106</v>
      </c>
      <c r="G989" s="79"/>
      <c r="H989" s="79" t="s">
        <v>435</v>
      </c>
    </row>
    <row r="990" spans="1:8">
      <c r="A990" s="79" t="str">
        <f>LeaveData[[#This Row],[ EMP ID]]&amp;LeaveData[[#This Row],[Date]]</f>
        <v>20231802745335</v>
      </c>
      <c r="B990" s="79">
        <v>202318027</v>
      </c>
      <c r="C990" s="79" t="s">
        <v>54</v>
      </c>
      <c r="D990" s="80">
        <v>45335</v>
      </c>
      <c r="E990" s="79" t="s">
        <v>13</v>
      </c>
      <c r="F990" s="79" t="s">
        <v>106</v>
      </c>
      <c r="G990" s="79"/>
      <c r="H990" s="79" t="s">
        <v>435</v>
      </c>
    </row>
    <row r="991" spans="1:8">
      <c r="A991" s="79" t="str">
        <f>LeaveData[[#This Row],[ EMP ID]]&amp;LeaveData[[#This Row],[Date]]</f>
        <v>20241803645659</v>
      </c>
      <c r="B991" s="79">
        <v>202418036</v>
      </c>
      <c r="C991" s="79" t="s">
        <v>232</v>
      </c>
      <c r="D991" s="80">
        <v>45659</v>
      </c>
      <c r="E991" s="79" t="s">
        <v>13</v>
      </c>
      <c r="F991" s="79" t="s">
        <v>118</v>
      </c>
      <c r="G991" s="79"/>
      <c r="H991" s="79" t="s">
        <v>178</v>
      </c>
    </row>
    <row r="992" spans="1:8">
      <c r="A992" s="79" t="str">
        <f>LeaveData[[#This Row],[ EMP ID]]&amp;LeaveData[[#This Row],[Date]]</f>
        <v>20241803645660</v>
      </c>
      <c r="B992" s="79">
        <v>202418036</v>
      </c>
      <c r="C992" s="79" t="s">
        <v>232</v>
      </c>
      <c r="D992" s="80">
        <v>45660</v>
      </c>
      <c r="E992" s="79" t="s">
        <v>13</v>
      </c>
      <c r="F992" s="79" t="s">
        <v>118</v>
      </c>
      <c r="G992" s="79"/>
      <c r="H992" s="79" t="s">
        <v>178</v>
      </c>
    </row>
    <row r="993" spans="1:8">
      <c r="A993" s="79" t="str">
        <f>LeaveData[[#This Row],[ EMP ID]]&amp;LeaveData[[#This Row],[Date]]</f>
        <v>20241803645661</v>
      </c>
      <c r="B993" s="79">
        <v>202418036</v>
      </c>
      <c r="C993" s="79" t="s">
        <v>232</v>
      </c>
      <c r="D993" s="80">
        <v>45661</v>
      </c>
      <c r="E993" s="79" t="s">
        <v>13</v>
      </c>
      <c r="F993" s="79" t="s">
        <v>118</v>
      </c>
      <c r="G993" s="79"/>
      <c r="H993" s="79" t="s">
        <v>178</v>
      </c>
    </row>
    <row r="994" spans="1:8">
      <c r="A994" s="79" t="str">
        <f>LeaveData[[#This Row],[ EMP ID]]&amp;LeaveData[[#This Row],[Date]]</f>
        <v>20241803645663</v>
      </c>
      <c r="B994" s="79">
        <v>202418036</v>
      </c>
      <c r="C994" s="79" t="s">
        <v>232</v>
      </c>
      <c r="D994" s="80">
        <v>45663</v>
      </c>
      <c r="E994" s="79" t="s">
        <v>13</v>
      </c>
      <c r="F994" s="79" t="s">
        <v>118</v>
      </c>
      <c r="G994" s="79"/>
      <c r="H994" s="79" t="s">
        <v>178</v>
      </c>
    </row>
    <row r="995" spans="1:8">
      <c r="A995" s="79" t="str">
        <f>LeaveData[[#This Row],[ EMP ID]]&amp;LeaveData[[#This Row],[Date]]</f>
        <v>20241803645664</v>
      </c>
      <c r="B995" s="79">
        <v>202418036</v>
      </c>
      <c r="C995" s="79" t="s">
        <v>232</v>
      </c>
      <c r="D995" s="80">
        <v>45664</v>
      </c>
      <c r="E995" s="79" t="s">
        <v>13</v>
      </c>
      <c r="F995" s="79" t="s">
        <v>118</v>
      </c>
      <c r="G995" s="79"/>
      <c r="H995" s="79" t="s">
        <v>178</v>
      </c>
    </row>
    <row r="996" spans="1:8">
      <c r="A996" s="79" t="str">
        <f>LeaveData[[#This Row],[ EMP ID]]&amp;LeaveData[[#This Row],[Date]]</f>
        <v>20241803645665</v>
      </c>
      <c r="B996" s="79">
        <v>202418036</v>
      </c>
      <c r="C996" s="79" t="s">
        <v>232</v>
      </c>
      <c r="D996" s="80">
        <v>45665</v>
      </c>
      <c r="E996" s="79" t="s">
        <v>13</v>
      </c>
      <c r="F996" s="79" t="s">
        <v>118</v>
      </c>
      <c r="G996" s="79"/>
      <c r="H996" s="79" t="s">
        <v>178</v>
      </c>
    </row>
    <row r="997" spans="1:8">
      <c r="A997" s="79" t="str">
        <f>LeaveData[[#This Row],[ EMP ID]]&amp;LeaveData[[#This Row],[Date]]</f>
        <v>20241803645666</v>
      </c>
      <c r="B997" s="79">
        <v>202418036</v>
      </c>
      <c r="C997" s="79" t="s">
        <v>232</v>
      </c>
      <c r="D997" s="80">
        <v>45666</v>
      </c>
      <c r="E997" s="79" t="s">
        <v>13</v>
      </c>
      <c r="F997" s="79" t="s">
        <v>118</v>
      </c>
      <c r="G997" s="79"/>
      <c r="H997" s="79" t="s">
        <v>178</v>
      </c>
    </row>
    <row r="998" spans="1:8">
      <c r="A998" s="79" t="str">
        <f>LeaveData[[#This Row],[ EMP ID]]&amp;LeaveData[[#This Row],[Date]]</f>
        <v>20241803645667</v>
      </c>
      <c r="B998" s="79">
        <v>202418036</v>
      </c>
      <c r="C998" s="79" t="s">
        <v>232</v>
      </c>
      <c r="D998" s="80">
        <v>45667</v>
      </c>
      <c r="E998" s="79" t="s">
        <v>16</v>
      </c>
      <c r="F998" s="79" t="s">
        <v>118</v>
      </c>
      <c r="G998" s="79"/>
      <c r="H998" s="79"/>
    </row>
    <row r="999" spans="1:8">
      <c r="A999" s="79" t="str">
        <f>LeaveData[[#This Row],[ EMP ID]]&amp;LeaveData[[#This Row],[Date]]</f>
        <v>20241803645670</v>
      </c>
      <c r="B999" s="79">
        <v>202418036</v>
      </c>
      <c r="C999" s="79" t="s">
        <v>232</v>
      </c>
      <c r="D999" s="80">
        <v>45670</v>
      </c>
      <c r="E999" s="79" t="s">
        <v>16</v>
      </c>
      <c r="F999" s="79" t="s">
        <v>118</v>
      </c>
      <c r="G999" s="79"/>
      <c r="H999" s="79"/>
    </row>
    <row r="1000" spans="1:8">
      <c r="A1000" s="79" t="str">
        <f>LeaveData[[#This Row],[ EMP ID]]&amp;LeaveData[[#This Row],[Date]]</f>
        <v>20241803645673</v>
      </c>
      <c r="B1000" s="79">
        <v>202418036</v>
      </c>
      <c r="C1000" s="79" t="s">
        <v>232</v>
      </c>
      <c r="D1000" s="80">
        <v>45673</v>
      </c>
      <c r="E1000" s="79" t="s">
        <v>16</v>
      </c>
      <c r="F1000" s="79" t="s">
        <v>118</v>
      </c>
      <c r="G1000" s="79"/>
      <c r="H1000" s="79"/>
    </row>
    <row r="1001" spans="1:8">
      <c r="A1001" s="79" t="str">
        <f>LeaveData[[#This Row],[ EMP ID]]&amp;LeaveData[[#This Row],[Date]]</f>
        <v>20241803645674</v>
      </c>
      <c r="B1001" s="79">
        <v>202418036</v>
      </c>
      <c r="C1001" s="79" t="s">
        <v>232</v>
      </c>
      <c r="D1001" s="80">
        <v>45674</v>
      </c>
      <c r="E1001" s="79" t="s">
        <v>16</v>
      </c>
      <c r="F1001" s="79" t="s">
        <v>118</v>
      </c>
      <c r="G1001" s="79"/>
      <c r="H1001" s="79"/>
    </row>
    <row r="1002" spans="1:8">
      <c r="A1002" s="79" t="str">
        <f>LeaveData[[#This Row],[ EMP ID]]&amp;LeaveData[[#This Row],[Date]]</f>
        <v>20241803645675</v>
      </c>
      <c r="B1002" s="79">
        <v>202418036</v>
      </c>
      <c r="C1002" s="79" t="s">
        <v>232</v>
      </c>
      <c r="D1002" s="80">
        <v>45675</v>
      </c>
      <c r="E1002" s="79" t="s">
        <v>16</v>
      </c>
      <c r="F1002" s="79" t="s">
        <v>118</v>
      </c>
      <c r="G1002" s="79"/>
      <c r="H1002" s="79"/>
    </row>
    <row r="1003" spans="1:8">
      <c r="A1003" s="79" t="str">
        <f>LeaveData[[#This Row],[ EMP ID]]&amp;LeaveData[[#This Row],[Date]]</f>
        <v>20241803645677</v>
      </c>
      <c r="B1003" s="79">
        <v>202418036</v>
      </c>
      <c r="C1003" s="79" t="s">
        <v>232</v>
      </c>
      <c r="D1003" s="80">
        <v>45677</v>
      </c>
      <c r="E1003" s="79" t="s">
        <v>16</v>
      </c>
      <c r="F1003" s="79" t="s">
        <v>118</v>
      </c>
      <c r="G1003" s="79"/>
      <c r="H1003" s="79"/>
    </row>
    <row r="1004" spans="1:8">
      <c r="A1004" s="79" t="str">
        <f>LeaveData[[#This Row],[ EMP ID]]&amp;LeaveData[[#This Row],[Date]]</f>
        <v>20241803645678</v>
      </c>
      <c r="B1004" s="79">
        <v>202418036</v>
      </c>
      <c r="C1004" s="79" t="s">
        <v>232</v>
      </c>
      <c r="D1004" s="80">
        <v>45678</v>
      </c>
      <c r="E1004" s="79" t="s">
        <v>16</v>
      </c>
      <c r="F1004" s="79" t="s">
        <v>118</v>
      </c>
      <c r="G1004" s="79"/>
      <c r="H1004" s="79"/>
    </row>
    <row r="1005" spans="1:8">
      <c r="A1005" s="79" t="str">
        <f>LeaveData[[#This Row],[ EMP ID]]&amp;LeaveData[[#This Row],[Date]]</f>
        <v>20241803645679</v>
      </c>
      <c r="B1005" s="79">
        <v>202418036</v>
      </c>
      <c r="C1005" s="79" t="s">
        <v>232</v>
      </c>
      <c r="D1005" s="80">
        <v>45679</v>
      </c>
      <c r="E1005" s="79" t="s">
        <v>16</v>
      </c>
      <c r="F1005" s="79" t="s">
        <v>118</v>
      </c>
      <c r="G1005" s="79"/>
      <c r="H1005" s="79"/>
    </row>
    <row r="1006" spans="1:8">
      <c r="A1006" s="79" t="str">
        <f>LeaveData[[#This Row],[ EMP ID]]&amp;LeaveData[[#This Row],[Date]]</f>
        <v>20241803645680</v>
      </c>
      <c r="B1006" s="79">
        <v>202418036</v>
      </c>
      <c r="C1006" s="79" t="s">
        <v>232</v>
      </c>
      <c r="D1006" s="80">
        <v>45680</v>
      </c>
      <c r="E1006" s="79" t="s">
        <v>16</v>
      </c>
      <c r="F1006" s="79" t="s">
        <v>118</v>
      </c>
      <c r="G1006" s="79"/>
      <c r="H1006" s="79"/>
    </row>
    <row r="1007" spans="1:8">
      <c r="A1007" s="79" t="str">
        <f>LeaveData[[#This Row],[ EMP ID]]&amp;LeaveData[[#This Row],[Date]]</f>
        <v>20241803645681</v>
      </c>
      <c r="B1007" s="79">
        <v>202418036</v>
      </c>
      <c r="C1007" s="79" t="s">
        <v>232</v>
      </c>
      <c r="D1007" s="80">
        <v>45681</v>
      </c>
      <c r="E1007" s="79" t="s">
        <v>16</v>
      </c>
      <c r="F1007" s="79" t="s">
        <v>118</v>
      </c>
      <c r="G1007" s="79"/>
      <c r="H1007" s="79"/>
    </row>
    <row r="1008" spans="1:8">
      <c r="A1008" s="79" t="str">
        <f>LeaveData[[#This Row],[ EMP ID]]&amp;LeaveData[[#This Row],[Date]]</f>
        <v>20241803645682</v>
      </c>
      <c r="B1008" s="79">
        <v>202418036</v>
      </c>
      <c r="C1008" s="79" t="s">
        <v>232</v>
      </c>
      <c r="D1008" s="80">
        <v>45682</v>
      </c>
      <c r="E1008" s="79" t="s">
        <v>16</v>
      </c>
      <c r="F1008" s="79" t="s">
        <v>118</v>
      </c>
      <c r="G1008" s="79"/>
      <c r="H1008" s="79"/>
    </row>
    <row r="1009" spans="1:8">
      <c r="A1009" s="79" t="str">
        <f>LeaveData[[#This Row],[ EMP ID]]&amp;LeaveData[[#This Row],[Date]]</f>
        <v>20241803645684</v>
      </c>
      <c r="B1009" s="79">
        <v>202418036</v>
      </c>
      <c r="C1009" s="79" t="s">
        <v>232</v>
      </c>
      <c r="D1009" s="80">
        <v>45684</v>
      </c>
      <c r="E1009" s="79" t="s">
        <v>16</v>
      </c>
      <c r="F1009" s="79" t="s">
        <v>118</v>
      </c>
      <c r="G1009" s="79"/>
      <c r="H1009" s="79"/>
    </row>
    <row r="1010" spans="1:8">
      <c r="A1010" s="79" t="str">
        <f>LeaveData[[#This Row],[ EMP ID]]&amp;LeaveData[[#This Row],[Date]]</f>
        <v>20241803645685</v>
      </c>
      <c r="B1010" s="79">
        <v>202418036</v>
      </c>
      <c r="C1010" s="79" t="s">
        <v>232</v>
      </c>
      <c r="D1010" s="80">
        <v>45685</v>
      </c>
      <c r="E1010" s="79" t="s">
        <v>16</v>
      </c>
      <c r="F1010" s="79" t="s">
        <v>118</v>
      </c>
      <c r="G1010" s="79"/>
      <c r="H1010" s="79"/>
    </row>
    <row r="1011" spans="1:8">
      <c r="A1011" s="79" t="str">
        <f>LeaveData[[#This Row],[ EMP ID]]&amp;LeaveData[[#This Row],[Date]]</f>
        <v>20241803645686</v>
      </c>
      <c r="B1011" s="79">
        <v>202418036</v>
      </c>
      <c r="C1011" s="79" t="s">
        <v>232</v>
      </c>
      <c r="D1011" s="80">
        <v>45686</v>
      </c>
      <c r="E1011" s="79" t="s">
        <v>16</v>
      </c>
      <c r="F1011" s="79" t="s">
        <v>118</v>
      </c>
      <c r="G1011" s="79"/>
      <c r="H1011" s="79"/>
    </row>
    <row r="1012" spans="1:8">
      <c r="A1012" s="79" t="str">
        <f>LeaveData[[#This Row],[ EMP ID]]&amp;LeaveData[[#This Row],[Date]]</f>
        <v>20241803645687</v>
      </c>
      <c r="B1012" s="79">
        <v>202418036</v>
      </c>
      <c r="C1012" s="79" t="s">
        <v>232</v>
      </c>
      <c r="D1012" s="80">
        <v>45687</v>
      </c>
      <c r="E1012" s="79" t="s">
        <v>16</v>
      </c>
      <c r="F1012" s="79" t="s">
        <v>118</v>
      </c>
      <c r="G1012" s="79"/>
      <c r="H1012" s="79"/>
    </row>
    <row r="1013" spans="1:8">
      <c r="A1013" s="79" t="str">
        <f>LeaveData[[#This Row],[ EMP ID]]&amp;LeaveData[[#This Row],[Date]]</f>
        <v>20241803645688</v>
      </c>
      <c r="B1013" s="79">
        <v>202418036</v>
      </c>
      <c r="C1013" s="79" t="s">
        <v>232</v>
      </c>
      <c r="D1013" s="80">
        <v>45688</v>
      </c>
      <c r="E1013" s="79" t="s">
        <v>16</v>
      </c>
      <c r="F1013" s="79" t="s">
        <v>118</v>
      </c>
      <c r="G1013" s="79"/>
      <c r="H1013" s="79"/>
    </row>
    <row r="1014" spans="1:8">
      <c r="A1014" s="79" t="str">
        <f>LeaveData[[#This Row],[ EMP ID]]&amp;LeaveData[[#This Row],[Date]]</f>
        <v>20241803645689</v>
      </c>
      <c r="B1014" s="79">
        <v>202418036</v>
      </c>
      <c r="C1014" s="79" t="s">
        <v>232</v>
      </c>
      <c r="D1014" s="80">
        <v>45689</v>
      </c>
      <c r="E1014" s="79" t="s">
        <v>16</v>
      </c>
      <c r="F1014" s="79" t="s">
        <v>118</v>
      </c>
      <c r="G1014" s="79"/>
      <c r="H1014" s="79"/>
    </row>
    <row r="1015" spans="1:8">
      <c r="A1015" s="79" t="str">
        <f>LeaveData[[#This Row],[ EMP ID]]&amp;LeaveData[[#This Row],[Date]]</f>
        <v>20231801945686</v>
      </c>
      <c r="B1015" s="79">
        <v>202318019</v>
      </c>
      <c r="C1015" s="79" t="s">
        <v>89</v>
      </c>
      <c r="D1015" s="80">
        <v>45686</v>
      </c>
      <c r="E1015" s="79" t="s">
        <v>12</v>
      </c>
      <c r="F1015" s="79" t="s">
        <v>45</v>
      </c>
      <c r="G1015" s="79"/>
      <c r="H1015" s="79" t="s">
        <v>119</v>
      </c>
    </row>
    <row r="1016" spans="1:8">
      <c r="A1016" s="79" t="str">
        <f>LeaveData[[#This Row],[ EMP ID]]&amp;LeaveData[[#This Row],[Date]]</f>
        <v>20231801945687</v>
      </c>
      <c r="B1016" s="79">
        <v>202318019</v>
      </c>
      <c r="C1016" s="79" t="s">
        <v>89</v>
      </c>
      <c r="D1016" s="80">
        <v>45687</v>
      </c>
      <c r="E1016" s="79" t="s">
        <v>16</v>
      </c>
      <c r="F1016" s="79" t="s">
        <v>45</v>
      </c>
      <c r="G1016" s="79"/>
      <c r="H1016" s="79" t="s">
        <v>436</v>
      </c>
    </row>
    <row r="1017" spans="1:8">
      <c r="A1017" s="79" t="str">
        <f>LeaveData[[#This Row],[ EMP ID]]&amp;LeaveData[[#This Row],[Date]]</f>
        <v>20231801945688</v>
      </c>
      <c r="B1017" s="79">
        <v>202318019</v>
      </c>
      <c r="C1017" s="79" t="s">
        <v>89</v>
      </c>
      <c r="D1017" s="80">
        <v>45688</v>
      </c>
      <c r="E1017" s="79" t="s">
        <v>16</v>
      </c>
      <c r="F1017" s="79" t="s">
        <v>45</v>
      </c>
      <c r="G1017" s="79"/>
      <c r="H1017" s="79" t="s">
        <v>436</v>
      </c>
    </row>
    <row r="1018" spans="1:8">
      <c r="A1018" s="79" t="str">
        <f>LeaveData[[#This Row],[ EMP ID]]&amp;LeaveData[[#This Row],[Date]]</f>
        <v>20231802045713</v>
      </c>
      <c r="B1018" s="79">
        <v>202318020</v>
      </c>
      <c r="C1018" s="79" t="s">
        <v>43</v>
      </c>
      <c r="D1018" s="80">
        <v>45713</v>
      </c>
      <c r="E1018" s="79" t="s">
        <v>318</v>
      </c>
      <c r="F1018" s="79" t="s">
        <v>104</v>
      </c>
      <c r="G1018" s="79"/>
      <c r="H1018" s="79" t="s">
        <v>437</v>
      </c>
    </row>
    <row r="1019" spans="1:8">
      <c r="A1019" s="79" t="str">
        <f>LeaveData[[#This Row],[ EMP ID]]&amp;LeaveData[[#This Row],[Date]]</f>
        <v>20231802045714</v>
      </c>
      <c r="B1019" s="79">
        <v>202318020</v>
      </c>
      <c r="C1019" s="79" t="s">
        <v>43</v>
      </c>
      <c r="D1019" s="80">
        <v>45714</v>
      </c>
      <c r="E1019" s="79" t="s">
        <v>318</v>
      </c>
      <c r="F1019" s="79" t="s">
        <v>104</v>
      </c>
      <c r="G1019" s="79"/>
      <c r="H1019" s="79" t="s">
        <v>437</v>
      </c>
    </row>
    <row r="1020" spans="1:8">
      <c r="A1020" s="79" t="str">
        <f>LeaveData[[#This Row],[ EMP ID]]&amp;LeaveData[[#This Row],[Date]]</f>
        <v>20231802045715</v>
      </c>
      <c r="B1020" s="79">
        <v>202318020</v>
      </c>
      <c r="C1020" s="79" t="s">
        <v>43</v>
      </c>
      <c r="D1020" s="80">
        <v>45715</v>
      </c>
      <c r="E1020" s="79" t="s">
        <v>318</v>
      </c>
      <c r="F1020" s="79" t="s">
        <v>104</v>
      </c>
      <c r="G1020" s="79"/>
      <c r="H1020" s="79" t="s">
        <v>437</v>
      </c>
    </row>
    <row r="1021" spans="1:8">
      <c r="A1021" s="79" t="str">
        <f>LeaveData[[#This Row],[ EMP ID]]&amp;LeaveData[[#This Row],[Date]]</f>
        <v>20231802045716</v>
      </c>
      <c r="B1021" s="79">
        <v>202318020</v>
      </c>
      <c r="C1021" s="79" t="s">
        <v>43</v>
      </c>
      <c r="D1021" s="80">
        <v>45716</v>
      </c>
      <c r="E1021" s="79" t="s">
        <v>318</v>
      </c>
      <c r="F1021" s="79" t="s">
        <v>104</v>
      </c>
      <c r="G1021" s="79"/>
      <c r="H1021" s="79" t="s">
        <v>437</v>
      </c>
    </row>
    <row r="1022" spans="1:8">
      <c r="A1022" s="79" t="str">
        <f>LeaveData[[#This Row],[ EMP ID]]&amp;LeaveData[[#This Row],[Date]]</f>
        <v>20231802045717</v>
      </c>
      <c r="B1022" s="79">
        <v>202318020</v>
      </c>
      <c r="C1022" s="79" t="s">
        <v>43</v>
      </c>
      <c r="D1022" s="80">
        <v>45717</v>
      </c>
      <c r="E1022" s="79" t="s">
        <v>318</v>
      </c>
      <c r="F1022" s="79" t="s">
        <v>104</v>
      </c>
      <c r="G1022" s="79"/>
      <c r="H1022" s="79" t="s">
        <v>437</v>
      </c>
    </row>
    <row r="1023" spans="1:8">
      <c r="A1023" s="79" t="str">
        <f>LeaveData[[#This Row],[ EMP ID]]&amp;LeaveData[[#This Row],[Date]]</f>
        <v>20231802045719</v>
      </c>
      <c r="B1023" s="79">
        <v>202318020</v>
      </c>
      <c r="C1023" s="79" t="s">
        <v>43</v>
      </c>
      <c r="D1023" s="80">
        <v>45719</v>
      </c>
      <c r="E1023" s="79" t="s">
        <v>318</v>
      </c>
      <c r="F1023" s="79" t="s">
        <v>104</v>
      </c>
      <c r="G1023" s="79"/>
      <c r="H1023" s="79" t="s">
        <v>437</v>
      </c>
    </row>
    <row r="1024" spans="1:8">
      <c r="A1024" s="79" t="str">
        <f>LeaveData[[#This Row],[ EMP ID]]&amp;LeaveData[[#This Row],[Date]]</f>
        <v>20231802045720</v>
      </c>
      <c r="B1024" s="79">
        <v>202318020</v>
      </c>
      <c r="C1024" s="79" t="s">
        <v>43</v>
      </c>
      <c r="D1024" s="80">
        <v>45720</v>
      </c>
      <c r="E1024" s="79" t="s">
        <v>318</v>
      </c>
      <c r="F1024" s="79" t="s">
        <v>104</v>
      </c>
      <c r="G1024" s="79"/>
      <c r="H1024" s="79" t="s">
        <v>437</v>
      </c>
    </row>
    <row r="1025" spans="1:8">
      <c r="A1025" s="79" t="str">
        <f>LeaveData[[#This Row],[ EMP ID]]&amp;LeaveData[[#This Row],[Date]]</f>
        <v>20242101045699</v>
      </c>
      <c r="B1025" s="79">
        <v>202421010</v>
      </c>
      <c r="C1025" s="79" t="s">
        <v>288</v>
      </c>
      <c r="D1025" s="80">
        <v>45699</v>
      </c>
      <c r="E1025" s="79" t="s">
        <v>16</v>
      </c>
      <c r="F1025" s="79" t="s">
        <v>206</v>
      </c>
      <c r="G1025" s="79"/>
      <c r="H1025" s="79" t="s">
        <v>438</v>
      </c>
    </row>
    <row r="1026" spans="1:8">
      <c r="A1026" s="79" t="str">
        <f>LeaveData[[#This Row],[ EMP ID]]&amp;LeaveData[[#This Row],[Date]]</f>
        <v>20242101045700</v>
      </c>
      <c r="B1026" s="79">
        <v>202421010</v>
      </c>
      <c r="C1026" s="79" t="s">
        <v>288</v>
      </c>
      <c r="D1026" s="80">
        <v>45700</v>
      </c>
      <c r="E1026" s="79" t="s">
        <v>16</v>
      </c>
      <c r="F1026" s="79" t="s">
        <v>206</v>
      </c>
      <c r="G1026" s="79"/>
      <c r="H1026" s="79" t="s">
        <v>438</v>
      </c>
    </row>
    <row r="1027" spans="1:8">
      <c r="A1027" s="79" t="str">
        <f>LeaveData[[#This Row],[ EMP ID]]&amp;LeaveData[[#This Row],[Date]]</f>
        <v>20242101045701</v>
      </c>
      <c r="B1027" s="79">
        <v>202421010</v>
      </c>
      <c r="C1027" s="79" t="s">
        <v>288</v>
      </c>
      <c r="D1027" s="80">
        <v>45701</v>
      </c>
      <c r="E1027" s="79" t="s">
        <v>13</v>
      </c>
      <c r="F1027" s="79" t="s">
        <v>206</v>
      </c>
      <c r="G1027" s="79"/>
      <c r="H1027" s="79" t="s">
        <v>438</v>
      </c>
    </row>
    <row r="1028" spans="1:8">
      <c r="A1028" s="79" t="str">
        <f>LeaveData[[#This Row],[ EMP ID]]&amp;LeaveData[[#This Row],[Date]]</f>
        <v>20242101045702</v>
      </c>
      <c r="B1028" s="79">
        <v>202421010</v>
      </c>
      <c r="C1028" s="79" t="s">
        <v>288</v>
      </c>
      <c r="D1028" s="80">
        <v>45702</v>
      </c>
      <c r="E1028" s="79" t="s">
        <v>13</v>
      </c>
      <c r="F1028" s="79" t="s">
        <v>206</v>
      </c>
      <c r="G1028" s="79"/>
      <c r="H1028" s="79" t="s">
        <v>438</v>
      </c>
    </row>
    <row r="1029" spans="1:8">
      <c r="A1029" s="79" t="str">
        <f>LeaveData[[#This Row],[ EMP ID]]&amp;LeaveData[[#This Row],[Date]]</f>
        <v>20242101045703</v>
      </c>
      <c r="B1029" s="79">
        <v>202421010</v>
      </c>
      <c r="C1029" s="79" t="s">
        <v>288</v>
      </c>
      <c r="D1029" s="80">
        <v>45703</v>
      </c>
      <c r="E1029" s="79" t="s">
        <v>16</v>
      </c>
      <c r="F1029" s="79" t="s">
        <v>206</v>
      </c>
      <c r="G1029" s="79"/>
      <c r="H1029" s="79" t="s">
        <v>438</v>
      </c>
    </row>
    <row r="1030" spans="1:8">
      <c r="A1030" s="79" t="str">
        <f>LeaveData[[#This Row],[ EMP ID]]&amp;LeaveData[[#This Row],[Date]]</f>
        <v>20241803645699</v>
      </c>
      <c r="B1030" s="79">
        <v>202418036</v>
      </c>
      <c r="C1030" s="79" t="s">
        <v>232</v>
      </c>
      <c r="D1030" s="80">
        <v>45699</v>
      </c>
      <c r="E1030" s="79" t="s">
        <v>13</v>
      </c>
      <c r="F1030" s="79" t="s">
        <v>104</v>
      </c>
      <c r="G1030" s="79"/>
      <c r="H1030" s="79" t="s">
        <v>804</v>
      </c>
    </row>
    <row r="1031" spans="1:8">
      <c r="A1031" s="79" t="str">
        <f>LeaveData[[#This Row],[ EMP ID]]&amp;LeaveData[[#This Row],[Date]]</f>
        <v>20241803545691</v>
      </c>
      <c r="B1031" s="79">
        <v>202418035</v>
      </c>
      <c r="C1031" s="79" t="s">
        <v>96</v>
      </c>
      <c r="D1031" s="80">
        <v>45691</v>
      </c>
      <c r="E1031" s="79" t="s">
        <v>12</v>
      </c>
      <c r="F1031" s="79" t="s">
        <v>118</v>
      </c>
      <c r="G1031" s="79"/>
      <c r="H1031" s="79" t="s">
        <v>416</v>
      </c>
    </row>
    <row r="1032" spans="1:8">
      <c r="A1032" s="79" t="str">
        <f>LeaveData[[#This Row],[ EMP ID]]&amp;LeaveData[[#This Row],[Date]]</f>
        <v>20242001545668</v>
      </c>
      <c r="B1032" s="79">
        <v>202420015</v>
      </c>
      <c r="C1032" s="79" t="s">
        <v>64</v>
      </c>
      <c r="D1032" s="80">
        <v>45668</v>
      </c>
      <c r="E1032" s="79" t="s">
        <v>154</v>
      </c>
      <c r="F1032" s="79" t="s">
        <v>114</v>
      </c>
      <c r="G1032" s="79"/>
      <c r="H1032" s="79" t="s">
        <v>155</v>
      </c>
    </row>
    <row r="1033" spans="1:8">
      <c r="A1033" s="79" t="str">
        <f>LeaveData[[#This Row],[ EMP ID]]&amp;LeaveData[[#This Row],[Date]]</f>
        <v>20242001545692</v>
      </c>
      <c r="B1033" s="79">
        <v>202420015</v>
      </c>
      <c r="C1033" s="79" t="s">
        <v>64</v>
      </c>
      <c r="D1033" s="80">
        <v>45692</v>
      </c>
      <c r="E1033" s="79" t="s">
        <v>13</v>
      </c>
      <c r="F1033" s="79" t="s">
        <v>114</v>
      </c>
      <c r="G1033" s="79"/>
      <c r="H1033" s="79" t="s">
        <v>168</v>
      </c>
    </row>
    <row r="1034" spans="1:8">
      <c r="A1034" s="79" t="str">
        <f>LeaveData[[#This Row],[ EMP ID]]&amp;LeaveData[[#This Row],[Date]]</f>
        <v>20231802845695</v>
      </c>
      <c r="B1034" s="79">
        <v>202318028</v>
      </c>
      <c r="C1034" s="79" t="s">
        <v>57</v>
      </c>
      <c r="D1034" s="80">
        <v>45695</v>
      </c>
      <c r="E1034" s="79" t="s">
        <v>13</v>
      </c>
      <c r="F1034" s="79" t="s">
        <v>118</v>
      </c>
      <c r="G1034" s="79"/>
      <c r="H1034" s="79" t="s">
        <v>380</v>
      </c>
    </row>
    <row r="1035" spans="1:8">
      <c r="A1035" s="79" t="str">
        <f>LeaveData[[#This Row],[ EMP ID]]&amp;LeaveData[[#This Row],[Date]]</f>
        <v>20231802845699</v>
      </c>
      <c r="B1035" s="79">
        <v>202318028</v>
      </c>
      <c r="C1035" s="79" t="s">
        <v>57</v>
      </c>
      <c r="D1035" s="80">
        <v>45699</v>
      </c>
      <c r="E1035" s="79" t="s">
        <v>13</v>
      </c>
      <c r="F1035" s="79" t="s">
        <v>118</v>
      </c>
      <c r="G1035" s="79"/>
      <c r="H1035" s="79" t="s">
        <v>380</v>
      </c>
    </row>
    <row r="1036" spans="1:8">
      <c r="A1036" s="79" t="str">
        <f>LeaveData[[#This Row],[ EMP ID]]&amp;LeaveData[[#This Row],[Date]]</f>
        <v>20231802845700</v>
      </c>
      <c r="B1036" s="79">
        <v>202318028</v>
      </c>
      <c r="C1036" s="79" t="s">
        <v>57</v>
      </c>
      <c r="D1036" s="80">
        <v>45700</v>
      </c>
      <c r="E1036" s="79" t="s">
        <v>13</v>
      </c>
      <c r="F1036" s="79" t="s">
        <v>118</v>
      </c>
      <c r="G1036" s="79"/>
      <c r="H1036" s="79" t="s">
        <v>380</v>
      </c>
    </row>
    <row r="1037" spans="1:8">
      <c r="A1037" s="79" t="str">
        <f>LeaveData[[#This Row],[ EMP ID]]&amp;LeaveData[[#This Row],[Date]]</f>
        <v>20241803845698</v>
      </c>
      <c r="B1037" s="79">
        <v>202418038</v>
      </c>
      <c r="C1037" s="79" t="s">
        <v>246</v>
      </c>
      <c r="D1037" s="80">
        <v>45698</v>
      </c>
      <c r="E1037" s="79" t="s">
        <v>13</v>
      </c>
      <c r="F1037" s="79" t="s">
        <v>125</v>
      </c>
      <c r="G1037" s="79"/>
      <c r="H1037" s="79" t="s">
        <v>439</v>
      </c>
    </row>
    <row r="1038" spans="1:8">
      <c r="A1038" s="79" t="str">
        <f>LeaveData[[#This Row],[ EMP ID]]&amp;LeaveData[[#This Row],[Date]]</f>
        <v>20231802245713</v>
      </c>
      <c r="B1038" s="79">
        <v>202318022</v>
      </c>
      <c r="C1038" s="79" t="s">
        <v>45</v>
      </c>
      <c r="D1038" s="80">
        <v>45713</v>
      </c>
      <c r="E1038" s="79" t="s">
        <v>318</v>
      </c>
      <c r="F1038" s="79" t="s">
        <v>118</v>
      </c>
      <c r="G1038" s="79"/>
      <c r="H1038" s="79" t="s">
        <v>440</v>
      </c>
    </row>
    <row r="1039" spans="1:8">
      <c r="A1039" s="79" t="str">
        <f>LeaveData[[#This Row],[ EMP ID]]&amp;LeaveData[[#This Row],[Date]]</f>
        <v>20231802245714</v>
      </c>
      <c r="B1039" s="79">
        <v>202318022</v>
      </c>
      <c r="C1039" s="79" t="s">
        <v>45</v>
      </c>
      <c r="D1039" s="80">
        <v>45714</v>
      </c>
      <c r="E1039" s="79" t="s">
        <v>318</v>
      </c>
      <c r="F1039" s="79" t="s">
        <v>118</v>
      </c>
      <c r="G1039" s="79"/>
      <c r="H1039" s="79" t="s">
        <v>440</v>
      </c>
    </row>
    <row r="1040" spans="1:8">
      <c r="A1040" s="79" t="str">
        <f>LeaveData[[#This Row],[ EMP ID]]&amp;LeaveData[[#This Row],[Date]]</f>
        <v>20231802245715</v>
      </c>
      <c r="B1040" s="79">
        <v>202318022</v>
      </c>
      <c r="C1040" s="79" t="s">
        <v>45</v>
      </c>
      <c r="D1040" s="80">
        <v>45715</v>
      </c>
      <c r="E1040" s="79" t="s">
        <v>318</v>
      </c>
      <c r="F1040" s="79" t="s">
        <v>118</v>
      </c>
      <c r="G1040" s="79"/>
      <c r="H1040" s="79" t="s">
        <v>440</v>
      </c>
    </row>
    <row r="1041" spans="1:8">
      <c r="A1041" s="79" t="str">
        <f>LeaveData[[#This Row],[ EMP ID]]&amp;LeaveData[[#This Row],[Date]]</f>
        <v>20231802245716</v>
      </c>
      <c r="B1041" s="79">
        <v>202318022</v>
      </c>
      <c r="C1041" s="79" t="s">
        <v>45</v>
      </c>
      <c r="D1041" s="80">
        <v>45716</v>
      </c>
      <c r="E1041" s="79" t="s">
        <v>318</v>
      </c>
      <c r="F1041" s="79" t="s">
        <v>118</v>
      </c>
      <c r="G1041" s="79"/>
      <c r="H1041" s="79" t="s">
        <v>440</v>
      </c>
    </row>
    <row r="1042" spans="1:8">
      <c r="A1042" s="79" t="str">
        <f>LeaveData[[#This Row],[ EMP ID]]&amp;LeaveData[[#This Row],[Date]]</f>
        <v>20231802245717</v>
      </c>
      <c r="B1042" s="79">
        <v>202318022</v>
      </c>
      <c r="C1042" s="79" t="s">
        <v>45</v>
      </c>
      <c r="D1042" s="80">
        <v>45717</v>
      </c>
      <c r="E1042" s="79" t="s">
        <v>318</v>
      </c>
      <c r="F1042" s="79" t="s">
        <v>118</v>
      </c>
      <c r="G1042" s="79"/>
      <c r="H1042" s="79" t="s">
        <v>440</v>
      </c>
    </row>
    <row r="1043" spans="1:8">
      <c r="A1043" s="79" t="str">
        <f>LeaveData[[#This Row],[ EMP ID]]&amp;LeaveData[[#This Row],[Date]]</f>
        <v>20231802245719</v>
      </c>
      <c r="B1043" s="79">
        <v>202318022</v>
      </c>
      <c r="C1043" s="79" t="s">
        <v>45</v>
      </c>
      <c r="D1043" s="80">
        <v>45719</v>
      </c>
      <c r="E1043" s="79" t="s">
        <v>318</v>
      </c>
      <c r="F1043" s="79" t="s">
        <v>118</v>
      </c>
      <c r="G1043" s="79"/>
      <c r="H1043" s="79" t="s">
        <v>440</v>
      </c>
    </row>
    <row r="1044" spans="1:8">
      <c r="A1044" s="79" t="str">
        <f>LeaveData[[#This Row],[ EMP ID]]&amp;LeaveData[[#This Row],[Date]]</f>
        <v>20231802245720</v>
      </c>
      <c r="B1044" s="79">
        <v>202318022</v>
      </c>
      <c r="C1044" s="79" t="s">
        <v>45</v>
      </c>
      <c r="D1044" s="80">
        <v>45720</v>
      </c>
      <c r="E1044" s="79" t="s">
        <v>318</v>
      </c>
      <c r="F1044" s="79" t="s">
        <v>118</v>
      </c>
      <c r="G1044" s="79"/>
      <c r="H1044" s="79" t="s">
        <v>440</v>
      </c>
    </row>
    <row r="1045" spans="1:8">
      <c r="A1045" s="79" t="str">
        <f>LeaveData[[#This Row],[ EMP ID]]&amp;LeaveData[[#This Row],[Date]]</f>
        <v>20241804045694</v>
      </c>
      <c r="B1045" s="79">
        <v>202418040</v>
      </c>
      <c r="C1045" s="79" t="s">
        <v>341</v>
      </c>
      <c r="D1045" s="80">
        <v>45694</v>
      </c>
      <c r="E1045" s="79" t="s">
        <v>13</v>
      </c>
      <c r="F1045" s="79" t="s">
        <v>114</v>
      </c>
      <c r="G1045" s="79"/>
      <c r="H1045" s="79" t="s">
        <v>168</v>
      </c>
    </row>
    <row r="1046" spans="1:8">
      <c r="A1046" s="79" t="str">
        <f>LeaveData[[#This Row],[ EMP ID]]&amp;LeaveData[[#This Row],[Date]]</f>
        <v>20252101445664</v>
      </c>
      <c r="B1046" s="79">
        <v>202521014</v>
      </c>
      <c r="C1046" s="79" t="s">
        <v>441</v>
      </c>
      <c r="D1046" s="80">
        <v>45664</v>
      </c>
      <c r="E1046" s="79" t="s">
        <v>199</v>
      </c>
      <c r="F1046" s="79" t="s">
        <v>206</v>
      </c>
      <c r="G1046" s="79"/>
      <c r="H1046" s="79" t="s">
        <v>200</v>
      </c>
    </row>
    <row r="1047" spans="1:8">
      <c r="A1047" s="79" t="str">
        <f>LeaveData[[#This Row],[ EMP ID]]&amp;LeaveData[[#This Row],[Date]]</f>
        <v>20181800245688</v>
      </c>
      <c r="B1047" s="79">
        <v>201818002</v>
      </c>
      <c r="C1047" s="79" t="s">
        <v>83</v>
      </c>
      <c r="D1047" s="80">
        <v>45688</v>
      </c>
      <c r="E1047" s="79" t="s">
        <v>195</v>
      </c>
      <c r="F1047" s="79" t="s">
        <v>106</v>
      </c>
      <c r="G1047" s="79"/>
      <c r="H1047" s="79" t="s">
        <v>196</v>
      </c>
    </row>
    <row r="1048" spans="1:8">
      <c r="A1048" s="79" t="str">
        <f>LeaveData[[#This Row],[ EMP ID]]&amp;LeaveData[[#This Row],[Date]]</f>
        <v>20242100345702</v>
      </c>
      <c r="B1048" s="79">
        <v>202421003</v>
      </c>
      <c r="C1048" s="79" t="s">
        <v>205</v>
      </c>
      <c r="D1048" s="80">
        <v>45702</v>
      </c>
      <c r="E1048" s="79" t="s">
        <v>13</v>
      </c>
      <c r="F1048" s="79" t="s">
        <v>206</v>
      </c>
      <c r="G1048" s="79"/>
      <c r="H1048" s="79" t="s">
        <v>442</v>
      </c>
    </row>
    <row r="1049" spans="1:8">
      <c r="A1049" s="79" t="str">
        <f>LeaveData[[#This Row],[ EMP ID]]&amp;LeaveData[[#This Row],[Date]]</f>
        <v>20242100345703</v>
      </c>
      <c r="B1049" s="79">
        <v>202421003</v>
      </c>
      <c r="C1049" s="79" t="s">
        <v>205</v>
      </c>
      <c r="D1049" s="80">
        <v>45703</v>
      </c>
      <c r="E1049" s="79" t="s">
        <v>13</v>
      </c>
      <c r="F1049" s="79" t="s">
        <v>206</v>
      </c>
      <c r="G1049" s="79"/>
      <c r="H1049" s="79" t="s">
        <v>442</v>
      </c>
    </row>
    <row r="1050" spans="1:8">
      <c r="A1050" s="79" t="str">
        <f>LeaveData[[#This Row],[ EMP ID]]&amp;LeaveData[[#This Row],[Date]]</f>
        <v>20242100345705</v>
      </c>
      <c r="B1050" s="79">
        <v>202421003</v>
      </c>
      <c r="C1050" s="79" t="s">
        <v>205</v>
      </c>
      <c r="D1050" s="80">
        <v>45705</v>
      </c>
      <c r="E1050" s="79" t="s">
        <v>13</v>
      </c>
      <c r="F1050" s="79" t="s">
        <v>206</v>
      </c>
      <c r="G1050" s="79"/>
      <c r="H1050" s="79" t="s">
        <v>442</v>
      </c>
    </row>
    <row r="1051" spans="1:8">
      <c r="A1051" s="79" t="str">
        <f>LeaveData[[#This Row],[ EMP ID]]&amp;LeaveData[[#This Row],[Date]]</f>
        <v>20242100345706</v>
      </c>
      <c r="B1051" s="79">
        <v>202421003</v>
      </c>
      <c r="C1051" s="79" t="s">
        <v>205</v>
      </c>
      <c r="D1051" s="80">
        <v>45706</v>
      </c>
      <c r="E1051" s="79" t="s">
        <v>13</v>
      </c>
      <c r="F1051" s="79" t="s">
        <v>206</v>
      </c>
      <c r="G1051" s="79"/>
      <c r="H1051" s="79" t="s">
        <v>442</v>
      </c>
    </row>
    <row r="1052" spans="1:8">
      <c r="A1052" s="79" t="str">
        <f>LeaveData[[#This Row],[ EMP ID]]&amp;LeaveData[[#This Row],[Date]]</f>
        <v>20242100345707</v>
      </c>
      <c r="B1052" s="79">
        <v>202421003</v>
      </c>
      <c r="C1052" s="79" t="s">
        <v>205</v>
      </c>
      <c r="D1052" s="80">
        <v>45707</v>
      </c>
      <c r="E1052" s="79" t="s">
        <v>13</v>
      </c>
      <c r="F1052" s="79" t="s">
        <v>206</v>
      </c>
      <c r="G1052" s="79"/>
      <c r="H1052" s="79" t="s">
        <v>442</v>
      </c>
    </row>
    <row r="1053" spans="1:8">
      <c r="A1053" s="79" t="str">
        <f>LeaveData[[#This Row],[ EMP ID]]&amp;LeaveData[[#This Row],[Date]]</f>
        <v>20242100345708</v>
      </c>
      <c r="B1053" s="79">
        <v>202421003</v>
      </c>
      <c r="C1053" s="79" t="s">
        <v>205</v>
      </c>
      <c r="D1053" s="80">
        <v>45708</v>
      </c>
      <c r="E1053" s="79" t="s">
        <v>13</v>
      </c>
      <c r="F1053" s="79" t="s">
        <v>206</v>
      </c>
      <c r="G1053" s="79"/>
      <c r="H1053" s="79" t="s">
        <v>442</v>
      </c>
    </row>
    <row r="1054" spans="1:8">
      <c r="A1054" s="79" t="str">
        <f>LeaveData[[#This Row],[ EMP ID]]&amp;LeaveData[[#This Row],[Date]]</f>
        <v>20242100345709</v>
      </c>
      <c r="B1054" s="79">
        <v>202421003</v>
      </c>
      <c r="C1054" s="79" t="s">
        <v>205</v>
      </c>
      <c r="D1054" s="80">
        <v>45709</v>
      </c>
      <c r="E1054" s="79" t="s">
        <v>13</v>
      </c>
      <c r="F1054" s="79" t="s">
        <v>206</v>
      </c>
      <c r="G1054" s="79"/>
      <c r="H1054" s="79" t="s">
        <v>442</v>
      </c>
    </row>
    <row r="1055" spans="1:8">
      <c r="A1055" s="79" t="str">
        <f>LeaveData[[#This Row],[ EMP ID]]&amp;LeaveData[[#This Row],[Date]]</f>
        <v>20242100345710</v>
      </c>
      <c r="B1055" s="79">
        <v>202421003</v>
      </c>
      <c r="C1055" s="79" t="s">
        <v>205</v>
      </c>
      <c r="D1055" s="80">
        <v>45710</v>
      </c>
      <c r="E1055" s="79" t="s">
        <v>13</v>
      </c>
      <c r="F1055" s="79" t="s">
        <v>206</v>
      </c>
      <c r="G1055" s="79"/>
      <c r="H1055" s="79" t="s">
        <v>442</v>
      </c>
    </row>
    <row r="1056" spans="1:8">
      <c r="A1056" s="79" t="str">
        <f>LeaveData[[#This Row],[ EMP ID]]&amp;LeaveData[[#This Row],[Date]]</f>
        <v>20242100345712</v>
      </c>
      <c r="B1056" s="79">
        <v>202421003</v>
      </c>
      <c r="C1056" s="79" t="s">
        <v>205</v>
      </c>
      <c r="D1056" s="80">
        <v>45712</v>
      </c>
      <c r="E1056" s="79" t="s">
        <v>13</v>
      </c>
      <c r="F1056" s="79" t="s">
        <v>206</v>
      </c>
      <c r="G1056" s="79"/>
      <c r="H1056" s="79" t="s">
        <v>442</v>
      </c>
    </row>
    <row r="1057" spans="1:8">
      <c r="A1057" s="79" t="str">
        <f>LeaveData[[#This Row],[ EMP ID]]&amp;LeaveData[[#This Row],[Date]]</f>
        <v>20242100345713</v>
      </c>
      <c r="B1057" s="79">
        <v>202421003</v>
      </c>
      <c r="C1057" s="79" t="s">
        <v>205</v>
      </c>
      <c r="D1057" s="80">
        <v>45713</v>
      </c>
      <c r="E1057" s="79" t="s">
        <v>13</v>
      </c>
      <c r="F1057" s="79" t="s">
        <v>206</v>
      </c>
      <c r="G1057" s="79"/>
      <c r="H1057" s="79" t="s">
        <v>442</v>
      </c>
    </row>
    <row r="1058" spans="1:8">
      <c r="A1058" s="79" t="str">
        <f>LeaveData[[#This Row],[ EMP ID]]&amp;LeaveData[[#This Row],[Date]]</f>
        <v>20242100345714</v>
      </c>
      <c r="B1058" s="79">
        <v>202421003</v>
      </c>
      <c r="C1058" s="79" t="s">
        <v>205</v>
      </c>
      <c r="D1058" s="80">
        <v>45714</v>
      </c>
      <c r="E1058" s="79" t="s">
        <v>13</v>
      </c>
      <c r="F1058" s="79" t="s">
        <v>206</v>
      </c>
      <c r="G1058" s="79"/>
      <c r="H1058" s="79" t="s">
        <v>442</v>
      </c>
    </row>
    <row r="1059" spans="1:8">
      <c r="A1059" s="79" t="str">
        <f>LeaveData[[#This Row],[ EMP ID]]&amp;LeaveData[[#This Row],[Date]]</f>
        <v>20242100345715</v>
      </c>
      <c r="B1059" s="79">
        <v>202421003</v>
      </c>
      <c r="C1059" s="79" t="s">
        <v>205</v>
      </c>
      <c r="D1059" s="80">
        <v>45715</v>
      </c>
      <c r="E1059" s="79" t="s">
        <v>13</v>
      </c>
      <c r="F1059" s="79" t="s">
        <v>206</v>
      </c>
      <c r="G1059" s="79"/>
      <c r="H1059" s="79" t="s">
        <v>442</v>
      </c>
    </row>
    <row r="1060" spans="1:8">
      <c r="A1060" s="79" t="str">
        <f>LeaveData[[#This Row],[ EMP ID]]&amp;LeaveData[[#This Row],[Date]]</f>
        <v>20242100345716</v>
      </c>
      <c r="B1060" s="79">
        <v>202421003</v>
      </c>
      <c r="C1060" s="79" t="s">
        <v>205</v>
      </c>
      <c r="D1060" s="80">
        <v>45716</v>
      </c>
      <c r="E1060" s="79" t="s">
        <v>13</v>
      </c>
      <c r="F1060" s="79" t="s">
        <v>206</v>
      </c>
      <c r="G1060" s="79"/>
      <c r="H1060" s="79" t="s">
        <v>442</v>
      </c>
    </row>
    <row r="1061" spans="1:8">
      <c r="A1061" s="79" t="str">
        <f>LeaveData[[#This Row],[ EMP ID]]&amp;LeaveData[[#This Row],[Date]]</f>
        <v>20182000145693</v>
      </c>
      <c r="B1061" s="79">
        <v>201820001</v>
      </c>
      <c r="C1061" s="79" t="s">
        <v>18</v>
      </c>
      <c r="D1061" s="80">
        <v>45693</v>
      </c>
      <c r="E1061" s="79" t="s">
        <v>12</v>
      </c>
      <c r="F1061" s="79" t="s">
        <v>118</v>
      </c>
      <c r="G1061" s="79"/>
      <c r="H1061" s="79" t="s">
        <v>416</v>
      </c>
    </row>
    <row r="1062" spans="1:8">
      <c r="A1062" s="79" t="str">
        <f>LeaveData[[#This Row],[ EMP ID]]&amp;LeaveData[[#This Row],[Date]]</f>
        <v>20241803845709</v>
      </c>
      <c r="B1062" s="79">
        <v>202418038</v>
      </c>
      <c r="C1062" s="79" t="s">
        <v>246</v>
      </c>
      <c r="D1062" s="80">
        <v>45709</v>
      </c>
      <c r="E1062" s="79" t="s">
        <v>13</v>
      </c>
      <c r="F1062" s="79" t="s">
        <v>125</v>
      </c>
      <c r="G1062" s="79"/>
      <c r="H1062" s="79" t="s">
        <v>443</v>
      </c>
    </row>
    <row r="1063" spans="1:8">
      <c r="A1063" s="79" t="str">
        <f>LeaveData[[#This Row],[ EMP ID]]&amp;LeaveData[[#This Row],[Date]]</f>
        <v>20241803845710</v>
      </c>
      <c r="B1063" s="79">
        <v>202418038</v>
      </c>
      <c r="C1063" s="79" t="s">
        <v>246</v>
      </c>
      <c r="D1063" s="80">
        <v>45710</v>
      </c>
      <c r="E1063" s="79" t="s">
        <v>13</v>
      </c>
      <c r="F1063" s="79" t="s">
        <v>125</v>
      </c>
      <c r="G1063" s="79"/>
      <c r="H1063" s="79" t="s">
        <v>443</v>
      </c>
    </row>
    <row r="1064" spans="1:8">
      <c r="A1064" s="79" t="str">
        <f>LeaveData[[#This Row],[ EMP ID]]&amp;LeaveData[[#This Row],[Date]]</f>
        <v>20241803845711</v>
      </c>
      <c r="B1064" s="79">
        <v>202418038</v>
      </c>
      <c r="C1064" s="79" t="s">
        <v>246</v>
      </c>
      <c r="D1064" s="80">
        <v>45711</v>
      </c>
      <c r="E1064" s="79" t="s">
        <v>13</v>
      </c>
      <c r="F1064" s="79" t="s">
        <v>125</v>
      </c>
      <c r="G1064" s="79"/>
      <c r="H1064" s="79" t="s">
        <v>443</v>
      </c>
    </row>
    <row r="1065" spans="1:8">
      <c r="A1065" s="79" t="str">
        <f>LeaveData[[#This Row],[ EMP ID]]&amp;LeaveData[[#This Row],[Date]]</f>
        <v>20241803845712</v>
      </c>
      <c r="B1065" s="79">
        <v>202418038</v>
      </c>
      <c r="C1065" s="79" t="s">
        <v>246</v>
      </c>
      <c r="D1065" s="80">
        <v>45712</v>
      </c>
      <c r="E1065" s="79" t="s">
        <v>13</v>
      </c>
      <c r="F1065" s="79" t="s">
        <v>125</v>
      </c>
      <c r="G1065" s="79"/>
      <c r="H1065" s="79" t="s">
        <v>443</v>
      </c>
    </row>
    <row r="1066" spans="1:8">
      <c r="A1066" s="79" t="str">
        <f>LeaveData[[#This Row],[ EMP ID]]&amp;LeaveData[[#This Row],[Date]]</f>
        <v>20241803845713</v>
      </c>
      <c r="B1066" s="79">
        <v>202418038</v>
      </c>
      <c r="C1066" s="79" t="s">
        <v>246</v>
      </c>
      <c r="D1066" s="80">
        <v>45713</v>
      </c>
      <c r="E1066" s="79" t="s">
        <v>13</v>
      </c>
      <c r="F1066" s="79" t="s">
        <v>125</v>
      </c>
      <c r="G1066" s="79"/>
      <c r="H1066" s="79" t="s">
        <v>443</v>
      </c>
    </row>
    <row r="1067" spans="1:8">
      <c r="A1067" s="79" t="str">
        <f>LeaveData[[#This Row],[ EMP ID]]&amp;LeaveData[[#This Row],[Date]]</f>
        <v>20221801045706</v>
      </c>
      <c r="B1067" s="79">
        <v>202218010</v>
      </c>
      <c r="C1067" s="79" t="s">
        <v>27</v>
      </c>
      <c r="D1067" s="80">
        <v>45706</v>
      </c>
      <c r="E1067" s="79" t="s">
        <v>318</v>
      </c>
      <c r="F1067" s="79" t="s">
        <v>118</v>
      </c>
      <c r="G1067" s="79"/>
      <c r="H1067" s="79" t="s">
        <v>444</v>
      </c>
    </row>
    <row r="1068" spans="1:8">
      <c r="A1068" s="79" t="str">
        <f>LeaveData[[#This Row],[ EMP ID]]&amp;LeaveData[[#This Row],[Date]]</f>
        <v>20221801045709</v>
      </c>
      <c r="B1068" s="79">
        <v>202218010</v>
      </c>
      <c r="C1068" s="79" t="s">
        <v>27</v>
      </c>
      <c r="D1068" s="80">
        <v>45709</v>
      </c>
      <c r="E1068" s="79" t="s">
        <v>318</v>
      </c>
      <c r="F1068" s="79" t="s">
        <v>118</v>
      </c>
      <c r="G1068" s="79"/>
      <c r="H1068" s="79" t="s">
        <v>445</v>
      </c>
    </row>
    <row r="1069" spans="1:8">
      <c r="A1069" s="79" t="str">
        <f>LeaveData[[#This Row],[ EMP ID]]&amp;LeaveData[[#This Row],[Date]]</f>
        <v>20221801045710</v>
      </c>
      <c r="B1069" s="79">
        <v>202218010</v>
      </c>
      <c r="C1069" s="79" t="s">
        <v>27</v>
      </c>
      <c r="D1069" s="80">
        <v>45710</v>
      </c>
      <c r="E1069" s="79" t="s">
        <v>318</v>
      </c>
      <c r="F1069" s="79" t="s">
        <v>118</v>
      </c>
      <c r="G1069" s="79"/>
      <c r="H1069" s="79" t="s">
        <v>445</v>
      </c>
    </row>
    <row r="1070" spans="1:8">
      <c r="A1070" s="79" t="str">
        <f>LeaveData[[#This Row],[ EMP ID]]&amp;LeaveData[[#This Row],[Date]]</f>
        <v>20221801045712</v>
      </c>
      <c r="B1070" s="79">
        <v>202218010</v>
      </c>
      <c r="C1070" s="79" t="s">
        <v>27</v>
      </c>
      <c r="D1070" s="80">
        <v>45712</v>
      </c>
      <c r="E1070" s="79" t="s">
        <v>318</v>
      </c>
      <c r="F1070" s="79" t="s">
        <v>118</v>
      </c>
      <c r="G1070" s="79"/>
      <c r="H1070" s="79" t="s">
        <v>445</v>
      </c>
    </row>
    <row r="1071" spans="1:8">
      <c r="A1071" s="79" t="str">
        <f>LeaveData[[#This Row],[ EMP ID]]&amp;LeaveData[[#This Row],[Date]]</f>
        <v>20221801045713</v>
      </c>
      <c r="B1071" s="79">
        <v>202218010</v>
      </c>
      <c r="C1071" s="79" t="s">
        <v>27</v>
      </c>
      <c r="D1071" s="80">
        <v>45713</v>
      </c>
      <c r="E1071" s="79" t="s">
        <v>318</v>
      </c>
      <c r="F1071" s="79" t="s">
        <v>118</v>
      </c>
      <c r="G1071" s="79"/>
      <c r="H1071" s="79" t="s">
        <v>445</v>
      </c>
    </row>
    <row r="1072" spans="1:8">
      <c r="A1072" s="79" t="str">
        <f>LeaveData[[#This Row],[ EMP ID]]&amp;LeaveData[[#This Row],[Date]]</f>
        <v>20221801145698</v>
      </c>
      <c r="B1072" s="79">
        <v>202218011</v>
      </c>
      <c r="C1072" s="79" t="s">
        <v>28</v>
      </c>
      <c r="D1072" s="80">
        <v>45698</v>
      </c>
      <c r="E1072" s="79" t="s">
        <v>12</v>
      </c>
      <c r="F1072" s="79" t="s">
        <v>27</v>
      </c>
      <c r="G1072" s="79"/>
      <c r="H1072" s="79" t="s">
        <v>416</v>
      </c>
    </row>
    <row r="1073" spans="1:8">
      <c r="A1073" s="79" t="str">
        <f>LeaveData[[#This Row],[ EMP ID]]&amp;LeaveData[[#This Row],[Date]]</f>
        <v>20241803545696</v>
      </c>
      <c r="B1073" s="79">
        <v>202418035</v>
      </c>
      <c r="C1073" s="79" t="s">
        <v>96</v>
      </c>
      <c r="D1073" s="80">
        <v>45696</v>
      </c>
      <c r="E1073" s="79" t="s">
        <v>154</v>
      </c>
      <c r="F1073" s="79" t="s">
        <v>118</v>
      </c>
      <c r="G1073" s="79"/>
      <c r="H1073" s="79" t="s">
        <v>155</v>
      </c>
    </row>
    <row r="1074" spans="1:8">
      <c r="A1074" s="79" t="str">
        <f>LeaveData[[#This Row],[ EMP ID]]&amp;LeaveData[[#This Row],[Date]]</f>
        <v>20231802245696</v>
      </c>
      <c r="B1074" s="79">
        <v>202318022</v>
      </c>
      <c r="C1074" s="79" t="s">
        <v>45</v>
      </c>
      <c r="D1074" s="80">
        <v>45696</v>
      </c>
      <c r="E1074" s="79" t="s">
        <v>154</v>
      </c>
      <c r="F1074" s="79" t="s">
        <v>118</v>
      </c>
      <c r="G1074" s="79"/>
      <c r="H1074" s="79" t="s">
        <v>155</v>
      </c>
    </row>
    <row r="1075" spans="1:8">
      <c r="A1075" s="79" t="str">
        <f>LeaveData[[#This Row],[ EMP ID]]&amp;LeaveData[[#This Row],[Date]]</f>
        <v>20231802245697</v>
      </c>
      <c r="B1075" s="79">
        <v>202318022</v>
      </c>
      <c r="C1075" s="79" t="s">
        <v>45</v>
      </c>
      <c r="D1075" s="80">
        <v>45697</v>
      </c>
      <c r="E1075" s="79" t="s">
        <v>406</v>
      </c>
      <c r="F1075" s="79" t="s">
        <v>118</v>
      </c>
      <c r="G1075" s="79"/>
      <c r="H1075" s="79" t="s">
        <v>422</v>
      </c>
    </row>
    <row r="1076" spans="1:8">
      <c r="A1076" s="79" t="str">
        <f>LeaveData[[#This Row],[ EMP ID]]&amp;LeaveData[[#This Row],[Date]]</f>
        <v>20231802045696</v>
      </c>
      <c r="B1076" s="79">
        <v>202318020</v>
      </c>
      <c r="C1076" s="79" t="s">
        <v>43</v>
      </c>
      <c r="D1076" s="80">
        <v>45696</v>
      </c>
      <c r="E1076" s="79" t="s">
        <v>154</v>
      </c>
      <c r="F1076" s="79" t="s">
        <v>104</v>
      </c>
      <c r="G1076" s="79"/>
      <c r="H1076" s="79" t="s">
        <v>155</v>
      </c>
    </row>
    <row r="1077" spans="1:8">
      <c r="A1077" s="79" t="str">
        <f>LeaveData[[#This Row],[ EMP ID]]&amp;LeaveData[[#This Row],[Date]]</f>
        <v>20231802045697</v>
      </c>
      <c r="B1077" s="79">
        <v>202318020</v>
      </c>
      <c r="C1077" s="79" t="s">
        <v>43</v>
      </c>
      <c r="D1077" s="80">
        <v>45697</v>
      </c>
      <c r="E1077" s="79" t="s">
        <v>406</v>
      </c>
      <c r="F1077" s="79" t="s">
        <v>104</v>
      </c>
      <c r="G1077" s="79"/>
      <c r="H1077" s="79" t="s">
        <v>422</v>
      </c>
    </row>
    <row r="1078" spans="1:8">
      <c r="A1078" s="79" t="str">
        <f>LeaveData[[#This Row],[ EMP ID]]&amp;LeaveData[[#This Row],[Date]]</f>
        <v>20241803545703</v>
      </c>
      <c r="B1078" s="79">
        <v>202418035</v>
      </c>
      <c r="C1078" s="79" t="s">
        <v>96</v>
      </c>
      <c r="D1078" s="80">
        <v>45703</v>
      </c>
      <c r="E1078" s="79" t="s">
        <v>13</v>
      </c>
      <c r="F1078" s="79" t="s">
        <v>118</v>
      </c>
      <c r="G1078" s="79"/>
      <c r="H1078" s="79" t="s">
        <v>446</v>
      </c>
    </row>
    <row r="1079" spans="1:8">
      <c r="A1079" s="79" t="str">
        <f>LeaveData[[#This Row],[ EMP ID]]&amp;LeaveData[[#This Row],[Date]]</f>
        <v>20232000945700</v>
      </c>
      <c r="B1079" s="79">
        <v>202320009</v>
      </c>
      <c r="C1079" s="79" t="s">
        <v>143</v>
      </c>
      <c r="D1079" s="80">
        <v>45700</v>
      </c>
      <c r="E1079" s="79" t="s">
        <v>12</v>
      </c>
      <c r="F1079" s="79" t="s">
        <v>118</v>
      </c>
      <c r="G1079" s="79"/>
      <c r="H1079" s="79" t="s">
        <v>447</v>
      </c>
    </row>
    <row r="1080" spans="1:8">
      <c r="A1080" s="79" t="str">
        <f>LeaveData[[#This Row],[ EMP ID]]&amp;LeaveData[[#This Row],[Date]]</f>
        <v>20242100245700</v>
      </c>
      <c r="B1080" s="79">
        <v>202421002</v>
      </c>
      <c r="C1080" s="79" t="s">
        <v>223</v>
      </c>
      <c r="D1080" s="80">
        <v>45700</v>
      </c>
      <c r="E1080" s="79" t="s">
        <v>12</v>
      </c>
      <c r="F1080" s="79" t="s">
        <v>206</v>
      </c>
      <c r="G1080" s="79"/>
      <c r="H1080" s="79" t="s">
        <v>448</v>
      </c>
    </row>
    <row r="1081" spans="1:8">
      <c r="A1081" s="79" t="str">
        <f>LeaveData[[#This Row],[ EMP ID]]&amp;LeaveData[[#This Row],[Date]]</f>
        <v>20182000145702</v>
      </c>
      <c r="B1081" s="79">
        <v>201820001</v>
      </c>
      <c r="C1081" s="79" t="s">
        <v>18</v>
      </c>
      <c r="D1081" s="80">
        <v>45702</v>
      </c>
      <c r="E1081" s="79" t="s">
        <v>12</v>
      </c>
      <c r="F1081" s="79" t="s">
        <v>206</v>
      </c>
      <c r="G1081" s="79"/>
      <c r="H1081" s="79" t="s">
        <v>416</v>
      </c>
    </row>
    <row r="1082" spans="1:8">
      <c r="A1082" s="79" t="str">
        <f>LeaveData[[#This Row],[ EMP ID]]&amp;LeaveData[[#This Row],[Date]]</f>
        <v>20221801245700</v>
      </c>
      <c r="B1082" s="79">
        <v>202218012</v>
      </c>
      <c r="C1082" s="79" t="s">
        <v>29</v>
      </c>
      <c r="D1082" s="80">
        <v>45700</v>
      </c>
      <c r="E1082" s="79" t="s">
        <v>13</v>
      </c>
      <c r="F1082" s="79" t="s">
        <v>118</v>
      </c>
      <c r="G1082" s="79"/>
      <c r="H1082" s="79" t="s">
        <v>116</v>
      </c>
    </row>
    <row r="1083" spans="1:8">
      <c r="A1083" s="79" t="str">
        <f>LeaveData[[#This Row],[ EMP ID]]&amp;LeaveData[[#This Row],[Date]]</f>
        <v>20221800945703</v>
      </c>
      <c r="B1083" s="79">
        <v>202218009</v>
      </c>
      <c r="C1083" s="79" t="s">
        <v>26</v>
      </c>
      <c r="D1083" s="80">
        <v>45703</v>
      </c>
      <c r="E1083" s="79" t="s">
        <v>13</v>
      </c>
      <c r="F1083" s="79" t="s">
        <v>118</v>
      </c>
      <c r="G1083" s="79"/>
      <c r="H1083" s="79" t="s">
        <v>449</v>
      </c>
    </row>
    <row r="1084" spans="1:8">
      <c r="A1084" s="79" t="str">
        <f>LeaveData[[#This Row],[ EMP ID]]&amp;LeaveData[[#This Row],[Date]]</f>
        <v>20231802345703</v>
      </c>
      <c r="B1084" s="79">
        <v>202318023</v>
      </c>
      <c r="C1084" s="79" t="s">
        <v>148</v>
      </c>
      <c r="D1084" s="80">
        <v>45703</v>
      </c>
      <c r="E1084" s="79" t="s">
        <v>15</v>
      </c>
      <c r="F1084" s="79" t="s">
        <v>118</v>
      </c>
      <c r="G1084" s="79"/>
      <c r="H1084" s="79" t="s">
        <v>450</v>
      </c>
    </row>
    <row r="1085" spans="1:8">
      <c r="A1085" s="79" t="str">
        <f>LeaveData[[#This Row],[ EMP ID]]&amp;LeaveData[[#This Row],[Date]]</f>
        <v>20231801945700</v>
      </c>
      <c r="B1085" s="79">
        <v>202318019</v>
      </c>
      <c r="C1085" s="79" t="s">
        <v>89</v>
      </c>
      <c r="D1085" s="80">
        <v>45700</v>
      </c>
      <c r="E1085" s="79" t="s">
        <v>16</v>
      </c>
      <c r="F1085" s="79" t="s">
        <v>45</v>
      </c>
      <c r="G1085" s="79"/>
      <c r="H1085" s="79" t="s">
        <v>416</v>
      </c>
    </row>
    <row r="1086" spans="1:8">
      <c r="A1086" s="79" t="str">
        <f>LeaveData[[#This Row],[ EMP ID]]&amp;LeaveData[[#This Row],[Date]]</f>
        <v>20231801945701</v>
      </c>
      <c r="B1086" s="79">
        <v>202318019</v>
      </c>
      <c r="C1086" s="79" t="s">
        <v>89</v>
      </c>
      <c r="D1086" s="80">
        <v>45701</v>
      </c>
      <c r="E1086" s="79" t="s">
        <v>16</v>
      </c>
      <c r="F1086" s="79" t="s">
        <v>45</v>
      </c>
      <c r="G1086" s="79"/>
      <c r="H1086" s="79" t="s">
        <v>416</v>
      </c>
    </row>
    <row r="1087" spans="1:8">
      <c r="A1087" s="79" t="str">
        <f>LeaveData[[#This Row],[ EMP ID]]&amp;LeaveData[[#This Row],[Date]]</f>
        <v>20231802245704</v>
      </c>
      <c r="B1087" s="79">
        <v>202318022</v>
      </c>
      <c r="C1087" s="79" t="s">
        <v>45</v>
      </c>
      <c r="D1087" s="80">
        <v>45704</v>
      </c>
      <c r="E1087" s="79" t="s">
        <v>406</v>
      </c>
      <c r="F1087" s="79" t="s">
        <v>118</v>
      </c>
      <c r="G1087" s="79"/>
      <c r="H1087" s="79" t="s">
        <v>422</v>
      </c>
    </row>
    <row r="1088" spans="1:8">
      <c r="A1088" s="79" t="str">
        <f>LeaveData[[#This Row],[ EMP ID]]&amp;LeaveData[[#This Row],[Date]]</f>
        <v>20241803545705</v>
      </c>
      <c r="B1088" s="79">
        <v>202418035</v>
      </c>
      <c r="C1088" s="79" t="s">
        <v>96</v>
      </c>
      <c r="D1088" s="80">
        <v>45705</v>
      </c>
      <c r="E1088" s="79" t="s">
        <v>12</v>
      </c>
      <c r="F1088" s="79" t="s">
        <v>118</v>
      </c>
      <c r="G1088" s="79"/>
      <c r="H1088" s="79" t="s">
        <v>119</v>
      </c>
    </row>
    <row r="1089" spans="1:8">
      <c r="A1089" s="79" t="str">
        <f>LeaveData[[#This Row],[ EMP ID]]&amp;LeaveData[[#This Row],[Date]]</f>
        <v>20231802045706</v>
      </c>
      <c r="B1089" s="79">
        <v>202318020</v>
      </c>
      <c r="C1089" s="79" t="s">
        <v>43</v>
      </c>
      <c r="D1089" s="80">
        <v>45706</v>
      </c>
      <c r="E1089" s="79" t="s">
        <v>16</v>
      </c>
      <c r="F1089" s="79" t="s">
        <v>104</v>
      </c>
      <c r="G1089" s="79"/>
      <c r="H1089" s="79" t="s">
        <v>451</v>
      </c>
    </row>
    <row r="1090" spans="1:8">
      <c r="A1090" s="79" t="str">
        <f>LeaveData[[#This Row],[ EMP ID]]&amp;LeaveData[[#This Row],[Date]]</f>
        <v>20231801845706</v>
      </c>
      <c r="B1090" s="79">
        <v>202318018</v>
      </c>
      <c r="C1090" s="79" t="s">
        <v>40</v>
      </c>
      <c r="D1090" s="80">
        <v>45706</v>
      </c>
      <c r="E1090" s="79" t="s">
        <v>15</v>
      </c>
      <c r="F1090" s="79" t="s">
        <v>104</v>
      </c>
      <c r="G1090" s="79"/>
      <c r="H1090" s="79" t="s">
        <v>416</v>
      </c>
    </row>
    <row r="1091" spans="1:8">
      <c r="A1091" s="79" t="str">
        <f>LeaveData[[#This Row],[ EMP ID]]&amp;LeaveData[[#This Row],[Date]]</f>
        <v>20231801945705</v>
      </c>
      <c r="B1091" s="79">
        <v>202318019</v>
      </c>
      <c r="C1091" s="79" t="s">
        <v>89</v>
      </c>
      <c r="D1091" s="80">
        <v>45705</v>
      </c>
      <c r="E1091" s="79" t="s">
        <v>12</v>
      </c>
      <c r="F1091" s="79" t="s">
        <v>45</v>
      </c>
      <c r="G1091" s="79"/>
      <c r="H1091" s="79" t="s">
        <v>416</v>
      </c>
    </row>
    <row r="1092" spans="1:8">
      <c r="A1092" s="79" t="str">
        <f>LeaveData[[#This Row],[ EMP ID]]&amp;LeaveData[[#This Row],[Date]]</f>
        <v>20221800945707</v>
      </c>
      <c r="B1092" s="79">
        <v>202218009</v>
      </c>
      <c r="C1092" s="79" t="s">
        <v>26</v>
      </c>
      <c r="D1092" s="80">
        <v>45707</v>
      </c>
      <c r="E1092" s="79" t="s">
        <v>12</v>
      </c>
      <c r="F1092" s="79" t="s">
        <v>118</v>
      </c>
      <c r="G1092" s="79"/>
      <c r="H1092" s="79" t="s">
        <v>350</v>
      </c>
    </row>
    <row r="1093" spans="1:8">
      <c r="A1093" s="79" t="str">
        <f>LeaveData[[#This Row],[ EMP ID]]&amp;LeaveData[[#This Row],[Date]]</f>
        <v>20221801445714</v>
      </c>
      <c r="B1093" s="79">
        <v>202218014</v>
      </c>
      <c r="C1093" s="79" t="s">
        <v>32</v>
      </c>
      <c r="D1093" s="80">
        <v>45714</v>
      </c>
      <c r="E1093" s="79" t="s">
        <v>13</v>
      </c>
      <c r="F1093" s="79" t="s">
        <v>125</v>
      </c>
      <c r="G1093" s="79"/>
      <c r="H1093" s="79" t="s">
        <v>105</v>
      </c>
    </row>
    <row r="1094" spans="1:8">
      <c r="A1094" s="79" t="str">
        <f>LeaveData[[#This Row],[ EMP ID]]&amp;LeaveData[[#This Row],[Date]]</f>
        <v>20211800745710</v>
      </c>
      <c r="B1094" s="79">
        <v>202118007</v>
      </c>
      <c r="C1094" s="79" t="s">
        <v>103</v>
      </c>
      <c r="D1094" s="80">
        <v>45710</v>
      </c>
      <c r="E1094" s="79" t="s">
        <v>13</v>
      </c>
      <c r="F1094" s="79" t="s">
        <v>104</v>
      </c>
      <c r="G1094" s="79"/>
      <c r="H1094" s="79" t="s">
        <v>168</v>
      </c>
    </row>
    <row r="1095" spans="1:8">
      <c r="A1095" s="79" t="str">
        <f>LeaveData[[#This Row],[ EMP ID]]&amp;LeaveData[[#This Row],[Date]]</f>
        <v>20231802845708</v>
      </c>
      <c r="B1095" s="79">
        <v>202318028</v>
      </c>
      <c r="C1095" s="79" t="s">
        <v>57</v>
      </c>
      <c r="D1095" s="80">
        <v>45708</v>
      </c>
      <c r="E1095" s="79" t="s">
        <v>15</v>
      </c>
      <c r="F1095" s="79" t="s">
        <v>118</v>
      </c>
      <c r="G1095" s="79"/>
      <c r="H1095" s="79" t="s">
        <v>452</v>
      </c>
    </row>
    <row r="1096" spans="1:8">
      <c r="A1096" s="79" t="str">
        <f>LeaveData[[#This Row],[ EMP ID]]&amp;LeaveData[[#This Row],[Date]]</f>
        <v>20241804045705</v>
      </c>
      <c r="B1096" s="79">
        <v>202418040</v>
      </c>
      <c r="C1096" s="79" t="s">
        <v>341</v>
      </c>
      <c r="D1096" s="80">
        <v>45705</v>
      </c>
      <c r="E1096" s="79" t="s">
        <v>15</v>
      </c>
      <c r="F1096" s="79" t="s">
        <v>114</v>
      </c>
      <c r="G1096" s="79"/>
      <c r="H1096" s="79" t="s">
        <v>253</v>
      </c>
    </row>
    <row r="1097" spans="1:8">
      <c r="A1097" s="79" t="str">
        <f>LeaveData[[#This Row],[ EMP ID]]&amp;LeaveData[[#This Row],[Date]]</f>
        <v>20182000145714</v>
      </c>
      <c r="B1097" s="79">
        <v>201820001</v>
      </c>
      <c r="C1097" s="79" t="s">
        <v>18</v>
      </c>
      <c r="D1097" s="80">
        <v>45714</v>
      </c>
      <c r="E1097" s="79" t="s">
        <v>13</v>
      </c>
      <c r="F1097" s="79" t="s">
        <v>118</v>
      </c>
      <c r="G1097" s="79"/>
      <c r="H1097" s="79" t="s">
        <v>168</v>
      </c>
    </row>
    <row r="1098" spans="1:8">
      <c r="A1098" s="79" t="str">
        <f>LeaveData[[#This Row],[ EMP ID]]&amp;LeaveData[[#This Row],[Date]]</f>
        <v>20231802645712</v>
      </c>
      <c r="B1098" s="79">
        <v>202318026</v>
      </c>
      <c r="C1098" s="79" t="s">
        <v>53</v>
      </c>
      <c r="D1098" s="80">
        <v>45712</v>
      </c>
      <c r="E1098" s="79" t="s">
        <v>16</v>
      </c>
      <c r="F1098" s="79" t="s">
        <v>235</v>
      </c>
      <c r="G1098" s="79"/>
      <c r="H1098" s="79" t="s">
        <v>453</v>
      </c>
    </row>
    <row r="1099" spans="1:8">
      <c r="A1099" s="79" t="str">
        <f>LeaveData[[#This Row],[ EMP ID]]&amp;LeaveData[[#This Row],[Date]]</f>
        <v>20231802645713</v>
      </c>
      <c r="B1099" s="79">
        <v>202318026</v>
      </c>
      <c r="C1099" s="79" t="s">
        <v>53</v>
      </c>
      <c r="D1099" s="80">
        <v>45713</v>
      </c>
      <c r="E1099" s="79" t="s">
        <v>16</v>
      </c>
      <c r="F1099" s="79" t="s">
        <v>235</v>
      </c>
      <c r="G1099" s="79"/>
      <c r="H1099" s="79" t="s">
        <v>453</v>
      </c>
    </row>
    <row r="1100" spans="1:8">
      <c r="A1100" s="79" t="str">
        <f>LeaveData[[#This Row],[ EMP ID]]&amp;LeaveData[[#This Row],[Date]]</f>
        <v>20231802645714</v>
      </c>
      <c r="B1100" s="79">
        <v>202318026</v>
      </c>
      <c r="C1100" s="79" t="s">
        <v>53</v>
      </c>
      <c r="D1100" s="80">
        <v>45714</v>
      </c>
      <c r="E1100" s="79" t="s">
        <v>16</v>
      </c>
      <c r="F1100" s="79" t="s">
        <v>235</v>
      </c>
      <c r="G1100" s="79"/>
      <c r="H1100" s="79" t="s">
        <v>453</v>
      </c>
    </row>
    <row r="1101" spans="1:8">
      <c r="A1101" s="79" t="str">
        <f>LeaveData[[#This Row],[ EMP ID]]&amp;LeaveData[[#This Row],[Date]]</f>
        <v>20231802645715</v>
      </c>
      <c r="B1101" s="79">
        <v>202318026</v>
      </c>
      <c r="C1101" s="79" t="s">
        <v>53</v>
      </c>
      <c r="D1101" s="80">
        <v>45715</v>
      </c>
      <c r="E1101" s="79" t="s">
        <v>16</v>
      </c>
      <c r="F1101" s="79" t="s">
        <v>235</v>
      </c>
      <c r="G1101" s="79"/>
      <c r="H1101" s="79" t="s">
        <v>453</v>
      </c>
    </row>
    <row r="1102" spans="1:8">
      <c r="A1102" s="79" t="str">
        <f>LeaveData[[#This Row],[ EMP ID]]&amp;LeaveData[[#This Row],[Date]]</f>
        <v>20231802245712</v>
      </c>
      <c r="B1102" s="100">
        <v>202318022</v>
      </c>
      <c r="C1102" s="100" t="s">
        <v>45</v>
      </c>
      <c r="D1102" s="80">
        <v>45712</v>
      </c>
      <c r="E1102" s="79" t="s">
        <v>16</v>
      </c>
      <c r="F1102" s="79" t="s">
        <v>118</v>
      </c>
      <c r="G1102" s="79"/>
      <c r="H1102" s="79" t="s">
        <v>454</v>
      </c>
    </row>
    <row r="1103" spans="1:8">
      <c r="A1103" s="109" t="str">
        <f>LeaveData[[#This Row],[ EMP ID]]&amp;LeaveData[[#This Row],[Date]]</f>
        <v>20231802045712</v>
      </c>
      <c r="B1103" s="108">
        <v>202318020</v>
      </c>
      <c r="C1103" s="108" t="s">
        <v>43</v>
      </c>
      <c r="D1103" s="110">
        <v>45712</v>
      </c>
      <c r="E1103" s="79" t="s">
        <v>16</v>
      </c>
      <c r="F1103" s="79" t="s">
        <v>104</v>
      </c>
      <c r="G1103" s="79"/>
      <c r="H1103" s="79" t="s">
        <v>454</v>
      </c>
    </row>
    <row r="1104" spans="1:8">
      <c r="A1104" s="79" t="str">
        <f>LeaveData[[#This Row],[ EMP ID]]&amp;LeaveData[[#This Row],[Date]]</f>
        <v>20232000745714</v>
      </c>
      <c r="B1104" s="111">
        <v>202320007</v>
      </c>
      <c r="C1104" s="111" t="s">
        <v>183</v>
      </c>
      <c r="D1104" s="80">
        <v>45714</v>
      </c>
      <c r="E1104" s="79" t="s">
        <v>13</v>
      </c>
      <c r="F1104" s="79" t="s">
        <v>104</v>
      </c>
      <c r="G1104" s="79"/>
      <c r="H1104" s="79" t="s">
        <v>105</v>
      </c>
    </row>
    <row r="1105" spans="1:8">
      <c r="A1105" s="79" t="str">
        <f>LeaveData[[#This Row],[ EMP ID]]&amp;LeaveData[[#This Row],[Date]]</f>
        <v>20231801945709</v>
      </c>
      <c r="B1105" s="79">
        <v>202318019</v>
      </c>
      <c r="C1105" s="79" t="s">
        <v>89</v>
      </c>
      <c r="D1105" s="80">
        <v>45709</v>
      </c>
      <c r="E1105" s="79" t="s">
        <v>16</v>
      </c>
      <c r="F1105" s="79" t="s">
        <v>45</v>
      </c>
      <c r="G1105" s="79"/>
      <c r="H1105" s="79"/>
    </row>
    <row r="1106" spans="1:8">
      <c r="A1106" s="79" t="str">
        <f>LeaveData[[#This Row],[ EMP ID]]&amp;LeaveData[[#This Row],[Date]]</f>
        <v>20241803645713</v>
      </c>
      <c r="B1106" s="79">
        <v>202418036</v>
      </c>
      <c r="C1106" s="79" t="s">
        <v>232</v>
      </c>
      <c r="D1106" s="80">
        <v>45713</v>
      </c>
      <c r="E1106" s="79" t="s">
        <v>16</v>
      </c>
      <c r="F1106" s="79" t="s">
        <v>104</v>
      </c>
      <c r="G1106" s="79"/>
      <c r="H1106" s="79" t="s">
        <v>127</v>
      </c>
    </row>
    <row r="1107" spans="1:8">
      <c r="A1107" s="79" t="str">
        <f>LeaveData[[#This Row],[ EMP ID]]&amp;LeaveData[[#This Row],[Date]]</f>
        <v>20242101345713</v>
      </c>
      <c r="B1107" s="79">
        <v>202421013</v>
      </c>
      <c r="C1107" s="79" t="s">
        <v>378</v>
      </c>
      <c r="D1107" s="80">
        <v>45713</v>
      </c>
      <c r="E1107" s="79" t="s">
        <v>12</v>
      </c>
      <c r="F1107" s="79" t="s">
        <v>206</v>
      </c>
      <c r="G1107" s="79"/>
      <c r="H1107" s="79" t="s">
        <v>448</v>
      </c>
    </row>
    <row r="1108" spans="1:8">
      <c r="A1108" s="79" t="str">
        <f>LeaveData[[#This Row],[ EMP ID]]&amp;LeaveData[[#This Row],[Date]]</f>
        <v>20221801445713</v>
      </c>
      <c r="B1108" s="79">
        <v>202218014</v>
      </c>
      <c r="C1108" s="79" t="s">
        <v>32</v>
      </c>
      <c r="D1108" s="80">
        <v>45713</v>
      </c>
      <c r="E1108" s="79" t="s">
        <v>12</v>
      </c>
      <c r="F1108" s="79" t="s">
        <v>125</v>
      </c>
      <c r="G1108" s="79"/>
      <c r="H1108" s="79" t="s">
        <v>365</v>
      </c>
    </row>
    <row r="1109" spans="1:8">
      <c r="A1109" s="79" t="str">
        <f>LeaveData[[#This Row],[ EMP ID]]&amp;LeaveData[[#This Row],[Date]]</f>
        <v>20231801845707</v>
      </c>
      <c r="B1109" s="79">
        <v>202318018</v>
      </c>
      <c r="C1109" s="79" t="s">
        <v>40</v>
      </c>
      <c r="D1109" s="80">
        <v>45707</v>
      </c>
      <c r="E1109" s="79" t="s">
        <v>12</v>
      </c>
      <c r="F1109" s="79" t="s">
        <v>104</v>
      </c>
      <c r="G1109" s="79"/>
      <c r="H1109" s="79" t="s">
        <v>416</v>
      </c>
    </row>
    <row r="1110" spans="1:8">
      <c r="A1110" s="79" t="str">
        <f>LeaveData[[#This Row],[ EMP ID]]&amp;LeaveData[[#This Row],[Date]]</f>
        <v>20231801845708</v>
      </c>
      <c r="B1110" s="79">
        <v>202318018</v>
      </c>
      <c r="C1110" s="79" t="s">
        <v>40</v>
      </c>
      <c r="D1110" s="80">
        <v>45708</v>
      </c>
      <c r="E1110" s="79" t="s">
        <v>12</v>
      </c>
      <c r="F1110" s="79" t="s">
        <v>104</v>
      </c>
      <c r="G1110" s="79"/>
      <c r="H1110" s="79" t="s">
        <v>416</v>
      </c>
    </row>
    <row r="1111" spans="1:8">
      <c r="A1111" s="79" t="str">
        <f>LeaveData[[#This Row],[ EMP ID]]&amp;LeaveData[[#This Row],[Date]]</f>
        <v>20231801845709</v>
      </c>
      <c r="B1111" s="79">
        <v>202318018</v>
      </c>
      <c r="C1111" s="79" t="s">
        <v>40</v>
      </c>
      <c r="D1111" s="80">
        <v>45709</v>
      </c>
      <c r="E1111" s="79" t="s">
        <v>12</v>
      </c>
      <c r="F1111" s="79" t="s">
        <v>104</v>
      </c>
      <c r="G1111" s="79"/>
      <c r="H1111" s="79" t="s">
        <v>416</v>
      </c>
    </row>
    <row r="1112" spans="1:8">
      <c r="A1112" s="79" t="str">
        <f>LeaveData[[#This Row],[ EMP ID]]&amp;LeaveData[[#This Row],[Date]]</f>
        <v>20231801845710</v>
      </c>
      <c r="B1112" s="79">
        <v>202318018</v>
      </c>
      <c r="C1112" s="79" t="s">
        <v>40</v>
      </c>
      <c r="D1112" s="80">
        <v>45710</v>
      </c>
      <c r="E1112" s="79" t="s">
        <v>12</v>
      </c>
      <c r="F1112" s="79" t="s">
        <v>104</v>
      </c>
      <c r="G1112" s="79"/>
      <c r="H1112" s="79" t="s">
        <v>416</v>
      </c>
    </row>
    <row r="1113" spans="1:8">
      <c r="A1113" s="79" t="str">
        <f>LeaveData[[#This Row],[ EMP ID]]&amp;LeaveData[[#This Row],[Date]]</f>
        <v>20242101145717</v>
      </c>
      <c r="B1113" s="79">
        <v>202421011</v>
      </c>
      <c r="C1113" s="79" t="s">
        <v>309</v>
      </c>
      <c r="D1113" s="80">
        <v>45717</v>
      </c>
      <c r="E1113" s="79" t="s">
        <v>12</v>
      </c>
      <c r="F1113" s="79" t="s">
        <v>206</v>
      </c>
      <c r="G1113" s="79"/>
      <c r="H1113" s="79" t="s">
        <v>105</v>
      </c>
    </row>
    <row r="1114" spans="1:8">
      <c r="A1114" s="79" t="str">
        <f>LeaveData[[#This Row],[ EMP ID]]&amp;LeaveData[[#This Row],[Date]]</f>
        <v>20231801745708</v>
      </c>
      <c r="B1114" s="79">
        <v>202318017</v>
      </c>
      <c r="C1114" s="79" t="s">
        <v>37</v>
      </c>
      <c r="D1114" s="80">
        <v>45708</v>
      </c>
      <c r="E1114" s="79" t="s">
        <v>15</v>
      </c>
      <c r="F1114" s="79" t="s">
        <v>118</v>
      </c>
      <c r="G1114" s="79"/>
      <c r="H1114" s="79" t="s">
        <v>455</v>
      </c>
    </row>
    <row r="1115" spans="1:8">
      <c r="A1115" s="79" t="str">
        <f>LeaveData[[#This Row],[ EMP ID]]&amp;LeaveData[[#This Row],[Date]]</f>
        <v>20182000145704</v>
      </c>
      <c r="B1115" s="79">
        <v>201820001</v>
      </c>
      <c r="C1115" s="79" t="s">
        <v>18</v>
      </c>
      <c r="D1115" s="80">
        <v>45704</v>
      </c>
      <c r="E1115" s="79" t="s">
        <v>406</v>
      </c>
      <c r="F1115" s="79" t="s">
        <v>118</v>
      </c>
      <c r="G1115" s="79"/>
      <c r="H1115" s="79" t="s">
        <v>456</v>
      </c>
    </row>
    <row r="1116" spans="1:8">
      <c r="A1116" s="79" t="str">
        <f>LeaveData[[#This Row],[ EMP ID]]&amp;LeaveData[[#This Row],[Date]]</f>
        <v>20182000145711</v>
      </c>
      <c r="B1116" s="79">
        <v>201820001</v>
      </c>
      <c r="C1116" s="79" t="s">
        <v>18</v>
      </c>
      <c r="D1116" s="80">
        <v>45711</v>
      </c>
      <c r="E1116" s="79" t="s">
        <v>406</v>
      </c>
      <c r="F1116" s="79" t="s">
        <v>118</v>
      </c>
      <c r="G1116" s="79"/>
      <c r="H1116" s="79" t="s">
        <v>456</v>
      </c>
    </row>
    <row r="1117" spans="1:8">
      <c r="A1117" s="79" t="str">
        <f>LeaveData[[#This Row],[ EMP ID]]&amp;LeaveData[[#This Row],[Date]]</f>
        <v>20251804445713</v>
      </c>
      <c r="B1117" s="79">
        <v>202518044</v>
      </c>
      <c r="C1117" s="79" t="s">
        <v>433</v>
      </c>
      <c r="D1117" s="80">
        <v>45713</v>
      </c>
      <c r="E1117" s="79" t="s">
        <v>12</v>
      </c>
      <c r="F1117" s="79" t="s">
        <v>114</v>
      </c>
      <c r="G1117" s="79"/>
      <c r="H1117" s="79" t="s">
        <v>452</v>
      </c>
    </row>
    <row r="1118" spans="1:8">
      <c r="A1118" s="79" t="str">
        <f>LeaveData[[#This Row],[ EMP ID]]&amp;LeaveData[[#This Row],[Date]]</f>
        <v>20252101445339</v>
      </c>
      <c r="B1118" s="79">
        <v>202521014</v>
      </c>
      <c r="C1118" s="79" t="s">
        <v>441</v>
      </c>
      <c r="D1118" s="80">
        <v>45339</v>
      </c>
      <c r="E1118" s="79" t="s">
        <v>12</v>
      </c>
      <c r="F1118" s="79" t="s">
        <v>206</v>
      </c>
      <c r="G1118" s="79"/>
      <c r="H1118" s="79" t="s">
        <v>416</v>
      </c>
    </row>
    <row r="1119" spans="1:8">
      <c r="A1119" s="79" t="str">
        <f>LeaveData[[#This Row],[ EMP ID]]&amp;LeaveData[[#This Row],[Date]]</f>
        <v>20231801745714</v>
      </c>
      <c r="B1119" s="79">
        <v>202318017</v>
      </c>
      <c r="C1119" s="79" t="s">
        <v>37</v>
      </c>
      <c r="D1119" s="80">
        <v>45714</v>
      </c>
      <c r="E1119" s="79" t="s">
        <v>16</v>
      </c>
      <c r="F1119" s="79" t="s">
        <v>118</v>
      </c>
      <c r="G1119" s="79"/>
      <c r="H1119" s="79" t="s">
        <v>457</v>
      </c>
    </row>
    <row r="1120" spans="1:8">
      <c r="A1120" s="79" t="str">
        <f>LeaveData[[#This Row],[ EMP ID]]&amp;LeaveData[[#This Row],[Date]]</f>
        <v>20231801745715</v>
      </c>
      <c r="B1120" s="79">
        <v>202318017</v>
      </c>
      <c r="C1120" s="79" t="s">
        <v>37</v>
      </c>
      <c r="D1120" s="80">
        <v>45715</v>
      </c>
      <c r="E1120" s="79" t="s">
        <v>16</v>
      </c>
      <c r="F1120" s="79" t="s">
        <v>118</v>
      </c>
      <c r="G1120" s="79"/>
      <c r="H1120" s="79" t="s">
        <v>457</v>
      </c>
    </row>
    <row r="1121" spans="1:8">
      <c r="A1121" s="79" t="str">
        <f>LeaveData[[#This Row],[ EMP ID]]&amp;LeaveData[[#This Row],[Date]]</f>
        <v>20231801745716</v>
      </c>
      <c r="B1121" s="79">
        <v>202318017</v>
      </c>
      <c r="C1121" s="79" t="s">
        <v>37</v>
      </c>
      <c r="D1121" s="80">
        <v>45716</v>
      </c>
      <c r="E1121" s="79" t="s">
        <v>16</v>
      </c>
      <c r="F1121" s="79" t="s">
        <v>118</v>
      </c>
      <c r="G1121" s="79"/>
      <c r="H1121" s="79" t="s">
        <v>458</v>
      </c>
    </row>
    <row r="1122" spans="1:8">
      <c r="A1122" s="79" t="str">
        <f>LeaveData[[#This Row],[ EMP ID]]&amp;LeaveData[[#This Row],[Date]]</f>
        <v>20231801745717</v>
      </c>
      <c r="B1122" s="79">
        <v>202318017</v>
      </c>
      <c r="C1122" s="79" t="s">
        <v>37</v>
      </c>
      <c r="D1122" s="80">
        <v>45717</v>
      </c>
      <c r="E1122" s="79" t="s">
        <v>13</v>
      </c>
      <c r="F1122" s="79" t="s">
        <v>118</v>
      </c>
      <c r="G1122" s="79"/>
      <c r="H1122" s="79" t="s">
        <v>458</v>
      </c>
    </row>
    <row r="1123" spans="1:8">
      <c r="A1123" s="79" t="str">
        <f>LeaveData[[#This Row],[ EMP ID]]&amp;LeaveData[[#This Row],[Date]]</f>
        <v>20242100145741</v>
      </c>
      <c r="B1123" s="79">
        <v>202421001</v>
      </c>
      <c r="C1123" s="79" t="s">
        <v>221</v>
      </c>
      <c r="D1123" s="80">
        <v>45741</v>
      </c>
      <c r="E1123" s="79" t="s">
        <v>13</v>
      </c>
      <c r="F1123" s="79" t="s">
        <v>206</v>
      </c>
      <c r="G1123" s="79"/>
      <c r="H1123" s="79" t="s">
        <v>459</v>
      </c>
    </row>
    <row r="1124" spans="1:8">
      <c r="A1124" s="79" t="str">
        <f>LeaveData[[#This Row],[ EMP ID]]&amp;LeaveData[[#This Row],[Date]]</f>
        <v>20242100145742</v>
      </c>
      <c r="B1124" s="79">
        <v>202421001</v>
      </c>
      <c r="C1124" s="79" t="s">
        <v>221</v>
      </c>
      <c r="D1124" s="80">
        <v>45742</v>
      </c>
      <c r="E1124" s="79" t="s">
        <v>13</v>
      </c>
      <c r="F1124" s="79" t="s">
        <v>206</v>
      </c>
      <c r="G1124" s="79"/>
      <c r="H1124" s="79" t="s">
        <v>459</v>
      </c>
    </row>
    <row r="1125" spans="1:8">
      <c r="A1125" s="79" t="str">
        <f>LeaveData[[#This Row],[ EMP ID]]&amp;LeaveData[[#This Row],[Date]]</f>
        <v>20242100145743</v>
      </c>
      <c r="B1125" s="79">
        <v>202421001</v>
      </c>
      <c r="C1125" s="79" t="s">
        <v>221</v>
      </c>
      <c r="D1125" s="80">
        <v>45743</v>
      </c>
      <c r="E1125" s="79" t="s">
        <v>13</v>
      </c>
      <c r="F1125" s="79" t="s">
        <v>206</v>
      </c>
      <c r="G1125" s="79"/>
      <c r="H1125" s="79" t="s">
        <v>459</v>
      </c>
    </row>
    <row r="1126" spans="1:8">
      <c r="A1126" s="79" t="str">
        <f>LeaveData[[#This Row],[ EMP ID]]&amp;LeaveData[[#This Row],[Date]]</f>
        <v>20242100145744</v>
      </c>
      <c r="B1126" s="79">
        <v>202421001</v>
      </c>
      <c r="C1126" s="79" t="s">
        <v>221</v>
      </c>
      <c r="D1126" s="80">
        <v>45744</v>
      </c>
      <c r="E1126" s="79" t="s">
        <v>13</v>
      </c>
      <c r="F1126" s="79" t="s">
        <v>206</v>
      </c>
      <c r="G1126" s="79"/>
      <c r="H1126" s="79" t="s">
        <v>459</v>
      </c>
    </row>
    <row r="1127" spans="1:8">
      <c r="A1127" s="79" t="str">
        <f>LeaveData[[#This Row],[ EMP ID]]&amp;LeaveData[[#This Row],[Date]]</f>
        <v>20242100145745</v>
      </c>
      <c r="B1127" s="79">
        <v>202421001</v>
      </c>
      <c r="C1127" s="79" t="s">
        <v>221</v>
      </c>
      <c r="D1127" s="80">
        <v>45745</v>
      </c>
      <c r="E1127" s="79" t="s">
        <v>13</v>
      </c>
      <c r="F1127" s="79" t="s">
        <v>206</v>
      </c>
      <c r="G1127" s="79"/>
      <c r="H1127" s="79" t="s">
        <v>459</v>
      </c>
    </row>
    <row r="1128" spans="1:8">
      <c r="A1128" s="79" t="str">
        <f>LeaveData[[#This Row],[ EMP ID]]&amp;LeaveData[[#This Row],[Date]]</f>
        <v>20242100145738</v>
      </c>
      <c r="B1128" s="79">
        <v>202421001</v>
      </c>
      <c r="C1128" s="79" t="s">
        <v>221</v>
      </c>
      <c r="D1128" s="80">
        <v>45738</v>
      </c>
      <c r="E1128" s="79" t="s">
        <v>16</v>
      </c>
      <c r="F1128" s="79" t="s">
        <v>206</v>
      </c>
      <c r="G1128" s="79"/>
      <c r="H1128" s="79" t="s">
        <v>460</v>
      </c>
    </row>
    <row r="1129" spans="1:8">
      <c r="A1129" s="79" t="str">
        <f>LeaveData[[#This Row],[ EMP ID]]&amp;LeaveData[[#This Row],[Date]]</f>
        <v>20242100145740</v>
      </c>
      <c r="B1129" s="79">
        <v>202421001</v>
      </c>
      <c r="C1129" s="79" t="s">
        <v>221</v>
      </c>
      <c r="D1129" s="80">
        <v>45740</v>
      </c>
      <c r="E1129" s="79" t="s">
        <v>16</v>
      </c>
      <c r="F1129" s="79" t="s">
        <v>206</v>
      </c>
      <c r="G1129" s="79"/>
      <c r="H1129" s="79" t="s">
        <v>460</v>
      </c>
    </row>
    <row r="1130" spans="1:8">
      <c r="A1130" s="79" t="str">
        <f>LeaveData[[#This Row],[ EMP ID]]&amp;LeaveData[[#This Row],[Date]]</f>
        <v>20242100145747</v>
      </c>
      <c r="B1130" s="79">
        <v>202421001</v>
      </c>
      <c r="C1130" s="79" t="s">
        <v>221</v>
      </c>
      <c r="D1130" s="80">
        <v>45747</v>
      </c>
      <c r="E1130" s="79" t="s">
        <v>16</v>
      </c>
      <c r="F1130" s="79" t="s">
        <v>206</v>
      </c>
      <c r="G1130" s="79"/>
      <c r="H1130" s="79" t="s">
        <v>460</v>
      </c>
    </row>
    <row r="1131" spans="1:8">
      <c r="A1131" s="79" t="str">
        <f>LeaveData[[#This Row],[ EMP ID]]&amp;LeaveData[[#This Row],[Date]]</f>
        <v>20242100145748</v>
      </c>
      <c r="B1131" s="79">
        <v>202421001</v>
      </c>
      <c r="C1131" s="79" t="s">
        <v>221</v>
      </c>
      <c r="D1131" s="80">
        <v>45748</v>
      </c>
      <c r="E1131" s="79" t="s">
        <v>16</v>
      </c>
      <c r="F1131" s="79" t="s">
        <v>206</v>
      </c>
      <c r="G1131" s="79"/>
      <c r="H1131" s="79" t="s">
        <v>460</v>
      </c>
    </row>
    <row r="1132" spans="1:8">
      <c r="A1132" s="79" t="str">
        <f>LeaveData[[#This Row],[ EMP ID]]&amp;LeaveData[[#This Row],[Date]]</f>
        <v>20242100145749</v>
      </c>
      <c r="B1132" s="79">
        <v>202421001</v>
      </c>
      <c r="C1132" s="79" t="s">
        <v>221</v>
      </c>
      <c r="D1132" s="80">
        <v>45749</v>
      </c>
      <c r="E1132" s="79" t="s">
        <v>16</v>
      </c>
      <c r="F1132" s="79" t="s">
        <v>206</v>
      </c>
      <c r="G1132" s="79"/>
      <c r="H1132" s="79" t="s">
        <v>460</v>
      </c>
    </row>
    <row r="1133" spans="1:8">
      <c r="A1133" s="79" t="str">
        <f>LeaveData[[#This Row],[ EMP ID]]&amp;LeaveData[[#This Row],[Date]]</f>
        <v>20242100145750</v>
      </c>
      <c r="B1133" s="79">
        <v>202421001</v>
      </c>
      <c r="C1133" s="79" t="s">
        <v>221</v>
      </c>
      <c r="D1133" s="80">
        <v>45750</v>
      </c>
      <c r="E1133" s="79" t="s">
        <v>16</v>
      </c>
      <c r="F1133" s="79" t="s">
        <v>206</v>
      </c>
      <c r="G1133" s="79"/>
      <c r="H1133" s="79" t="s">
        <v>460</v>
      </c>
    </row>
    <row r="1134" spans="1:8">
      <c r="A1134" s="79" t="str">
        <f>LeaveData[[#This Row],[ EMP ID]]&amp;LeaveData[[#This Row],[Date]]</f>
        <v>20242100145751</v>
      </c>
      <c r="B1134" s="79">
        <v>202421001</v>
      </c>
      <c r="C1134" s="79" t="s">
        <v>221</v>
      </c>
      <c r="D1134" s="80">
        <v>45751</v>
      </c>
      <c r="E1134" s="79" t="s">
        <v>16</v>
      </c>
      <c r="F1134" s="79" t="s">
        <v>206</v>
      </c>
      <c r="G1134" s="79"/>
      <c r="H1134" s="79" t="s">
        <v>460</v>
      </c>
    </row>
    <row r="1135" spans="1:8">
      <c r="A1135" s="79" t="str">
        <f>LeaveData[[#This Row],[ EMP ID]]&amp;LeaveData[[#This Row],[Date]]</f>
        <v>20242100145752</v>
      </c>
      <c r="B1135" s="79">
        <v>202421001</v>
      </c>
      <c r="C1135" s="79" t="s">
        <v>221</v>
      </c>
      <c r="D1135" s="80">
        <v>45752</v>
      </c>
      <c r="E1135" s="79" t="s">
        <v>16</v>
      </c>
      <c r="F1135" s="79" t="s">
        <v>206</v>
      </c>
      <c r="G1135" s="79"/>
      <c r="H1135" s="79" t="s">
        <v>460</v>
      </c>
    </row>
    <row r="1136" spans="1:8">
      <c r="A1136" s="79" t="str">
        <f>LeaveData[[#This Row],[ EMP ID]]&amp;LeaveData[[#This Row],[Date]]</f>
        <v>20242100145754</v>
      </c>
      <c r="B1136" s="79">
        <v>202421001</v>
      </c>
      <c r="C1136" s="79" t="s">
        <v>221</v>
      </c>
      <c r="D1136" s="80">
        <v>45754</v>
      </c>
      <c r="E1136" s="79" t="s">
        <v>12</v>
      </c>
      <c r="F1136" s="79" t="s">
        <v>206</v>
      </c>
      <c r="G1136" s="79"/>
      <c r="H1136" s="79" t="s">
        <v>460</v>
      </c>
    </row>
    <row r="1137" spans="1:8">
      <c r="A1137" s="79" t="str">
        <f>LeaveData[[#This Row],[ EMP ID]]&amp;LeaveData[[#This Row],[Date]]</f>
        <v>20242100145755</v>
      </c>
      <c r="B1137" s="79">
        <v>202421001</v>
      </c>
      <c r="C1137" s="79" t="s">
        <v>221</v>
      </c>
      <c r="D1137" s="80">
        <v>45755</v>
      </c>
      <c r="E1137" s="79" t="s">
        <v>16</v>
      </c>
      <c r="F1137" s="79" t="s">
        <v>206</v>
      </c>
      <c r="G1137" s="79"/>
      <c r="H1137" s="79" t="s">
        <v>460</v>
      </c>
    </row>
    <row r="1138" spans="1:8">
      <c r="A1138" s="79" t="str">
        <f>LeaveData[[#This Row],[ EMP ID]]&amp;LeaveData[[#This Row],[Date]]</f>
        <v>20242100145756</v>
      </c>
      <c r="B1138" s="79">
        <v>202421001</v>
      </c>
      <c r="C1138" s="79" t="s">
        <v>221</v>
      </c>
      <c r="D1138" s="80">
        <v>45756</v>
      </c>
      <c r="E1138" s="79" t="s">
        <v>16</v>
      </c>
      <c r="F1138" s="79" t="s">
        <v>206</v>
      </c>
      <c r="G1138" s="79"/>
      <c r="H1138" s="79" t="s">
        <v>460</v>
      </c>
    </row>
    <row r="1139" spans="1:8">
      <c r="A1139" s="79" t="str">
        <f>LeaveData[[#This Row],[ EMP ID]]&amp;LeaveData[[#This Row],[Date]]</f>
        <v>20242100145757</v>
      </c>
      <c r="B1139" s="79">
        <v>202421001</v>
      </c>
      <c r="C1139" s="79" t="s">
        <v>221</v>
      </c>
      <c r="D1139" s="80">
        <v>45757</v>
      </c>
      <c r="E1139" s="79" t="s">
        <v>16</v>
      </c>
      <c r="F1139" s="79" t="s">
        <v>206</v>
      </c>
      <c r="G1139" s="79"/>
      <c r="H1139" s="79" t="s">
        <v>460</v>
      </c>
    </row>
    <row r="1140" spans="1:8">
      <c r="A1140" s="79" t="str">
        <f>LeaveData[[#This Row],[ EMP ID]]&amp;LeaveData[[#This Row],[Date]]</f>
        <v>20242100145758</v>
      </c>
      <c r="B1140" s="79">
        <v>202421001</v>
      </c>
      <c r="C1140" s="79" t="s">
        <v>221</v>
      </c>
      <c r="D1140" s="80">
        <v>45758</v>
      </c>
      <c r="E1140" s="79" t="s">
        <v>16</v>
      </c>
      <c r="F1140" s="79" t="s">
        <v>206</v>
      </c>
      <c r="G1140" s="79"/>
      <c r="H1140" s="79" t="s">
        <v>460</v>
      </c>
    </row>
    <row r="1141" spans="1:8">
      <c r="A1141" s="79" t="str">
        <f>LeaveData[[#This Row],[ EMP ID]]&amp;LeaveData[[#This Row],[Date]]</f>
        <v>20242100245741</v>
      </c>
      <c r="B1141" s="79">
        <v>202421002</v>
      </c>
      <c r="C1141" s="79" t="s">
        <v>223</v>
      </c>
      <c r="D1141" s="80">
        <v>45741</v>
      </c>
      <c r="E1141" s="79" t="s">
        <v>13</v>
      </c>
      <c r="F1141" s="79" t="s">
        <v>206</v>
      </c>
      <c r="G1141" s="79"/>
      <c r="H1141" s="79" t="s">
        <v>459</v>
      </c>
    </row>
    <row r="1142" spans="1:8">
      <c r="A1142" s="79" t="str">
        <f>LeaveData[[#This Row],[ EMP ID]]&amp;LeaveData[[#This Row],[Date]]</f>
        <v>20242100245742</v>
      </c>
      <c r="B1142" s="79">
        <v>202421002</v>
      </c>
      <c r="C1142" s="79" t="s">
        <v>223</v>
      </c>
      <c r="D1142" s="80">
        <v>45742</v>
      </c>
      <c r="E1142" s="79" t="s">
        <v>13</v>
      </c>
      <c r="F1142" s="79" t="s">
        <v>206</v>
      </c>
      <c r="G1142" s="79"/>
      <c r="H1142" s="79" t="s">
        <v>459</v>
      </c>
    </row>
    <row r="1143" spans="1:8">
      <c r="A1143" s="79" t="str">
        <f>LeaveData[[#This Row],[ EMP ID]]&amp;LeaveData[[#This Row],[Date]]</f>
        <v>20242100245743</v>
      </c>
      <c r="B1143" s="79">
        <v>202421002</v>
      </c>
      <c r="C1143" s="79" t="s">
        <v>223</v>
      </c>
      <c r="D1143" s="80">
        <v>45743</v>
      </c>
      <c r="E1143" s="79" t="s">
        <v>13</v>
      </c>
      <c r="F1143" s="79" t="s">
        <v>206</v>
      </c>
      <c r="G1143" s="79"/>
      <c r="H1143" s="79" t="s">
        <v>459</v>
      </c>
    </row>
    <row r="1144" spans="1:8">
      <c r="A1144" s="79" t="str">
        <f>LeaveData[[#This Row],[ EMP ID]]&amp;LeaveData[[#This Row],[Date]]</f>
        <v>20242100245744</v>
      </c>
      <c r="B1144" s="79">
        <v>202421002</v>
      </c>
      <c r="C1144" s="79" t="s">
        <v>223</v>
      </c>
      <c r="D1144" s="80">
        <v>45744</v>
      </c>
      <c r="E1144" s="79" t="s">
        <v>13</v>
      </c>
      <c r="F1144" s="79" t="s">
        <v>206</v>
      </c>
      <c r="G1144" s="79"/>
      <c r="H1144" s="79" t="s">
        <v>459</v>
      </c>
    </row>
    <row r="1145" spans="1:8">
      <c r="A1145" s="79" t="str">
        <f>LeaveData[[#This Row],[ EMP ID]]&amp;LeaveData[[#This Row],[Date]]</f>
        <v>20242100245745</v>
      </c>
      <c r="B1145" s="79">
        <v>202421002</v>
      </c>
      <c r="C1145" s="79" t="s">
        <v>223</v>
      </c>
      <c r="D1145" s="80">
        <v>45745</v>
      </c>
      <c r="E1145" s="79" t="s">
        <v>13</v>
      </c>
      <c r="F1145" s="79" t="s">
        <v>206</v>
      </c>
      <c r="G1145" s="79"/>
      <c r="H1145" s="79" t="s">
        <v>459</v>
      </c>
    </row>
    <row r="1146" spans="1:8">
      <c r="A1146" s="79" t="str">
        <f>LeaveData[[#This Row],[ EMP ID]]&amp;LeaveData[[#This Row],[Date]]</f>
        <v>20242100245738</v>
      </c>
      <c r="B1146" s="79">
        <v>202421002</v>
      </c>
      <c r="C1146" s="79" t="s">
        <v>223</v>
      </c>
      <c r="D1146" s="80">
        <v>45738</v>
      </c>
      <c r="E1146" s="79" t="s">
        <v>16</v>
      </c>
      <c r="F1146" s="79" t="s">
        <v>206</v>
      </c>
      <c r="G1146" s="79"/>
      <c r="H1146" s="79" t="s">
        <v>460</v>
      </c>
    </row>
    <row r="1147" spans="1:8">
      <c r="A1147" s="79" t="str">
        <f>LeaveData[[#This Row],[ EMP ID]]&amp;LeaveData[[#This Row],[Date]]</f>
        <v>20242100245740</v>
      </c>
      <c r="B1147" s="79">
        <v>202421002</v>
      </c>
      <c r="C1147" s="79" t="s">
        <v>223</v>
      </c>
      <c r="D1147" s="80">
        <v>45740</v>
      </c>
      <c r="E1147" s="79" t="s">
        <v>16</v>
      </c>
      <c r="F1147" s="79" t="s">
        <v>206</v>
      </c>
      <c r="G1147" s="79"/>
      <c r="H1147" s="79" t="s">
        <v>460</v>
      </c>
    </row>
    <row r="1148" spans="1:8">
      <c r="A1148" s="79" t="str">
        <f>LeaveData[[#This Row],[ EMP ID]]&amp;LeaveData[[#This Row],[Date]]</f>
        <v>20242100245747</v>
      </c>
      <c r="B1148" s="79">
        <v>202421002</v>
      </c>
      <c r="C1148" s="79" t="s">
        <v>223</v>
      </c>
      <c r="D1148" s="80">
        <v>45747</v>
      </c>
      <c r="E1148" s="79" t="s">
        <v>16</v>
      </c>
      <c r="F1148" s="79" t="s">
        <v>206</v>
      </c>
      <c r="G1148" s="79"/>
      <c r="H1148" s="79" t="s">
        <v>460</v>
      </c>
    </row>
    <row r="1149" spans="1:8">
      <c r="A1149" s="79" t="str">
        <f>LeaveData[[#This Row],[ EMP ID]]&amp;LeaveData[[#This Row],[Date]]</f>
        <v>20242100245748</v>
      </c>
      <c r="B1149" s="79">
        <v>202421002</v>
      </c>
      <c r="C1149" s="79" t="s">
        <v>223</v>
      </c>
      <c r="D1149" s="80">
        <v>45748</v>
      </c>
      <c r="E1149" s="79" t="s">
        <v>16</v>
      </c>
      <c r="F1149" s="79" t="s">
        <v>206</v>
      </c>
      <c r="G1149" s="79"/>
      <c r="H1149" s="79" t="s">
        <v>460</v>
      </c>
    </row>
    <row r="1150" spans="1:8">
      <c r="A1150" s="79" t="str">
        <f>LeaveData[[#This Row],[ EMP ID]]&amp;LeaveData[[#This Row],[Date]]</f>
        <v>20242100245749</v>
      </c>
      <c r="B1150" s="79">
        <v>202421002</v>
      </c>
      <c r="C1150" s="79" t="s">
        <v>223</v>
      </c>
      <c r="D1150" s="80">
        <v>45749</v>
      </c>
      <c r="E1150" s="79" t="s">
        <v>16</v>
      </c>
      <c r="F1150" s="79" t="s">
        <v>206</v>
      </c>
      <c r="G1150" s="79"/>
      <c r="H1150" s="79" t="s">
        <v>460</v>
      </c>
    </row>
    <row r="1151" spans="1:8">
      <c r="A1151" s="79" t="str">
        <f>LeaveData[[#This Row],[ EMP ID]]&amp;LeaveData[[#This Row],[Date]]</f>
        <v>20242100245750</v>
      </c>
      <c r="B1151" s="79">
        <v>202421002</v>
      </c>
      <c r="C1151" s="79" t="s">
        <v>223</v>
      </c>
      <c r="D1151" s="80">
        <v>45750</v>
      </c>
      <c r="E1151" s="79" t="s">
        <v>16</v>
      </c>
      <c r="F1151" s="79" t="s">
        <v>206</v>
      </c>
      <c r="G1151" s="79"/>
      <c r="H1151" s="79" t="s">
        <v>460</v>
      </c>
    </row>
    <row r="1152" spans="1:8">
      <c r="A1152" s="79" t="str">
        <f>LeaveData[[#This Row],[ EMP ID]]&amp;LeaveData[[#This Row],[Date]]</f>
        <v>20242100245751</v>
      </c>
      <c r="B1152" s="79">
        <v>202421002</v>
      </c>
      <c r="C1152" s="79" t="s">
        <v>223</v>
      </c>
      <c r="D1152" s="80">
        <v>45751</v>
      </c>
      <c r="E1152" s="79" t="s">
        <v>16</v>
      </c>
      <c r="F1152" s="79" t="s">
        <v>206</v>
      </c>
      <c r="G1152" s="79"/>
      <c r="H1152" s="79" t="s">
        <v>460</v>
      </c>
    </row>
    <row r="1153" spans="1:8">
      <c r="A1153" s="79" t="str">
        <f>LeaveData[[#This Row],[ EMP ID]]&amp;LeaveData[[#This Row],[Date]]</f>
        <v>20242100245752</v>
      </c>
      <c r="B1153" s="79">
        <v>202421002</v>
      </c>
      <c r="C1153" s="79" t="s">
        <v>223</v>
      </c>
      <c r="D1153" s="80">
        <v>45752</v>
      </c>
      <c r="E1153" s="79" t="s">
        <v>16</v>
      </c>
      <c r="F1153" s="79" t="s">
        <v>206</v>
      </c>
      <c r="G1153" s="79"/>
      <c r="H1153" s="79" t="s">
        <v>460</v>
      </c>
    </row>
    <row r="1154" spans="1:8">
      <c r="A1154" s="79" t="str">
        <f>LeaveData[[#This Row],[ EMP ID]]&amp;LeaveData[[#This Row],[Date]]</f>
        <v>20242100245754</v>
      </c>
      <c r="B1154" s="79">
        <v>202421002</v>
      </c>
      <c r="C1154" s="79" t="s">
        <v>223</v>
      </c>
      <c r="D1154" s="80">
        <v>45754</v>
      </c>
      <c r="E1154" s="79" t="s">
        <v>16</v>
      </c>
      <c r="F1154" s="79" t="s">
        <v>206</v>
      </c>
      <c r="G1154" s="79"/>
      <c r="H1154" s="79" t="s">
        <v>460</v>
      </c>
    </row>
    <row r="1155" spans="1:8">
      <c r="A1155" s="79" t="str">
        <f>LeaveData[[#This Row],[ EMP ID]]&amp;LeaveData[[#This Row],[Date]]</f>
        <v>20242100245755</v>
      </c>
      <c r="B1155" s="79">
        <v>202421002</v>
      </c>
      <c r="C1155" s="79" t="s">
        <v>223</v>
      </c>
      <c r="D1155" s="80">
        <v>45755</v>
      </c>
      <c r="E1155" s="79" t="s">
        <v>16</v>
      </c>
      <c r="F1155" s="79" t="s">
        <v>206</v>
      </c>
      <c r="G1155" s="79"/>
      <c r="H1155" s="79" t="s">
        <v>460</v>
      </c>
    </row>
    <row r="1156" spans="1:8">
      <c r="A1156" s="79" t="str">
        <f>LeaveData[[#This Row],[ EMP ID]]&amp;LeaveData[[#This Row],[Date]]</f>
        <v>20242100245756</v>
      </c>
      <c r="B1156" s="79">
        <v>202421002</v>
      </c>
      <c r="C1156" s="79" t="s">
        <v>223</v>
      </c>
      <c r="D1156" s="80">
        <v>45756</v>
      </c>
      <c r="E1156" s="79" t="s">
        <v>16</v>
      </c>
      <c r="F1156" s="79" t="s">
        <v>206</v>
      </c>
      <c r="G1156" s="79"/>
      <c r="H1156" s="79" t="s">
        <v>460</v>
      </c>
    </row>
    <row r="1157" spans="1:8">
      <c r="A1157" s="79" t="str">
        <f>LeaveData[[#This Row],[ EMP ID]]&amp;LeaveData[[#This Row],[Date]]</f>
        <v>20242100245757</v>
      </c>
      <c r="B1157" s="79">
        <v>202421002</v>
      </c>
      <c r="C1157" s="79" t="s">
        <v>223</v>
      </c>
      <c r="D1157" s="80">
        <v>45757</v>
      </c>
      <c r="E1157" s="79" t="s">
        <v>16</v>
      </c>
      <c r="F1157" s="79" t="s">
        <v>206</v>
      </c>
      <c r="G1157" s="79"/>
      <c r="H1157" s="79" t="s">
        <v>460</v>
      </c>
    </row>
    <row r="1158" spans="1:8">
      <c r="A1158" s="79" t="str">
        <f>LeaveData[[#This Row],[ EMP ID]]&amp;LeaveData[[#This Row],[Date]]</f>
        <v>20242100245758</v>
      </c>
      <c r="B1158" s="100">
        <v>202421002</v>
      </c>
      <c r="C1158" s="100" t="s">
        <v>223</v>
      </c>
      <c r="D1158" s="101">
        <v>45758</v>
      </c>
      <c r="E1158" s="100" t="s">
        <v>16</v>
      </c>
      <c r="F1158" s="100" t="s">
        <v>206</v>
      </c>
      <c r="G1158" s="100"/>
      <c r="H1158" s="100" t="s">
        <v>460</v>
      </c>
    </row>
    <row r="1159" spans="1:8">
      <c r="A1159" s="109" t="str">
        <f>LeaveData[[#This Row],[ EMP ID]]&amp;LeaveData[[#This Row],[Date]]</f>
        <v>20242101145716</v>
      </c>
      <c r="B1159" s="114">
        <v>202421011</v>
      </c>
      <c r="C1159" s="114" t="s">
        <v>309</v>
      </c>
      <c r="D1159" s="112">
        <v>45716</v>
      </c>
      <c r="E1159" s="113" t="s">
        <v>15</v>
      </c>
      <c r="F1159" s="113" t="s">
        <v>206</v>
      </c>
      <c r="G1159" s="113"/>
      <c r="H1159" s="113" t="s">
        <v>105</v>
      </c>
    </row>
    <row r="1160" spans="1:8">
      <c r="A1160" s="109" t="str">
        <f>LeaveData[[#This Row],[ EMP ID]]&amp;LeaveData[[#This Row],[Date]]</f>
        <v>20241803645714</v>
      </c>
      <c r="B1160" s="114">
        <v>202418036</v>
      </c>
      <c r="C1160" s="114" t="s">
        <v>232</v>
      </c>
      <c r="D1160" s="112">
        <v>45714</v>
      </c>
      <c r="E1160" s="113" t="s">
        <v>16</v>
      </c>
      <c r="F1160" s="113" t="s">
        <v>104</v>
      </c>
      <c r="G1160" s="113"/>
      <c r="H1160" s="113" t="s">
        <v>461</v>
      </c>
    </row>
    <row r="1161" spans="1:8">
      <c r="A1161" s="109" t="str">
        <f>LeaveData[[#This Row],[ EMP ID]]&amp;LeaveData[[#This Row],[Date]]</f>
        <v>20241803645715</v>
      </c>
      <c r="B1161" s="114">
        <v>202418036</v>
      </c>
      <c r="C1161" s="114" t="s">
        <v>232</v>
      </c>
      <c r="D1161" s="112">
        <v>45715</v>
      </c>
      <c r="E1161" s="113" t="s">
        <v>16</v>
      </c>
      <c r="F1161" s="113" t="s">
        <v>104</v>
      </c>
      <c r="G1161" s="113"/>
      <c r="H1161" s="113" t="s">
        <v>461</v>
      </c>
    </row>
    <row r="1162" spans="1:8">
      <c r="A1162" s="109" t="str">
        <f>LeaveData[[#This Row],[ EMP ID]]&amp;LeaveData[[#This Row],[Date]]</f>
        <v>20241803645716</v>
      </c>
      <c r="B1162" s="114">
        <v>202418036</v>
      </c>
      <c r="C1162" s="114" t="s">
        <v>232</v>
      </c>
      <c r="D1162" s="112">
        <v>45716</v>
      </c>
      <c r="E1162" s="113" t="s">
        <v>16</v>
      </c>
      <c r="F1162" s="113" t="s">
        <v>104</v>
      </c>
      <c r="G1162" s="113"/>
      <c r="H1162" s="113" t="s">
        <v>461</v>
      </c>
    </row>
    <row r="1163" spans="1:8">
      <c r="A1163" s="109" t="str">
        <f>LeaveData[[#This Row],[ EMP ID]]&amp;LeaveData[[#This Row],[Date]]</f>
        <v>20241803645717</v>
      </c>
      <c r="B1163" s="116">
        <v>202418036</v>
      </c>
      <c r="C1163" s="116" t="s">
        <v>232</v>
      </c>
      <c r="D1163" s="112">
        <v>45717</v>
      </c>
      <c r="E1163" s="113" t="s">
        <v>16</v>
      </c>
      <c r="F1163" s="113" t="s">
        <v>104</v>
      </c>
      <c r="G1163" s="113"/>
      <c r="H1163" s="113" t="s">
        <v>461</v>
      </c>
    </row>
    <row r="1164" spans="1:8">
      <c r="A1164" s="109" t="str">
        <f>LeaveData[[#This Row],[ EMP ID]]&amp;LeaveData[[#This Row],[Date]]</f>
        <v>20241803845689</v>
      </c>
      <c r="B1164" s="117">
        <v>202418038</v>
      </c>
      <c r="C1164" s="108" t="s">
        <v>246</v>
      </c>
      <c r="D1164" s="115">
        <v>45689</v>
      </c>
      <c r="E1164" s="113" t="s">
        <v>154</v>
      </c>
      <c r="F1164" s="113" t="s">
        <v>104</v>
      </c>
      <c r="G1164" s="113"/>
      <c r="H1164" s="113" t="s">
        <v>155</v>
      </c>
    </row>
    <row r="1165" spans="1:8">
      <c r="A1165" s="79" t="str">
        <f>LeaveData[[#This Row],[ EMP ID]]&amp;LeaveData[[#This Row],[Date]]</f>
        <v>20242100245716</v>
      </c>
      <c r="B1165" s="79">
        <v>202421002</v>
      </c>
      <c r="C1165" s="111" t="s">
        <v>223</v>
      </c>
      <c r="D1165" s="80">
        <v>45716</v>
      </c>
      <c r="E1165" s="79" t="s">
        <v>16</v>
      </c>
      <c r="F1165" s="79" t="s">
        <v>206</v>
      </c>
      <c r="G1165" s="79"/>
      <c r="H1165" s="79" t="s">
        <v>805</v>
      </c>
    </row>
    <row r="1166" spans="1:8">
      <c r="A1166" s="79" t="str">
        <f>LeaveData[[#This Row],[ EMP ID]]&amp;LeaveData[[#This Row],[Date]]</f>
        <v>20241803645689</v>
      </c>
      <c r="B1166" s="79">
        <v>202418036</v>
      </c>
      <c r="C1166" s="79" t="s">
        <v>232</v>
      </c>
      <c r="D1166" s="80">
        <v>45689</v>
      </c>
      <c r="E1166" s="79" t="s">
        <v>154</v>
      </c>
      <c r="F1166" s="79" t="s">
        <v>104</v>
      </c>
      <c r="G1166" s="79"/>
      <c r="H1166" s="79" t="s">
        <v>155</v>
      </c>
    </row>
    <row r="1167" spans="1:8">
      <c r="A1167" s="79" t="str">
        <f>LeaveData[[#This Row],[ EMP ID]]&amp;LeaveData[[#This Row],[Date]]</f>
        <v>20252101445352</v>
      </c>
      <c r="B1167" s="79">
        <v>202521014</v>
      </c>
      <c r="C1167" s="79" t="s">
        <v>441</v>
      </c>
      <c r="D1167" s="80">
        <v>45352</v>
      </c>
      <c r="E1167" s="79" t="s">
        <v>12</v>
      </c>
      <c r="F1167" s="79" t="s">
        <v>206</v>
      </c>
      <c r="G1167" s="79"/>
      <c r="H1167" s="79" t="s">
        <v>140</v>
      </c>
    </row>
    <row r="1168" spans="1:8">
      <c r="A1168" s="79" t="str">
        <f>LeaveData[[#This Row],[ EMP ID]]&amp;LeaveData[[#This Row],[Date]]</f>
        <v>20231802645690</v>
      </c>
      <c r="B1168" s="79">
        <v>202318026</v>
      </c>
      <c r="C1168" s="79" t="s">
        <v>53</v>
      </c>
      <c r="D1168" s="80">
        <v>45690</v>
      </c>
      <c r="E1168" s="79" t="s">
        <v>406</v>
      </c>
      <c r="F1168" s="79" t="s">
        <v>118</v>
      </c>
      <c r="G1168" s="79"/>
      <c r="H1168" s="79" t="s">
        <v>807</v>
      </c>
    </row>
    <row r="1169" spans="1:8">
      <c r="A1169" s="79" t="str">
        <f>LeaveData[[#This Row],[ EMP ID]]&amp;LeaveData[[#This Row],[Date]]</f>
        <v>20241803345690</v>
      </c>
      <c r="B1169" s="79">
        <v>202418033</v>
      </c>
      <c r="C1169" s="79" t="s">
        <v>65</v>
      </c>
      <c r="D1169" s="80">
        <v>45690</v>
      </c>
      <c r="E1169" s="79" t="s">
        <v>406</v>
      </c>
      <c r="F1169" s="79" t="s">
        <v>118</v>
      </c>
      <c r="G1169" s="79"/>
      <c r="H1169" s="79" t="s">
        <v>808</v>
      </c>
    </row>
    <row r="1170" spans="1:8">
      <c r="A1170" s="79" t="str">
        <f>LeaveData[[#This Row],[ EMP ID]]&amp;LeaveData[[#This Row],[Date]]</f>
        <v>20232000945690</v>
      </c>
      <c r="B1170" s="79">
        <v>202320009</v>
      </c>
      <c r="C1170" s="79" t="s">
        <v>143</v>
      </c>
      <c r="D1170" s="80">
        <v>45690</v>
      </c>
      <c r="E1170" s="79" t="s">
        <v>406</v>
      </c>
      <c r="F1170" s="79" t="s">
        <v>118</v>
      </c>
      <c r="G1170" s="79"/>
      <c r="H1170" s="79" t="s">
        <v>808</v>
      </c>
    </row>
    <row r="1171" spans="1:8">
      <c r="A1171" s="79" t="str">
        <f>LeaveData[[#This Row],[ EMP ID]]&amp;LeaveData[[#This Row],[Date]]</f>
        <v>20211800845690</v>
      </c>
      <c r="B1171" s="79">
        <v>202118008</v>
      </c>
      <c r="C1171" s="79" t="s">
        <v>25</v>
      </c>
      <c r="D1171" s="80">
        <v>45690</v>
      </c>
      <c r="E1171" s="79" t="s">
        <v>406</v>
      </c>
      <c r="F1171" s="79" t="s">
        <v>118</v>
      </c>
      <c r="G1171" s="79"/>
      <c r="H1171" s="79" t="s">
        <v>808</v>
      </c>
    </row>
    <row r="1172" spans="1:8">
      <c r="A1172" s="79" t="str">
        <f>LeaveData[[#This Row],[ EMP ID]]&amp;LeaveData[[#This Row],[Date]]</f>
        <v>20221800945690</v>
      </c>
      <c r="B1172" s="79">
        <v>202218009</v>
      </c>
      <c r="C1172" s="79" t="s">
        <v>26</v>
      </c>
      <c r="D1172" s="80">
        <v>45690</v>
      </c>
      <c r="E1172" s="79" t="s">
        <v>406</v>
      </c>
      <c r="F1172" s="79" t="s">
        <v>118</v>
      </c>
      <c r="G1172" s="79"/>
      <c r="H1172" s="79" t="s">
        <v>808</v>
      </c>
    </row>
    <row r="1173" spans="1:8">
      <c r="A1173" s="79" t="str">
        <f>LeaveData[[#This Row],[ EMP ID]]&amp;LeaveData[[#This Row],[Date]]</f>
        <v>20231802345690</v>
      </c>
      <c r="B1173" s="79">
        <v>202318023</v>
      </c>
      <c r="C1173" s="79" t="s">
        <v>148</v>
      </c>
      <c r="D1173" s="80">
        <v>45690</v>
      </c>
      <c r="E1173" s="79" t="s">
        <v>406</v>
      </c>
      <c r="F1173" s="79" t="s">
        <v>118</v>
      </c>
      <c r="G1173" s="79"/>
      <c r="H1173" s="79" t="s">
        <v>808</v>
      </c>
    </row>
    <row r="1174" spans="1:8">
      <c r="A1174" s="79" t="str">
        <f>LeaveData[[#This Row],[ EMP ID]]&amp;LeaveData[[#This Row],[Date]]</f>
        <v>20231801945690</v>
      </c>
      <c r="B1174" s="79">
        <v>202318019</v>
      </c>
      <c r="C1174" s="79" t="s">
        <v>89</v>
      </c>
      <c r="D1174" s="80">
        <v>45690</v>
      </c>
      <c r="E1174" s="79" t="s">
        <v>406</v>
      </c>
      <c r="F1174" s="79" t="s">
        <v>118</v>
      </c>
      <c r="G1174" s="79"/>
      <c r="H1174" s="79" t="s">
        <v>806</v>
      </c>
    </row>
    <row r="1175" spans="1:8">
      <c r="A1175" s="79" t="str">
        <f>LeaveData[[#This Row],[ EMP ID]]&amp;LeaveData[[#This Row],[Date]]</f>
        <v>20231801945690</v>
      </c>
      <c r="B1175" s="79">
        <v>202318019</v>
      </c>
      <c r="C1175" s="79" t="s">
        <v>89</v>
      </c>
      <c r="D1175" s="80">
        <v>45690</v>
      </c>
      <c r="E1175" s="79" t="s">
        <v>406</v>
      </c>
      <c r="F1175" s="79" t="s">
        <v>118</v>
      </c>
      <c r="G1175" s="79"/>
      <c r="H1175" s="79" t="s">
        <v>806</v>
      </c>
    </row>
    <row r="1176" spans="1:8">
      <c r="A1176" s="79" t="str">
        <f>LeaveData[[#This Row],[ EMP ID]]&amp;LeaveData[[#This Row],[Date]]</f>
        <v>20231801945690</v>
      </c>
      <c r="B1176" s="79">
        <v>202318019</v>
      </c>
      <c r="C1176" s="79" t="s">
        <v>89</v>
      </c>
      <c r="D1176" s="80">
        <v>45690</v>
      </c>
      <c r="E1176" s="79" t="s">
        <v>406</v>
      </c>
      <c r="F1176" s="79" t="s">
        <v>118</v>
      </c>
      <c r="G1176" s="79"/>
      <c r="H1176" s="79" t="s">
        <v>806</v>
      </c>
    </row>
    <row r="1177" spans="1:8">
      <c r="A1177" s="79" t="str">
        <f>LeaveData[[#This Row],[ EMP ID]]&amp;LeaveData[[#This Row],[Date]]</f>
        <v>20231801945690</v>
      </c>
      <c r="B1177" s="79">
        <v>202318019</v>
      </c>
      <c r="C1177" s="79" t="s">
        <v>89</v>
      </c>
      <c r="D1177" s="80">
        <v>45690</v>
      </c>
      <c r="E1177" s="79" t="s">
        <v>406</v>
      </c>
      <c r="F1177" s="79" t="s">
        <v>118</v>
      </c>
      <c r="G1177" s="79"/>
      <c r="H1177" s="79" t="s">
        <v>806</v>
      </c>
    </row>
    <row r="1178" spans="1:8">
      <c r="A1178" s="79" t="str">
        <f>LeaveData[[#This Row],[ EMP ID]]&amp;LeaveData[[#This Row],[Date]]</f>
        <v>20231801945690</v>
      </c>
      <c r="B1178" s="79">
        <v>202318019</v>
      </c>
      <c r="C1178" s="79" t="s">
        <v>89</v>
      </c>
      <c r="D1178" s="80">
        <v>45690</v>
      </c>
      <c r="E1178" s="79" t="s">
        <v>406</v>
      </c>
      <c r="F1178" s="79" t="s">
        <v>118</v>
      </c>
      <c r="G1178" s="79"/>
      <c r="H1178" s="79" t="s">
        <v>806</v>
      </c>
    </row>
    <row r="1179" spans="1:8">
      <c r="A1179" s="79" t="str">
        <f>LeaveData[[#This Row],[ EMP ID]]&amp;LeaveData[[#This Row],[Date]]</f>
        <v>20251804345718</v>
      </c>
      <c r="B1179" s="79">
        <v>202518043</v>
      </c>
      <c r="C1179" s="79" t="s">
        <v>403</v>
      </c>
      <c r="D1179" s="80">
        <v>45718</v>
      </c>
      <c r="E1179" s="79" t="s">
        <v>154</v>
      </c>
      <c r="F1179" s="79" t="s">
        <v>43</v>
      </c>
      <c r="G1179" s="79"/>
      <c r="H1179" s="79" t="s">
        <v>422</v>
      </c>
    </row>
    <row r="1180" spans="1:8">
      <c r="A1180" s="79" t="str">
        <f>LeaveData[[#This Row],[ EMP ID]]&amp;LeaveData[[#This Row],[Date]]</f>
        <v>20251804345719</v>
      </c>
      <c r="B1180" s="79">
        <v>202518043</v>
      </c>
      <c r="C1180" s="79" t="s">
        <v>403</v>
      </c>
      <c r="D1180" s="80">
        <v>45719</v>
      </c>
      <c r="E1180" s="79" t="s">
        <v>15</v>
      </c>
      <c r="F1180" s="79" t="s">
        <v>43</v>
      </c>
      <c r="G1180" s="79"/>
      <c r="H1180" s="79" t="s">
        <v>140</v>
      </c>
    </row>
    <row r="1181" spans="1:8">
      <c r="A1181" s="79" t="str">
        <f>LeaveData[[#This Row],[ EMP ID]]&amp;LeaveData[[#This Row],[Date]]</f>
        <v>20181800245712</v>
      </c>
      <c r="B1181" s="79">
        <v>201818002</v>
      </c>
      <c r="C1181" s="79" t="s">
        <v>83</v>
      </c>
      <c r="D1181" s="80">
        <v>45712</v>
      </c>
      <c r="E1181" s="79" t="s">
        <v>199</v>
      </c>
      <c r="F1181" s="79" t="s">
        <v>106</v>
      </c>
      <c r="G1181" s="79"/>
      <c r="H1181" s="79" t="s">
        <v>200</v>
      </c>
    </row>
    <row r="1182" spans="1:8">
      <c r="A1182" s="79" t="str">
        <f>LeaveData[[#This Row],[ EMP ID]]&amp;LeaveData[[#This Row],[Date]]</f>
        <v>20231801945718</v>
      </c>
      <c r="B1182" s="79">
        <v>202318019</v>
      </c>
      <c r="C1182" s="79" t="s">
        <v>89</v>
      </c>
      <c r="D1182" s="80">
        <v>45718</v>
      </c>
      <c r="E1182" s="79" t="s">
        <v>154</v>
      </c>
      <c r="F1182" s="79" t="s">
        <v>45</v>
      </c>
      <c r="G1182" s="79"/>
      <c r="H1182" s="79" t="s">
        <v>422</v>
      </c>
    </row>
    <row r="1183" spans="1:8">
      <c r="A1183" s="79" t="str">
        <f>LeaveData[[#This Row],[ EMP ID]]&amp;LeaveData[[#This Row],[Date]]</f>
        <v>20232000745717</v>
      </c>
      <c r="B1183" s="79">
        <v>202320007</v>
      </c>
      <c r="C1183" s="79" t="s">
        <v>183</v>
      </c>
      <c r="D1183" s="80">
        <v>45717</v>
      </c>
      <c r="E1183" s="79" t="s">
        <v>13</v>
      </c>
      <c r="F1183" s="79" t="s">
        <v>104</v>
      </c>
      <c r="G1183" s="79"/>
      <c r="H1183" s="79" t="s">
        <v>809</v>
      </c>
    </row>
    <row r="1184" spans="1:8">
      <c r="A1184" s="79" t="str">
        <f>LeaveData[[#This Row],[ EMP ID]]&amp;LeaveData[[#This Row],[Date]]</f>
        <v>20221800945720</v>
      </c>
      <c r="B1184" s="79">
        <v>202218009</v>
      </c>
      <c r="C1184" s="79" t="s">
        <v>26</v>
      </c>
      <c r="D1184" s="80">
        <v>45720</v>
      </c>
      <c r="E1184" s="79" t="s">
        <v>13</v>
      </c>
      <c r="F1184" s="79" t="s">
        <v>118</v>
      </c>
      <c r="G1184" s="79"/>
      <c r="H1184" s="79" t="s">
        <v>116</v>
      </c>
    </row>
    <row r="1185" spans="1:8">
      <c r="A1185" s="79" t="str">
        <f>LeaveData[[#This Row],[ EMP ID]]&amp;LeaveData[[#This Row],[Date]]</f>
        <v>20231801745719</v>
      </c>
      <c r="B1185" s="79">
        <v>202318017</v>
      </c>
      <c r="C1185" s="79" t="s">
        <v>37</v>
      </c>
      <c r="D1185" s="80">
        <v>45719</v>
      </c>
      <c r="E1185" s="79" t="s">
        <v>16</v>
      </c>
      <c r="F1185" s="79" t="s">
        <v>118</v>
      </c>
      <c r="G1185" s="79"/>
      <c r="H1185" s="79" t="s">
        <v>830</v>
      </c>
    </row>
    <row r="1186" spans="1:8">
      <c r="A1186" s="79" t="str">
        <f>LeaveData[[#This Row],[ EMP ID]]&amp;LeaveData[[#This Row],[Date]]</f>
        <v>20251804345720</v>
      </c>
      <c r="B1186" s="79">
        <v>202518043</v>
      </c>
      <c r="C1186" s="79" t="s">
        <v>403</v>
      </c>
      <c r="D1186" s="80">
        <v>45720</v>
      </c>
      <c r="E1186" s="79" t="s">
        <v>16</v>
      </c>
      <c r="F1186" s="79" t="s">
        <v>43</v>
      </c>
      <c r="G1186" s="79"/>
      <c r="H1186" s="79" t="s">
        <v>132</v>
      </c>
    </row>
    <row r="1187" spans="1:8">
      <c r="A1187" s="79" t="str">
        <f>LeaveData[[#This Row],[ EMP ID]]&amp;LeaveData[[#This Row],[Date]]</f>
        <v>20242001545720</v>
      </c>
      <c r="B1187" s="79">
        <v>202420015</v>
      </c>
      <c r="C1187" s="79" t="s">
        <v>64</v>
      </c>
      <c r="D1187" s="80">
        <v>45720</v>
      </c>
      <c r="E1187" s="79" t="s">
        <v>12</v>
      </c>
      <c r="F1187" s="79" t="s">
        <v>114</v>
      </c>
      <c r="G1187" s="79"/>
      <c r="H1187" s="79" t="s">
        <v>140</v>
      </c>
    </row>
    <row r="1188" spans="1:8">
      <c r="A1188" s="79" t="str">
        <f>LeaveData[[#This Row],[ EMP ID]]&amp;LeaveData[[#This Row],[Date]]</f>
        <v>20241804245727</v>
      </c>
      <c r="B1188" s="79">
        <v>202418042</v>
      </c>
      <c r="C1188" s="79" t="s">
        <v>402</v>
      </c>
      <c r="D1188" s="80">
        <v>45727</v>
      </c>
      <c r="E1188" s="79" t="s">
        <v>13</v>
      </c>
      <c r="F1188" s="79" t="s">
        <v>114</v>
      </c>
      <c r="G1188" s="79"/>
      <c r="H1188" s="79" t="s">
        <v>380</v>
      </c>
    </row>
    <row r="1189" spans="1:8">
      <c r="A1189" s="79" t="str">
        <f>LeaveData[[#This Row],[ EMP ID]]&amp;LeaveData[[#This Row],[Date]]</f>
        <v>20241804245728</v>
      </c>
      <c r="B1189" s="79">
        <v>202418042</v>
      </c>
      <c r="C1189" s="79" t="s">
        <v>402</v>
      </c>
      <c r="D1189" s="80">
        <v>45728</v>
      </c>
      <c r="E1189" s="79" t="s">
        <v>13</v>
      </c>
      <c r="F1189" s="79" t="s">
        <v>114</v>
      </c>
      <c r="G1189" s="79"/>
      <c r="H1189" s="79" t="s">
        <v>380</v>
      </c>
    </row>
    <row r="1190" spans="1:8">
      <c r="A1190" s="79" t="str">
        <f>LeaveData[[#This Row],[ EMP ID]]&amp;LeaveData[[#This Row],[Date]]</f>
        <v>20241804245729</v>
      </c>
      <c r="B1190" s="79">
        <v>202418042</v>
      </c>
      <c r="C1190" s="79" t="s">
        <v>402</v>
      </c>
      <c r="D1190" s="80">
        <v>45729</v>
      </c>
      <c r="E1190" s="79" t="s">
        <v>13</v>
      </c>
      <c r="F1190" s="79" t="s">
        <v>114</v>
      </c>
      <c r="G1190" s="79"/>
      <c r="H1190" s="79" t="s">
        <v>380</v>
      </c>
    </row>
    <row r="1191" spans="1:8">
      <c r="A1191" s="79" t="str">
        <f>LeaveData[[#This Row],[ EMP ID]]&amp;LeaveData[[#This Row],[Date]]</f>
        <v>20241804245731</v>
      </c>
      <c r="B1191" s="79">
        <v>202418042</v>
      </c>
      <c r="C1191" s="79" t="s">
        <v>402</v>
      </c>
      <c r="D1191" s="80">
        <v>45731</v>
      </c>
      <c r="E1191" s="79" t="s">
        <v>13</v>
      </c>
      <c r="F1191" s="79" t="s">
        <v>114</v>
      </c>
      <c r="G1191" s="79"/>
      <c r="H1191" s="79" t="s">
        <v>380</v>
      </c>
    </row>
    <row r="1192" spans="1:8">
      <c r="A1192" s="79" t="str">
        <f>LeaveData[[#This Row],[ EMP ID]]&amp;LeaveData[[#This Row],[Date]]</f>
        <v>20241804145727</v>
      </c>
      <c r="B1192" s="79">
        <v>202418041</v>
      </c>
      <c r="C1192" s="79" t="s">
        <v>376</v>
      </c>
      <c r="D1192" s="80">
        <v>45727</v>
      </c>
      <c r="E1192" s="79" t="s">
        <v>13</v>
      </c>
      <c r="F1192" s="79" t="s">
        <v>114</v>
      </c>
      <c r="G1192" s="79"/>
      <c r="H1192" s="79" t="s">
        <v>810</v>
      </c>
    </row>
    <row r="1193" spans="1:8">
      <c r="A1193" s="79" t="str">
        <f>LeaveData[[#This Row],[ EMP ID]]&amp;LeaveData[[#This Row],[Date]]</f>
        <v>20241804145728</v>
      </c>
      <c r="B1193" s="79">
        <v>202418041</v>
      </c>
      <c r="C1193" s="79" t="s">
        <v>376</v>
      </c>
      <c r="D1193" s="80">
        <v>45728</v>
      </c>
      <c r="E1193" s="79" t="s">
        <v>13</v>
      </c>
      <c r="F1193" s="79" t="s">
        <v>114</v>
      </c>
      <c r="G1193" s="79"/>
      <c r="H1193" s="79" t="s">
        <v>810</v>
      </c>
    </row>
    <row r="1194" spans="1:8">
      <c r="A1194" s="79" t="str">
        <f>LeaveData[[#This Row],[ EMP ID]]&amp;LeaveData[[#This Row],[Date]]</f>
        <v>20241804145729</v>
      </c>
      <c r="B1194" s="79">
        <v>202418041</v>
      </c>
      <c r="C1194" s="79" t="s">
        <v>376</v>
      </c>
      <c r="D1194" s="80">
        <v>45729</v>
      </c>
      <c r="E1194" s="79" t="s">
        <v>13</v>
      </c>
      <c r="F1194" s="79" t="s">
        <v>114</v>
      </c>
      <c r="G1194" s="79"/>
      <c r="H1194" s="79" t="s">
        <v>810</v>
      </c>
    </row>
    <row r="1195" spans="1:8">
      <c r="A1195" s="79" t="str">
        <f>LeaveData[[#This Row],[ EMP ID]]&amp;LeaveData[[#This Row],[Date]]</f>
        <v>20241804145731</v>
      </c>
      <c r="B1195" s="79">
        <v>202418041</v>
      </c>
      <c r="C1195" s="79" t="s">
        <v>376</v>
      </c>
      <c r="D1195" s="80">
        <v>45731</v>
      </c>
      <c r="E1195" s="79" t="s">
        <v>13</v>
      </c>
      <c r="F1195" s="79" t="s">
        <v>114</v>
      </c>
      <c r="G1195" s="79"/>
      <c r="H1195" s="79" t="s">
        <v>810</v>
      </c>
    </row>
    <row r="1196" spans="1:8">
      <c r="A1196" s="79" t="str">
        <f>LeaveData[[#This Row],[ EMP ID]]&amp;LeaveData[[#This Row],[Date]]</f>
        <v>20231801745723</v>
      </c>
      <c r="B1196" s="79">
        <v>202318017</v>
      </c>
      <c r="C1196" s="79" t="s">
        <v>37</v>
      </c>
      <c r="D1196" s="80">
        <v>45723</v>
      </c>
      <c r="E1196" s="79" t="s">
        <v>13</v>
      </c>
      <c r="F1196" s="79" t="s">
        <v>118</v>
      </c>
      <c r="G1196" s="79"/>
      <c r="H1196" s="79" t="s">
        <v>168</v>
      </c>
    </row>
    <row r="1197" spans="1:8">
      <c r="A1197" s="79" t="str">
        <f>LeaveData[[#This Row],[ EMP ID]]&amp;LeaveData[[#This Row],[Date]]</f>
        <v>20241803345719</v>
      </c>
      <c r="B1197" s="79">
        <v>202418033</v>
      </c>
      <c r="C1197" s="79" t="s">
        <v>65</v>
      </c>
      <c r="D1197" s="80">
        <v>45719</v>
      </c>
      <c r="E1197" s="79" t="s">
        <v>12</v>
      </c>
      <c r="F1197" s="79" t="s">
        <v>118</v>
      </c>
      <c r="G1197" s="79"/>
      <c r="H1197" s="79" t="s">
        <v>416</v>
      </c>
    </row>
    <row r="1198" spans="1:8">
      <c r="A1198" s="79" t="str">
        <f>LeaveData[[#This Row],[ EMP ID]]&amp;LeaveData[[#This Row],[Date]]</f>
        <v>20231802845729</v>
      </c>
      <c r="B1198" s="79">
        <v>202318028</v>
      </c>
      <c r="C1198" s="79" t="s">
        <v>57</v>
      </c>
      <c r="D1198" s="80">
        <v>45729</v>
      </c>
      <c r="E1198" s="79" t="s">
        <v>13</v>
      </c>
      <c r="F1198" s="79" t="s">
        <v>118</v>
      </c>
      <c r="G1198" s="79"/>
      <c r="H1198" s="79" t="s">
        <v>168</v>
      </c>
    </row>
    <row r="1199" spans="1:8">
      <c r="A1199" s="79" t="str">
        <f>LeaveData[[#This Row],[ EMP ID]]&amp;LeaveData[[#This Row],[Date]]</f>
        <v>20231802845731</v>
      </c>
      <c r="B1199" s="79">
        <v>202318028</v>
      </c>
      <c r="C1199" s="79" t="s">
        <v>57</v>
      </c>
      <c r="D1199" s="80">
        <v>45731</v>
      </c>
      <c r="E1199" s="79" t="s">
        <v>13</v>
      </c>
      <c r="F1199" s="79" t="s">
        <v>118</v>
      </c>
      <c r="G1199" s="79"/>
      <c r="H1199" s="79" t="s">
        <v>168</v>
      </c>
    </row>
    <row r="1200" spans="1:8">
      <c r="A1200" s="79" t="str">
        <f>LeaveData[[#This Row],[ EMP ID]]&amp;LeaveData[[#This Row],[Date]]</f>
        <v>20231802345723</v>
      </c>
      <c r="B1200" s="79">
        <v>202318023</v>
      </c>
      <c r="C1200" s="79" t="s">
        <v>148</v>
      </c>
      <c r="D1200" s="80">
        <v>45723</v>
      </c>
      <c r="E1200" s="79" t="s">
        <v>13</v>
      </c>
      <c r="F1200" s="79" t="s">
        <v>118</v>
      </c>
      <c r="G1200" s="79"/>
      <c r="H1200" s="79" t="s">
        <v>811</v>
      </c>
    </row>
    <row r="1201" spans="1:8">
      <c r="A1201" s="79" t="str">
        <f>LeaveData[[#This Row],[ EMP ID]]&amp;LeaveData[[#This Row],[Date]]</f>
        <v>20242101045723</v>
      </c>
      <c r="B1201" s="79">
        <v>202421010</v>
      </c>
      <c r="C1201" s="79" t="s">
        <v>288</v>
      </c>
      <c r="D1201" s="80">
        <v>45723</v>
      </c>
      <c r="E1201" s="79" t="s">
        <v>16</v>
      </c>
      <c r="F1201" s="79" t="s">
        <v>206</v>
      </c>
      <c r="G1201" s="79"/>
      <c r="H1201" s="79" t="s">
        <v>812</v>
      </c>
    </row>
    <row r="1202" spans="1:8">
      <c r="A1202" s="79" t="str">
        <f>LeaveData[[#This Row],[ EMP ID]]&amp;LeaveData[[#This Row],[Date]]</f>
        <v>20242001745728</v>
      </c>
      <c r="B1202" s="79">
        <v>202420017</v>
      </c>
      <c r="C1202" s="79" t="s">
        <v>375</v>
      </c>
      <c r="D1202" s="80">
        <v>45728</v>
      </c>
      <c r="E1202" s="79" t="s">
        <v>13</v>
      </c>
      <c r="F1202" s="79" t="s">
        <v>104</v>
      </c>
      <c r="G1202" s="79"/>
      <c r="H1202" s="79" t="s">
        <v>813</v>
      </c>
    </row>
    <row r="1203" spans="1:8">
      <c r="A1203" s="79" t="str">
        <f>LeaveData[[#This Row],[ EMP ID]]&amp;LeaveData[[#This Row],[Date]]</f>
        <v>20242001745729</v>
      </c>
      <c r="B1203" s="79">
        <v>202420017</v>
      </c>
      <c r="C1203" s="79" t="s">
        <v>375</v>
      </c>
      <c r="D1203" s="80">
        <v>45729</v>
      </c>
      <c r="E1203" s="79" t="s">
        <v>13</v>
      </c>
      <c r="F1203" s="79" t="s">
        <v>104</v>
      </c>
      <c r="G1203" s="79"/>
      <c r="H1203" s="79" t="s">
        <v>813</v>
      </c>
    </row>
    <row r="1204" spans="1:8">
      <c r="A1204" s="79" t="str">
        <f>LeaveData[[#This Row],[ EMP ID]]&amp;LeaveData[[#This Row],[Date]]</f>
        <v>20251804345724</v>
      </c>
      <c r="B1204" s="79">
        <v>202518043</v>
      </c>
      <c r="C1204" s="79" t="s">
        <v>403</v>
      </c>
      <c r="D1204" s="80">
        <v>45724</v>
      </c>
      <c r="E1204" s="79" t="s">
        <v>154</v>
      </c>
      <c r="F1204" s="79" t="s">
        <v>43</v>
      </c>
      <c r="G1204" s="79"/>
      <c r="H1204" s="79" t="s">
        <v>155</v>
      </c>
    </row>
    <row r="1205" spans="1:8">
      <c r="A1205" s="79" t="str">
        <f>LeaveData[[#This Row],[ EMP ID]]&amp;LeaveData[[#This Row],[Date]]</f>
        <v>20231802245724</v>
      </c>
      <c r="B1205" s="79">
        <v>202318022</v>
      </c>
      <c r="C1205" s="79" t="s">
        <v>45</v>
      </c>
      <c r="D1205" s="80">
        <v>45724</v>
      </c>
      <c r="E1205" s="79" t="s">
        <v>154</v>
      </c>
      <c r="F1205" s="79" t="s">
        <v>118</v>
      </c>
      <c r="G1205" s="79"/>
      <c r="H1205" s="79" t="s">
        <v>155</v>
      </c>
    </row>
    <row r="1206" spans="1:8">
      <c r="A1206" s="79" t="str">
        <f>LeaveData[[#This Row],[ EMP ID]]&amp;LeaveData[[#This Row],[Date]]</f>
        <v>20231802045724</v>
      </c>
      <c r="B1206" s="79">
        <v>202318020</v>
      </c>
      <c r="C1206" s="79" t="s">
        <v>43</v>
      </c>
      <c r="D1206" s="80">
        <v>45724</v>
      </c>
      <c r="E1206" s="79" t="s">
        <v>154</v>
      </c>
      <c r="F1206" s="79" t="s">
        <v>104</v>
      </c>
      <c r="G1206" s="79"/>
      <c r="H1206" s="79" t="s">
        <v>155</v>
      </c>
    </row>
    <row r="1207" spans="1:8">
      <c r="A1207" s="79" t="str">
        <f>LeaveData[[#This Row],[ EMP ID]]&amp;LeaveData[[#This Row],[Date]]</f>
        <v>20252101445726</v>
      </c>
      <c r="B1207" s="79">
        <v>202521014</v>
      </c>
      <c r="C1207" s="79" t="s">
        <v>441</v>
      </c>
      <c r="D1207" s="80">
        <v>45726</v>
      </c>
      <c r="E1207" s="79" t="s">
        <v>16</v>
      </c>
      <c r="F1207" s="79" t="s">
        <v>206</v>
      </c>
      <c r="G1207" s="79"/>
      <c r="H1207" s="79" t="s">
        <v>814</v>
      </c>
    </row>
    <row r="1208" spans="1:8">
      <c r="A1208" s="79" t="str">
        <f>LeaveData[[#This Row],[ EMP ID]]&amp;LeaveData[[#This Row],[Date]]</f>
        <v>20252101445727</v>
      </c>
      <c r="B1208" s="79">
        <v>202521014</v>
      </c>
      <c r="C1208" s="79" t="s">
        <v>441</v>
      </c>
      <c r="D1208" s="80">
        <v>45727</v>
      </c>
      <c r="E1208" s="79" t="s">
        <v>16</v>
      </c>
      <c r="F1208" s="79" t="s">
        <v>206</v>
      </c>
      <c r="G1208" s="79"/>
      <c r="H1208" s="79" t="s">
        <v>814</v>
      </c>
    </row>
    <row r="1209" spans="1:8">
      <c r="A1209" s="79" t="str">
        <f>LeaveData[[#This Row],[ EMP ID]]&amp;LeaveData[[#This Row],[Date]]</f>
        <v>20252101445728</v>
      </c>
      <c r="B1209" s="79">
        <v>202521014</v>
      </c>
      <c r="C1209" s="79" t="s">
        <v>441</v>
      </c>
      <c r="D1209" s="80">
        <v>45728</v>
      </c>
      <c r="E1209" s="79" t="s">
        <v>16</v>
      </c>
      <c r="F1209" s="79" t="s">
        <v>206</v>
      </c>
      <c r="G1209" s="79"/>
      <c r="H1209" s="79" t="s">
        <v>814</v>
      </c>
    </row>
    <row r="1210" spans="1:8">
      <c r="A1210" s="79" t="str">
        <f>LeaveData[[#This Row],[ EMP ID]]&amp;LeaveData[[#This Row],[Date]]</f>
        <v>20252101445729</v>
      </c>
      <c r="B1210" s="79">
        <v>202521014</v>
      </c>
      <c r="C1210" s="79" t="s">
        <v>441</v>
      </c>
      <c r="D1210" s="80">
        <v>45729</v>
      </c>
      <c r="E1210" s="79" t="s">
        <v>16</v>
      </c>
      <c r="F1210" s="79" t="s">
        <v>206</v>
      </c>
      <c r="G1210" s="79"/>
      <c r="H1210" s="79" t="s">
        <v>814</v>
      </c>
    </row>
    <row r="1211" spans="1:8">
      <c r="A1211" s="79" t="str">
        <f>LeaveData[[#This Row],[ EMP ID]]&amp;LeaveData[[#This Row],[Date]]</f>
        <v>20242100345726</v>
      </c>
      <c r="B1211" s="79">
        <v>202421003</v>
      </c>
      <c r="C1211" s="79" t="s">
        <v>205</v>
      </c>
      <c r="D1211" s="80">
        <v>45726</v>
      </c>
      <c r="E1211" s="79" t="s">
        <v>318</v>
      </c>
      <c r="F1211" s="79" t="s">
        <v>206</v>
      </c>
      <c r="G1211" s="79"/>
      <c r="H1211" s="79" t="s">
        <v>119</v>
      </c>
    </row>
    <row r="1212" spans="1:8">
      <c r="A1212" s="79" t="str">
        <f>LeaveData[[#This Row],[ EMP ID]]&amp;LeaveData[[#This Row],[Date]]</f>
        <v>20242101345728</v>
      </c>
      <c r="B1212" s="79">
        <v>202421013</v>
      </c>
      <c r="C1212" s="79" t="s">
        <v>378</v>
      </c>
      <c r="D1212" s="80">
        <v>45728</v>
      </c>
      <c r="E1212" s="79" t="s">
        <v>14</v>
      </c>
      <c r="F1212" s="79" t="s">
        <v>206</v>
      </c>
      <c r="G1212" s="79"/>
      <c r="H1212" s="79" t="s">
        <v>187</v>
      </c>
    </row>
    <row r="1213" spans="1:8">
      <c r="A1213" s="79" t="str">
        <f>LeaveData[[#This Row],[ EMP ID]]&amp;LeaveData[[#This Row],[Date]]</f>
        <v>20232000745727</v>
      </c>
      <c r="B1213" s="79">
        <v>202320007</v>
      </c>
      <c r="C1213" s="79" t="s">
        <v>183</v>
      </c>
      <c r="D1213" s="80">
        <v>45727</v>
      </c>
      <c r="E1213" s="79" t="s">
        <v>12</v>
      </c>
      <c r="F1213" s="79" t="s">
        <v>104</v>
      </c>
      <c r="G1213" s="79"/>
      <c r="H1213" s="79" t="s">
        <v>140</v>
      </c>
    </row>
    <row r="1214" spans="1:8">
      <c r="A1214" s="79" t="str">
        <f>LeaveData[[#This Row],[ EMP ID]]&amp;LeaveData[[#This Row],[Date]]</f>
        <v>20242100145727</v>
      </c>
      <c r="B1214" s="79">
        <v>202421001</v>
      </c>
      <c r="C1214" s="79" t="s">
        <v>221</v>
      </c>
      <c r="D1214" s="80">
        <v>45727</v>
      </c>
      <c r="E1214" s="79" t="s">
        <v>12</v>
      </c>
      <c r="F1214" s="79" t="s">
        <v>206</v>
      </c>
      <c r="G1214" s="79"/>
      <c r="H1214" s="79" t="s">
        <v>140</v>
      </c>
    </row>
    <row r="1215" spans="1:8">
      <c r="A1215" s="79" t="str">
        <f>LeaveData[[#This Row],[ EMP ID]]&amp;LeaveData[[#This Row],[Date]]</f>
        <v>20231801745736</v>
      </c>
      <c r="B1215" s="79">
        <v>202318017</v>
      </c>
      <c r="C1215" s="79" t="s">
        <v>37</v>
      </c>
      <c r="D1215" s="80">
        <v>45736</v>
      </c>
      <c r="E1215" s="79" t="s">
        <v>12</v>
      </c>
      <c r="F1215" s="79" t="s">
        <v>118</v>
      </c>
      <c r="G1215" s="79"/>
      <c r="H1215" s="79" t="s">
        <v>140</v>
      </c>
    </row>
    <row r="1216" spans="1:8">
      <c r="A1216" s="79" t="str">
        <f>LeaveData[[#This Row],[ EMP ID]]&amp;LeaveData[[#This Row],[Date]]</f>
        <v>20241804045715</v>
      </c>
      <c r="B1216" s="79">
        <v>202418040</v>
      </c>
      <c r="C1216" s="79" t="s">
        <v>341</v>
      </c>
      <c r="D1216" s="80">
        <v>45715</v>
      </c>
      <c r="E1216" s="79" t="s">
        <v>16</v>
      </c>
      <c r="F1216" s="79" t="s">
        <v>106</v>
      </c>
      <c r="G1216" s="79"/>
      <c r="H1216" s="79" t="s">
        <v>815</v>
      </c>
    </row>
    <row r="1217" spans="1:8">
      <c r="A1217" s="79" t="str">
        <f>LeaveData[[#This Row],[ EMP ID]]&amp;LeaveData[[#This Row],[Date]]</f>
        <v>20241804045716</v>
      </c>
      <c r="B1217" s="79">
        <v>202418040</v>
      </c>
      <c r="C1217" s="79" t="s">
        <v>341</v>
      </c>
      <c r="D1217" s="80">
        <v>45716</v>
      </c>
      <c r="E1217" s="79" t="s">
        <v>16</v>
      </c>
      <c r="F1217" s="79" t="s">
        <v>106</v>
      </c>
      <c r="G1217" s="79"/>
      <c r="H1217" s="79" t="s">
        <v>815</v>
      </c>
    </row>
    <row r="1218" spans="1:8">
      <c r="A1218" s="79" t="str">
        <f>LeaveData[[#This Row],[ EMP ID]]&amp;LeaveData[[#This Row],[Date]]</f>
        <v>20241804045717</v>
      </c>
      <c r="B1218" s="79">
        <v>202418040</v>
      </c>
      <c r="C1218" s="79" t="s">
        <v>341</v>
      </c>
      <c r="D1218" s="80">
        <v>45717</v>
      </c>
      <c r="E1218" s="79" t="s">
        <v>16</v>
      </c>
      <c r="F1218" s="79" t="s">
        <v>106</v>
      </c>
      <c r="G1218" s="79"/>
      <c r="H1218" s="79" t="s">
        <v>815</v>
      </c>
    </row>
    <row r="1219" spans="1:8">
      <c r="A1219" s="79" t="str">
        <f>LeaveData[[#This Row],[ EMP ID]]&amp;LeaveData[[#This Row],[Date]]</f>
        <v>20241804045719</v>
      </c>
      <c r="B1219" s="79">
        <v>202418040</v>
      </c>
      <c r="C1219" s="79" t="s">
        <v>341</v>
      </c>
      <c r="D1219" s="80">
        <v>45719</v>
      </c>
      <c r="E1219" s="79" t="s">
        <v>16</v>
      </c>
      <c r="F1219" s="79" t="s">
        <v>106</v>
      </c>
      <c r="G1219" s="79"/>
      <c r="H1219" s="79" t="s">
        <v>815</v>
      </c>
    </row>
    <row r="1220" spans="1:8">
      <c r="A1220" s="79" t="str">
        <f>LeaveData[[#This Row],[ EMP ID]]&amp;LeaveData[[#This Row],[Date]]</f>
        <v>20241804045720</v>
      </c>
      <c r="B1220" s="79">
        <v>202418040</v>
      </c>
      <c r="C1220" s="79" t="s">
        <v>341</v>
      </c>
      <c r="D1220" s="80">
        <v>45720</v>
      </c>
      <c r="E1220" s="79" t="s">
        <v>16</v>
      </c>
      <c r="F1220" s="79" t="s">
        <v>106</v>
      </c>
      <c r="G1220" s="79"/>
      <c r="H1220" s="79" t="s">
        <v>815</v>
      </c>
    </row>
    <row r="1221" spans="1:8">
      <c r="A1221" s="79" t="str">
        <f>LeaveData[[#This Row],[ EMP ID]]&amp;LeaveData[[#This Row],[Date]]</f>
        <v>20241804045721</v>
      </c>
      <c r="B1221" s="79">
        <v>202418040</v>
      </c>
      <c r="C1221" s="79" t="s">
        <v>341</v>
      </c>
      <c r="D1221" s="80">
        <v>45721</v>
      </c>
      <c r="E1221" s="79" t="s">
        <v>16</v>
      </c>
      <c r="F1221" s="79" t="s">
        <v>106</v>
      </c>
      <c r="G1221" s="79"/>
      <c r="H1221" s="79" t="s">
        <v>815</v>
      </c>
    </row>
    <row r="1222" spans="1:8">
      <c r="A1222" s="79" t="str">
        <f>LeaveData[[#This Row],[ EMP ID]]&amp;LeaveData[[#This Row],[Date]]</f>
        <v>20241804045722</v>
      </c>
      <c r="B1222" s="79">
        <v>202418040</v>
      </c>
      <c r="C1222" s="79" t="s">
        <v>341</v>
      </c>
      <c r="D1222" s="80">
        <v>45722</v>
      </c>
      <c r="E1222" s="79" t="s">
        <v>16</v>
      </c>
      <c r="F1222" s="79" t="s">
        <v>106</v>
      </c>
      <c r="G1222" s="79"/>
      <c r="H1222" s="79" t="s">
        <v>815</v>
      </c>
    </row>
    <row r="1223" spans="1:8">
      <c r="A1223" s="79" t="str">
        <f>LeaveData[[#This Row],[ EMP ID]]&amp;LeaveData[[#This Row],[Date]]</f>
        <v>20241804045723</v>
      </c>
      <c r="B1223" s="79">
        <v>202418040</v>
      </c>
      <c r="C1223" s="79" t="s">
        <v>341</v>
      </c>
      <c r="D1223" s="80">
        <v>45723</v>
      </c>
      <c r="E1223" s="79" t="s">
        <v>16</v>
      </c>
      <c r="F1223" s="79" t="s">
        <v>106</v>
      </c>
      <c r="G1223" s="79"/>
      <c r="H1223" s="79" t="s">
        <v>815</v>
      </c>
    </row>
    <row r="1224" spans="1:8">
      <c r="A1224" s="79" t="str">
        <f>LeaveData[[#This Row],[ EMP ID]]&amp;LeaveData[[#This Row],[Date]]</f>
        <v>20241804045726</v>
      </c>
      <c r="B1224" s="79">
        <v>202418040</v>
      </c>
      <c r="C1224" s="79" t="s">
        <v>341</v>
      </c>
      <c r="D1224" s="80">
        <v>45726</v>
      </c>
      <c r="E1224" s="79" t="s">
        <v>16</v>
      </c>
      <c r="F1224" s="79" t="s">
        <v>106</v>
      </c>
      <c r="G1224" s="79"/>
      <c r="H1224" s="79" t="s">
        <v>815</v>
      </c>
    </row>
    <row r="1225" spans="1:8">
      <c r="A1225" s="79" t="str">
        <f>LeaveData[[#This Row],[ EMP ID]]&amp;LeaveData[[#This Row],[Date]]</f>
        <v>20241804045727</v>
      </c>
      <c r="B1225" s="79">
        <v>202418040</v>
      </c>
      <c r="C1225" s="79" t="s">
        <v>341</v>
      </c>
      <c r="D1225" s="80">
        <v>45727</v>
      </c>
      <c r="E1225" s="79" t="s">
        <v>16</v>
      </c>
      <c r="F1225" s="79" t="s">
        <v>106</v>
      </c>
      <c r="G1225" s="79"/>
      <c r="H1225" s="79" t="s">
        <v>815</v>
      </c>
    </row>
    <row r="1226" spans="1:8">
      <c r="A1226" s="79" t="str">
        <f>LeaveData[[#This Row],[ EMP ID]]&amp;LeaveData[[#This Row],[Date]]</f>
        <v>20241804045728</v>
      </c>
      <c r="B1226" s="79">
        <v>202418040</v>
      </c>
      <c r="C1226" s="79" t="s">
        <v>341</v>
      </c>
      <c r="D1226" s="80">
        <v>45728</v>
      </c>
      <c r="E1226" s="79" t="s">
        <v>16</v>
      </c>
      <c r="F1226" s="79" t="s">
        <v>106</v>
      </c>
      <c r="G1226" s="79"/>
      <c r="H1226" s="79" t="s">
        <v>815</v>
      </c>
    </row>
    <row r="1227" spans="1:8">
      <c r="A1227" s="79" t="str">
        <f>LeaveData[[#This Row],[ EMP ID]]&amp;LeaveData[[#This Row],[Date]]</f>
        <v>20241804045729</v>
      </c>
      <c r="B1227" s="79">
        <v>202418040</v>
      </c>
      <c r="C1227" s="79" t="s">
        <v>341</v>
      </c>
      <c r="D1227" s="80">
        <v>45729</v>
      </c>
      <c r="E1227" s="79" t="s">
        <v>16</v>
      </c>
      <c r="F1227" s="79" t="s">
        <v>106</v>
      </c>
      <c r="G1227" s="79"/>
      <c r="H1227" s="79" t="s">
        <v>815</v>
      </c>
    </row>
    <row r="1228" spans="1:8">
      <c r="A1228" s="79" t="str">
        <f>LeaveData[[#This Row],[ EMP ID]]&amp;LeaveData[[#This Row],[Date]]</f>
        <v>20241804045731</v>
      </c>
      <c r="B1228" s="79">
        <v>202418040</v>
      </c>
      <c r="C1228" s="79" t="s">
        <v>341</v>
      </c>
      <c r="D1228" s="80">
        <v>45731</v>
      </c>
      <c r="E1228" s="79" t="s">
        <v>16</v>
      </c>
      <c r="F1228" s="79" t="s">
        <v>106</v>
      </c>
      <c r="G1228" s="79"/>
      <c r="H1228" s="79" t="s">
        <v>815</v>
      </c>
    </row>
    <row r="1229" spans="1:8">
      <c r="A1229" s="79" t="str">
        <f>LeaveData[[#This Row],[ EMP ID]]&amp;LeaveData[[#This Row],[Date]]</f>
        <v>20241804045733</v>
      </c>
      <c r="B1229" s="79">
        <v>202418040</v>
      </c>
      <c r="C1229" s="79" t="s">
        <v>341</v>
      </c>
      <c r="D1229" s="80">
        <v>45733</v>
      </c>
      <c r="E1229" s="79" t="s">
        <v>16</v>
      </c>
      <c r="F1229" s="79" t="s">
        <v>106</v>
      </c>
      <c r="G1229" s="79"/>
      <c r="H1229" s="79" t="s">
        <v>815</v>
      </c>
    </row>
    <row r="1230" spans="1:8">
      <c r="A1230" s="79" t="str">
        <f>LeaveData[[#This Row],[ EMP ID]]&amp;LeaveData[[#This Row],[Date]]</f>
        <v>20241804045734</v>
      </c>
      <c r="B1230" s="79">
        <v>202418040</v>
      </c>
      <c r="C1230" s="79" t="s">
        <v>341</v>
      </c>
      <c r="D1230" s="80">
        <v>45734</v>
      </c>
      <c r="E1230" s="79" t="s">
        <v>16</v>
      </c>
      <c r="F1230" s="79" t="s">
        <v>106</v>
      </c>
      <c r="G1230" s="79"/>
      <c r="H1230" s="79" t="s">
        <v>815</v>
      </c>
    </row>
    <row r="1231" spans="1:8">
      <c r="A1231" s="79" t="str">
        <f>LeaveData[[#This Row],[ EMP ID]]&amp;LeaveData[[#This Row],[Date]]</f>
        <v>20241804045735</v>
      </c>
      <c r="B1231" s="79">
        <v>202418040</v>
      </c>
      <c r="C1231" s="79" t="s">
        <v>341</v>
      </c>
      <c r="D1231" s="80">
        <v>45735</v>
      </c>
      <c r="E1231" s="79" t="s">
        <v>16</v>
      </c>
      <c r="F1231" s="79" t="s">
        <v>106</v>
      </c>
      <c r="G1231" s="79"/>
      <c r="H1231" s="79" t="s">
        <v>815</v>
      </c>
    </row>
    <row r="1232" spans="1:8">
      <c r="A1232" s="79" t="str">
        <f>LeaveData[[#This Row],[ EMP ID]]&amp;LeaveData[[#This Row],[Date]]</f>
        <v>20241804045736</v>
      </c>
      <c r="B1232" s="79">
        <v>202418040</v>
      </c>
      <c r="C1232" s="79" t="s">
        <v>341</v>
      </c>
      <c r="D1232" s="80">
        <v>45736</v>
      </c>
      <c r="E1232" s="79" t="s">
        <v>16</v>
      </c>
      <c r="F1232" s="79" t="s">
        <v>106</v>
      </c>
      <c r="G1232" s="79"/>
      <c r="H1232" s="79" t="s">
        <v>815</v>
      </c>
    </row>
    <row r="1233" spans="1:8">
      <c r="A1233" s="79" t="str">
        <f>LeaveData[[#This Row],[ EMP ID]]&amp;LeaveData[[#This Row],[Date]]</f>
        <v>20241804045737</v>
      </c>
      <c r="B1233" s="79">
        <v>202418040</v>
      </c>
      <c r="C1233" s="79" t="s">
        <v>341</v>
      </c>
      <c r="D1233" s="80">
        <v>45737</v>
      </c>
      <c r="E1233" s="79" t="s">
        <v>16</v>
      </c>
      <c r="F1233" s="79" t="s">
        <v>106</v>
      </c>
      <c r="G1233" s="79"/>
      <c r="H1233" s="79" t="s">
        <v>815</v>
      </c>
    </row>
    <row r="1234" spans="1:8">
      <c r="A1234" s="79" t="str">
        <f>LeaveData[[#This Row],[ EMP ID]]&amp;LeaveData[[#This Row],[Date]]</f>
        <v>20241804045738</v>
      </c>
      <c r="B1234" s="79">
        <v>202418040</v>
      </c>
      <c r="C1234" s="79" t="s">
        <v>341</v>
      </c>
      <c r="D1234" s="80">
        <v>45738</v>
      </c>
      <c r="E1234" s="79" t="s">
        <v>16</v>
      </c>
      <c r="F1234" s="79" t="s">
        <v>106</v>
      </c>
      <c r="G1234" s="79"/>
      <c r="H1234" s="79" t="s">
        <v>815</v>
      </c>
    </row>
    <row r="1235" spans="1:8">
      <c r="A1235" s="79" t="str">
        <f>LeaveData[[#This Row],[ EMP ID]]&amp;LeaveData[[#This Row],[Date]]</f>
        <v>20241804045740</v>
      </c>
      <c r="B1235" s="79">
        <v>202418040</v>
      </c>
      <c r="C1235" s="79" t="s">
        <v>341</v>
      </c>
      <c r="D1235" s="80">
        <v>45740</v>
      </c>
      <c r="E1235" s="79" t="s">
        <v>16</v>
      </c>
      <c r="F1235" s="79" t="s">
        <v>106</v>
      </c>
      <c r="G1235" s="79"/>
      <c r="H1235" s="79" t="s">
        <v>815</v>
      </c>
    </row>
    <row r="1236" spans="1:8">
      <c r="A1236" s="79" t="str">
        <f>LeaveData[[#This Row],[ EMP ID]]&amp;LeaveData[[#This Row],[Date]]</f>
        <v>20241804045741</v>
      </c>
      <c r="B1236" s="79">
        <v>202418040</v>
      </c>
      <c r="C1236" s="79" t="s">
        <v>341</v>
      </c>
      <c r="D1236" s="80">
        <v>45741</v>
      </c>
      <c r="E1236" s="79" t="s">
        <v>16</v>
      </c>
      <c r="F1236" s="79" t="s">
        <v>106</v>
      </c>
      <c r="G1236" s="79"/>
      <c r="H1236" s="79" t="s">
        <v>815</v>
      </c>
    </row>
    <row r="1237" spans="1:8">
      <c r="A1237" s="79" t="str">
        <f>LeaveData[[#This Row],[ EMP ID]]&amp;LeaveData[[#This Row],[Date]]</f>
        <v>20241804045742</v>
      </c>
      <c r="B1237" s="79">
        <v>202418040</v>
      </c>
      <c r="C1237" s="79" t="s">
        <v>341</v>
      </c>
      <c r="D1237" s="80">
        <v>45742</v>
      </c>
      <c r="E1237" s="79" t="s">
        <v>16</v>
      </c>
      <c r="F1237" s="79" t="s">
        <v>106</v>
      </c>
      <c r="G1237" s="79"/>
      <c r="H1237" s="79" t="s">
        <v>815</v>
      </c>
    </row>
    <row r="1238" spans="1:8">
      <c r="A1238" s="79" t="str">
        <f>LeaveData[[#This Row],[ EMP ID]]&amp;LeaveData[[#This Row],[Date]]</f>
        <v>20241804045743</v>
      </c>
      <c r="B1238" s="79">
        <v>202418040</v>
      </c>
      <c r="C1238" s="79" t="s">
        <v>341</v>
      </c>
      <c r="D1238" s="80">
        <v>45743</v>
      </c>
      <c r="E1238" s="79" t="s">
        <v>16</v>
      </c>
      <c r="F1238" s="79" t="s">
        <v>106</v>
      </c>
      <c r="G1238" s="79"/>
      <c r="H1238" s="79" t="s">
        <v>815</v>
      </c>
    </row>
    <row r="1239" spans="1:8">
      <c r="A1239" s="79" t="str">
        <f>LeaveData[[#This Row],[ EMP ID]]&amp;LeaveData[[#This Row],[Date]]</f>
        <v>20241804045744</v>
      </c>
      <c r="B1239" s="79">
        <v>202418040</v>
      </c>
      <c r="C1239" s="79" t="s">
        <v>341</v>
      </c>
      <c r="D1239" s="80">
        <v>45744</v>
      </c>
      <c r="E1239" s="79" t="s">
        <v>16</v>
      </c>
      <c r="F1239" s="79" t="s">
        <v>106</v>
      </c>
      <c r="G1239" s="79"/>
      <c r="H1239" s="79" t="s">
        <v>815</v>
      </c>
    </row>
    <row r="1240" spans="1:8">
      <c r="A1240" s="79" t="str">
        <f>LeaveData[[#This Row],[ EMP ID]]&amp;LeaveData[[#This Row],[Date]]</f>
        <v>20241804045745</v>
      </c>
      <c r="B1240" s="79">
        <v>202418040</v>
      </c>
      <c r="C1240" s="79" t="s">
        <v>341</v>
      </c>
      <c r="D1240" s="80">
        <v>45745</v>
      </c>
      <c r="E1240" s="79" t="s">
        <v>16</v>
      </c>
      <c r="F1240" s="79" t="s">
        <v>106</v>
      </c>
      <c r="G1240" s="79"/>
      <c r="H1240" s="79" t="s">
        <v>815</v>
      </c>
    </row>
    <row r="1241" spans="1:8">
      <c r="A1241" s="79" t="str">
        <f>LeaveData[[#This Row],[ EMP ID]]&amp;LeaveData[[#This Row],[Date]]</f>
        <v>20241804045747</v>
      </c>
      <c r="B1241" s="79">
        <v>202418040</v>
      </c>
      <c r="C1241" s="79" t="s">
        <v>341</v>
      </c>
      <c r="D1241" s="80">
        <v>45747</v>
      </c>
      <c r="E1241" s="79" t="s">
        <v>16</v>
      </c>
      <c r="F1241" s="79" t="s">
        <v>106</v>
      </c>
      <c r="G1241" s="79"/>
      <c r="H1241" s="79" t="s">
        <v>815</v>
      </c>
    </row>
    <row r="1242" spans="1:8">
      <c r="A1242" s="79" t="str">
        <f>LeaveData[[#This Row],[ EMP ID]]&amp;LeaveData[[#This Row],[Date]]</f>
        <v>20241804045750</v>
      </c>
      <c r="B1242" s="79">
        <v>202418040</v>
      </c>
      <c r="C1242" s="79" t="s">
        <v>341</v>
      </c>
      <c r="D1242" s="80">
        <v>45750</v>
      </c>
      <c r="E1242" s="79" t="s">
        <v>16</v>
      </c>
      <c r="F1242" s="79" t="s">
        <v>106</v>
      </c>
      <c r="G1242" s="79"/>
      <c r="H1242" s="79" t="s">
        <v>815</v>
      </c>
    </row>
    <row r="1243" spans="1:8">
      <c r="A1243" s="79" t="str">
        <f>LeaveData[[#This Row],[ EMP ID]]&amp;LeaveData[[#This Row],[Date]]</f>
        <v>20241804045751</v>
      </c>
      <c r="B1243" s="79">
        <v>202418040</v>
      </c>
      <c r="C1243" s="79" t="s">
        <v>341</v>
      </c>
      <c r="D1243" s="80">
        <v>45751</v>
      </c>
      <c r="E1243" s="79" t="s">
        <v>16</v>
      </c>
      <c r="F1243" s="79" t="s">
        <v>106</v>
      </c>
      <c r="G1243" s="79"/>
      <c r="H1243" s="79" t="s">
        <v>815</v>
      </c>
    </row>
    <row r="1244" spans="1:8">
      <c r="A1244" s="79" t="str">
        <f>LeaveData[[#This Row],[ EMP ID]]&amp;LeaveData[[#This Row],[Date]]</f>
        <v>20241804045752</v>
      </c>
      <c r="B1244" s="79">
        <v>202418040</v>
      </c>
      <c r="C1244" s="79" t="s">
        <v>341</v>
      </c>
      <c r="D1244" s="80">
        <v>45752</v>
      </c>
      <c r="E1244" s="79" t="s">
        <v>16</v>
      </c>
      <c r="F1244" s="79" t="s">
        <v>106</v>
      </c>
      <c r="G1244" s="79"/>
      <c r="H1244" s="79" t="s">
        <v>815</v>
      </c>
    </row>
    <row r="1245" spans="1:8">
      <c r="A1245" s="79" t="str">
        <f>LeaveData[[#This Row],[ EMP ID]]&amp;LeaveData[[#This Row],[Date]]</f>
        <v>20241804045754</v>
      </c>
      <c r="B1245" s="79">
        <v>202418040</v>
      </c>
      <c r="C1245" s="79" t="s">
        <v>341</v>
      </c>
      <c r="D1245" s="80">
        <v>45754</v>
      </c>
      <c r="E1245" s="79" t="s">
        <v>16</v>
      </c>
      <c r="F1245" s="79" t="s">
        <v>106</v>
      </c>
      <c r="G1245" s="79"/>
      <c r="H1245" s="79" t="s">
        <v>815</v>
      </c>
    </row>
    <row r="1246" spans="1:8">
      <c r="A1246" s="79" t="str">
        <f>LeaveData[[#This Row],[ EMP ID]]&amp;LeaveData[[#This Row],[Date]]</f>
        <v>20241804045755</v>
      </c>
      <c r="B1246" s="79">
        <v>202418040</v>
      </c>
      <c r="C1246" s="79" t="s">
        <v>341</v>
      </c>
      <c r="D1246" s="80">
        <v>45755</v>
      </c>
      <c r="E1246" s="79" t="s">
        <v>16</v>
      </c>
      <c r="F1246" s="79" t="s">
        <v>106</v>
      </c>
      <c r="G1246" s="79"/>
      <c r="H1246" s="79" t="s">
        <v>815</v>
      </c>
    </row>
    <row r="1247" spans="1:8">
      <c r="A1247" s="79" t="str">
        <f>LeaveData[[#This Row],[ EMP ID]]&amp;LeaveData[[#This Row],[Date]]</f>
        <v>20241804045756</v>
      </c>
      <c r="B1247" s="79">
        <v>202418040</v>
      </c>
      <c r="C1247" s="79" t="s">
        <v>341</v>
      </c>
      <c r="D1247" s="80">
        <v>45756</v>
      </c>
      <c r="E1247" s="79" t="s">
        <v>16</v>
      </c>
      <c r="F1247" s="79" t="s">
        <v>106</v>
      </c>
      <c r="G1247" s="79"/>
      <c r="H1247" s="79" t="s">
        <v>815</v>
      </c>
    </row>
    <row r="1248" spans="1:8">
      <c r="A1248" s="79" t="str">
        <f>LeaveData[[#This Row],[ EMP ID]]&amp;LeaveData[[#This Row],[Date]]</f>
        <v>20241804045757</v>
      </c>
      <c r="B1248" s="79">
        <v>202418040</v>
      </c>
      <c r="C1248" s="79" t="s">
        <v>341</v>
      </c>
      <c r="D1248" s="80">
        <v>45757</v>
      </c>
      <c r="E1248" s="79" t="s">
        <v>16</v>
      </c>
      <c r="F1248" s="79" t="s">
        <v>106</v>
      </c>
      <c r="G1248" s="79"/>
      <c r="H1248" s="79" t="s">
        <v>815</v>
      </c>
    </row>
    <row r="1249" spans="1:8">
      <c r="A1249" s="79" t="str">
        <f>LeaveData[[#This Row],[ EMP ID]]&amp;LeaveData[[#This Row],[Date]]</f>
        <v>20241804045758</v>
      </c>
      <c r="B1249" s="79">
        <v>202418040</v>
      </c>
      <c r="C1249" s="79" t="s">
        <v>341</v>
      </c>
      <c r="D1249" s="80">
        <v>45758</v>
      </c>
      <c r="E1249" s="79" t="s">
        <v>16</v>
      </c>
      <c r="F1249" s="79" t="s">
        <v>106</v>
      </c>
      <c r="G1249" s="79"/>
      <c r="H1249" s="79" t="s">
        <v>815</v>
      </c>
    </row>
    <row r="1250" spans="1:8">
      <c r="A1250" s="79" t="str">
        <f>LeaveData[[#This Row],[ EMP ID]]&amp;LeaveData[[#This Row],[Date]]</f>
        <v>20241804045761</v>
      </c>
      <c r="B1250" s="79">
        <v>202418040</v>
      </c>
      <c r="C1250" s="79" t="s">
        <v>341</v>
      </c>
      <c r="D1250" s="80">
        <v>45761</v>
      </c>
      <c r="E1250" s="79" t="s">
        <v>16</v>
      </c>
      <c r="F1250" s="79" t="s">
        <v>106</v>
      </c>
      <c r="G1250" s="79"/>
      <c r="H1250" s="79" t="s">
        <v>815</v>
      </c>
    </row>
    <row r="1251" spans="1:8">
      <c r="A1251" s="79" t="str">
        <f>LeaveData[[#This Row],[ EMP ID]]&amp;LeaveData[[#This Row],[Date]]</f>
        <v>20241804045762</v>
      </c>
      <c r="B1251" s="79">
        <v>202418040</v>
      </c>
      <c r="C1251" s="79" t="s">
        <v>341</v>
      </c>
      <c r="D1251" s="80">
        <v>45762</v>
      </c>
      <c r="E1251" s="79" t="s">
        <v>16</v>
      </c>
      <c r="F1251" s="79" t="s">
        <v>106</v>
      </c>
      <c r="G1251" s="79"/>
      <c r="H1251" s="79" t="s">
        <v>815</v>
      </c>
    </row>
    <row r="1252" spans="1:8">
      <c r="A1252" s="79" t="str">
        <f>LeaveData[[#This Row],[ EMP ID]]&amp;LeaveData[[#This Row],[Date]]</f>
        <v>20241804045763</v>
      </c>
      <c r="B1252" s="79">
        <v>202418040</v>
      </c>
      <c r="C1252" s="79" t="s">
        <v>341</v>
      </c>
      <c r="D1252" s="80">
        <v>45763</v>
      </c>
      <c r="E1252" s="79" t="s">
        <v>16</v>
      </c>
      <c r="F1252" s="79" t="s">
        <v>106</v>
      </c>
      <c r="G1252" s="79"/>
      <c r="H1252" s="79" t="s">
        <v>815</v>
      </c>
    </row>
    <row r="1253" spans="1:8">
      <c r="A1253" s="79" t="str">
        <f>LeaveData[[#This Row],[ EMP ID]]&amp;LeaveData[[#This Row],[Date]]</f>
        <v>20241804045764</v>
      </c>
      <c r="B1253" s="79">
        <v>202418040</v>
      </c>
      <c r="C1253" s="79" t="s">
        <v>341</v>
      </c>
      <c r="D1253" s="80">
        <v>45764</v>
      </c>
      <c r="E1253" s="79" t="s">
        <v>16</v>
      </c>
      <c r="F1253" s="79" t="s">
        <v>106</v>
      </c>
      <c r="G1253" s="79"/>
      <c r="H1253" s="79" t="s">
        <v>815</v>
      </c>
    </row>
    <row r="1254" spans="1:8">
      <c r="A1254" s="79" t="str">
        <f>LeaveData[[#This Row],[ EMP ID]]&amp;LeaveData[[#This Row],[Date]]</f>
        <v>20241804045765</v>
      </c>
      <c r="B1254" s="79">
        <v>202418040</v>
      </c>
      <c r="C1254" s="79" t="s">
        <v>341</v>
      </c>
      <c r="D1254" s="80">
        <v>45765</v>
      </c>
      <c r="E1254" s="79" t="s">
        <v>16</v>
      </c>
      <c r="F1254" s="79" t="s">
        <v>106</v>
      </c>
      <c r="G1254" s="79"/>
      <c r="H1254" s="79" t="s">
        <v>815</v>
      </c>
    </row>
    <row r="1255" spans="1:8">
      <c r="A1255" s="79" t="str">
        <f>LeaveData[[#This Row],[ EMP ID]]&amp;LeaveData[[#This Row],[Date]]</f>
        <v>20241804045766</v>
      </c>
      <c r="B1255" s="79">
        <v>202418040</v>
      </c>
      <c r="C1255" s="79" t="s">
        <v>341</v>
      </c>
      <c r="D1255" s="80">
        <v>45766</v>
      </c>
      <c r="E1255" s="79" t="s">
        <v>16</v>
      </c>
      <c r="F1255" s="79" t="s">
        <v>106</v>
      </c>
      <c r="G1255" s="79"/>
      <c r="H1255" s="79" t="s">
        <v>815</v>
      </c>
    </row>
    <row r="1256" spans="1:8">
      <c r="A1256" s="79" t="str">
        <f>LeaveData[[#This Row],[ EMP ID]]&amp;LeaveData[[#This Row],[Date]]</f>
        <v>20242101345731</v>
      </c>
      <c r="B1256" s="79">
        <v>202421013</v>
      </c>
      <c r="C1256" s="79" t="s">
        <v>378</v>
      </c>
      <c r="D1256" s="80">
        <v>45731</v>
      </c>
      <c r="E1256" s="79" t="s">
        <v>16</v>
      </c>
      <c r="F1256" s="79" t="s">
        <v>206</v>
      </c>
      <c r="G1256" s="79"/>
      <c r="H1256" s="79" t="s">
        <v>460</v>
      </c>
    </row>
    <row r="1257" spans="1:8">
      <c r="A1257" s="79" t="str">
        <f>LeaveData[[#This Row],[ EMP ID]]&amp;LeaveData[[#This Row],[Date]]</f>
        <v>20242101345733</v>
      </c>
      <c r="B1257" s="79">
        <v>202421013</v>
      </c>
      <c r="C1257" s="79" t="s">
        <v>378</v>
      </c>
      <c r="D1257" s="80">
        <v>45733</v>
      </c>
      <c r="E1257" s="79" t="s">
        <v>16</v>
      </c>
      <c r="F1257" s="79" t="s">
        <v>206</v>
      </c>
      <c r="G1257" s="79"/>
      <c r="H1257" s="79" t="s">
        <v>460</v>
      </c>
    </row>
    <row r="1258" spans="1:8">
      <c r="A1258" s="79" t="str">
        <f>LeaveData[[#This Row],[ EMP ID]]&amp;LeaveData[[#This Row],[Date]]</f>
        <v>20242101345734</v>
      </c>
      <c r="B1258" s="79">
        <v>202421013</v>
      </c>
      <c r="C1258" s="79" t="s">
        <v>378</v>
      </c>
      <c r="D1258" s="80">
        <v>45734</v>
      </c>
      <c r="E1258" s="79" t="s">
        <v>16</v>
      </c>
      <c r="F1258" s="79" t="s">
        <v>206</v>
      </c>
      <c r="G1258" s="79"/>
      <c r="H1258" s="79" t="s">
        <v>460</v>
      </c>
    </row>
    <row r="1259" spans="1:8">
      <c r="A1259" s="79" t="str">
        <f>LeaveData[[#This Row],[ EMP ID]]&amp;LeaveData[[#This Row],[Date]]</f>
        <v>20242101345735</v>
      </c>
      <c r="B1259" s="79">
        <v>202421013</v>
      </c>
      <c r="C1259" s="79" t="s">
        <v>378</v>
      </c>
      <c r="D1259" s="80">
        <v>45735</v>
      </c>
      <c r="E1259" s="79" t="s">
        <v>16</v>
      </c>
      <c r="F1259" s="79" t="s">
        <v>206</v>
      </c>
      <c r="G1259" s="79"/>
      <c r="H1259" s="79" t="s">
        <v>460</v>
      </c>
    </row>
    <row r="1260" spans="1:8">
      <c r="A1260" s="79" t="str">
        <f>LeaveData[[#This Row],[ EMP ID]]&amp;LeaveData[[#This Row],[Date]]</f>
        <v>20242101345736</v>
      </c>
      <c r="B1260" s="79">
        <v>202421013</v>
      </c>
      <c r="C1260" s="79" t="s">
        <v>378</v>
      </c>
      <c r="D1260" s="80">
        <v>45736</v>
      </c>
      <c r="E1260" s="79" t="s">
        <v>16</v>
      </c>
      <c r="F1260" s="79" t="s">
        <v>206</v>
      </c>
      <c r="G1260" s="79"/>
      <c r="H1260" s="79" t="s">
        <v>460</v>
      </c>
    </row>
    <row r="1261" spans="1:8">
      <c r="A1261" s="79" t="str">
        <f>LeaveData[[#This Row],[ EMP ID]]&amp;LeaveData[[#This Row],[Date]]</f>
        <v>20242101345737</v>
      </c>
      <c r="B1261" s="79">
        <v>202421013</v>
      </c>
      <c r="C1261" s="79" t="s">
        <v>378</v>
      </c>
      <c r="D1261" s="80">
        <v>45737</v>
      </c>
      <c r="E1261" s="79" t="s">
        <v>16</v>
      </c>
      <c r="F1261" s="79" t="s">
        <v>206</v>
      </c>
      <c r="G1261" s="79"/>
      <c r="H1261" s="79" t="s">
        <v>460</v>
      </c>
    </row>
    <row r="1262" spans="1:8">
      <c r="A1262" s="79" t="str">
        <f>LeaveData[[#This Row],[ EMP ID]]&amp;LeaveData[[#This Row],[Date]]</f>
        <v>20242101345738</v>
      </c>
      <c r="B1262" s="79">
        <v>202421013</v>
      </c>
      <c r="C1262" s="79" t="s">
        <v>378</v>
      </c>
      <c r="D1262" s="80">
        <v>45738</v>
      </c>
      <c r="E1262" s="79" t="s">
        <v>16</v>
      </c>
      <c r="F1262" s="79" t="s">
        <v>206</v>
      </c>
      <c r="G1262" s="79"/>
      <c r="H1262" s="79" t="s">
        <v>460</v>
      </c>
    </row>
    <row r="1263" spans="1:8">
      <c r="A1263" s="79" t="str">
        <f>LeaveData[[#This Row],[ EMP ID]]&amp;LeaveData[[#This Row],[Date]]</f>
        <v>20231801945723</v>
      </c>
      <c r="B1263" s="79">
        <v>202318019</v>
      </c>
      <c r="C1263" s="79" t="s">
        <v>89</v>
      </c>
      <c r="D1263" s="80">
        <v>45723</v>
      </c>
      <c r="E1263" s="79" t="s">
        <v>16</v>
      </c>
      <c r="F1263" s="79" t="s">
        <v>45</v>
      </c>
      <c r="G1263" s="79"/>
      <c r="H1263" s="79" t="s">
        <v>816</v>
      </c>
    </row>
    <row r="1264" spans="1:8">
      <c r="A1264" s="79" t="str">
        <f>LeaveData[[#This Row],[ EMP ID]]&amp;LeaveData[[#This Row],[Date]]</f>
        <v>20231801945724</v>
      </c>
      <c r="B1264" s="79">
        <v>202318019</v>
      </c>
      <c r="C1264" s="79" t="s">
        <v>89</v>
      </c>
      <c r="D1264" s="80">
        <v>45724</v>
      </c>
      <c r="E1264" s="79" t="s">
        <v>154</v>
      </c>
      <c r="F1264" s="79" t="s">
        <v>45</v>
      </c>
      <c r="G1264" s="79"/>
      <c r="H1264" s="79" t="s">
        <v>155</v>
      </c>
    </row>
    <row r="1265" spans="1:8">
      <c r="A1265" s="79" t="str">
        <f>LeaveData[[#This Row],[ EMP ID]]&amp;LeaveData[[#This Row],[Date]]</f>
        <v>20231801945725</v>
      </c>
      <c r="B1265" s="79">
        <v>202318019</v>
      </c>
      <c r="C1265" s="79" t="s">
        <v>89</v>
      </c>
      <c r="D1265" s="80">
        <v>45725</v>
      </c>
      <c r="E1265" s="79" t="s">
        <v>154</v>
      </c>
      <c r="F1265" s="79" t="s">
        <v>45</v>
      </c>
      <c r="G1265" s="79"/>
      <c r="H1265" s="79" t="s">
        <v>430</v>
      </c>
    </row>
    <row r="1266" spans="1:8">
      <c r="A1266" s="79" t="str">
        <f>LeaveData[[#This Row],[ EMP ID]]&amp;LeaveData[[#This Row],[Date]]</f>
        <v>20231801945731</v>
      </c>
      <c r="B1266" s="79">
        <v>202318019</v>
      </c>
      <c r="C1266" s="79" t="s">
        <v>89</v>
      </c>
      <c r="D1266" s="80">
        <v>45731</v>
      </c>
      <c r="E1266" s="79" t="s">
        <v>16</v>
      </c>
      <c r="F1266" s="79" t="s">
        <v>45</v>
      </c>
      <c r="G1266" s="79"/>
      <c r="H1266" s="79" t="s">
        <v>817</v>
      </c>
    </row>
    <row r="1267" spans="1:8">
      <c r="A1267" s="79" t="str">
        <f>LeaveData[[#This Row],[ EMP ID]]&amp;LeaveData[[#This Row],[Date]]</f>
        <v>20231801945730</v>
      </c>
      <c r="B1267" s="79">
        <v>202318019</v>
      </c>
      <c r="C1267" s="79" t="s">
        <v>89</v>
      </c>
      <c r="D1267" s="80">
        <v>45730</v>
      </c>
      <c r="E1267" s="79" t="s">
        <v>154</v>
      </c>
      <c r="F1267" s="79" t="s">
        <v>45</v>
      </c>
      <c r="G1267" s="79"/>
      <c r="H1267" s="79" t="s">
        <v>423</v>
      </c>
    </row>
    <row r="1268" spans="1:8">
      <c r="A1268" s="79" t="str">
        <f>LeaveData[[#This Row],[ EMP ID]]&amp;LeaveData[[#This Row],[Date]]</f>
        <v>20182000145747</v>
      </c>
      <c r="B1268" s="79">
        <v>201820001</v>
      </c>
      <c r="C1268" s="79" t="s">
        <v>18</v>
      </c>
      <c r="D1268" s="80">
        <v>45747</v>
      </c>
      <c r="E1268" s="79" t="s">
        <v>13</v>
      </c>
      <c r="F1268" s="79" t="s">
        <v>118</v>
      </c>
      <c r="G1268" s="79"/>
      <c r="H1268" s="79" t="s">
        <v>420</v>
      </c>
    </row>
    <row r="1269" spans="1:8">
      <c r="A1269" s="79" t="str">
        <f>LeaveData[[#This Row],[ EMP ID]]&amp;LeaveData[[#This Row],[Date]]</f>
        <v>20242101345729</v>
      </c>
      <c r="B1269" s="79">
        <v>202421013</v>
      </c>
      <c r="C1269" s="79" t="s">
        <v>378</v>
      </c>
      <c r="D1269" s="80">
        <v>45729</v>
      </c>
      <c r="E1269" s="79" t="s">
        <v>12</v>
      </c>
      <c r="F1269" s="79" t="s">
        <v>206</v>
      </c>
      <c r="G1269" s="79"/>
      <c r="H1269" s="79" t="s">
        <v>140</v>
      </c>
    </row>
    <row r="1270" spans="1:8">
      <c r="A1270" s="79" t="str">
        <f>LeaveData[[#This Row],[ EMP ID]]&amp;LeaveData[[#This Row],[Date]]</f>
        <v>20182000145729</v>
      </c>
      <c r="B1270" s="79">
        <v>201820001</v>
      </c>
      <c r="C1270" s="79" t="s">
        <v>18</v>
      </c>
      <c r="D1270" s="80">
        <v>45729</v>
      </c>
      <c r="E1270" s="79" t="s">
        <v>14</v>
      </c>
      <c r="F1270" s="79" t="s">
        <v>118</v>
      </c>
      <c r="G1270" s="79"/>
      <c r="H1270" s="79" t="s">
        <v>300</v>
      </c>
    </row>
    <row r="1271" spans="1:8">
      <c r="A1271" s="79" t="str">
        <f>LeaveData[[#This Row],[ EMP ID]]&amp;LeaveData[[#This Row],[Date]]</f>
        <v>20231801845731</v>
      </c>
      <c r="B1271" s="79">
        <v>202318018</v>
      </c>
      <c r="C1271" s="79" t="s">
        <v>40</v>
      </c>
      <c r="D1271" s="80">
        <v>45731</v>
      </c>
      <c r="E1271" s="79" t="s">
        <v>14</v>
      </c>
      <c r="F1271" s="79" t="s">
        <v>125</v>
      </c>
      <c r="G1271" s="79"/>
      <c r="H1271" s="79" t="s">
        <v>395</v>
      </c>
    </row>
    <row r="1272" spans="1:8">
      <c r="A1272" s="79" t="str">
        <f>LeaveData[[#This Row],[ EMP ID]]&amp;LeaveData[[#This Row],[Date]]</f>
        <v>20231801845733</v>
      </c>
      <c r="B1272" s="79">
        <v>202318018</v>
      </c>
      <c r="C1272" s="79" t="s">
        <v>40</v>
      </c>
      <c r="D1272" s="80">
        <v>45733</v>
      </c>
      <c r="E1272" s="79" t="s">
        <v>13</v>
      </c>
      <c r="F1272" s="79" t="s">
        <v>125</v>
      </c>
      <c r="G1272" s="79"/>
      <c r="H1272" s="79" t="s">
        <v>105</v>
      </c>
    </row>
    <row r="1273" spans="1:8">
      <c r="A1273" s="79" t="str">
        <f>LeaveData[[#This Row],[ EMP ID]]&amp;LeaveData[[#This Row],[Date]]</f>
        <v>20231802245730</v>
      </c>
      <c r="B1273" s="79">
        <v>202318022</v>
      </c>
      <c r="C1273" s="79" t="s">
        <v>45</v>
      </c>
      <c r="D1273" s="80">
        <v>45730</v>
      </c>
      <c r="E1273" s="79" t="s">
        <v>154</v>
      </c>
      <c r="F1273" s="79" t="s">
        <v>118</v>
      </c>
      <c r="G1273" s="79"/>
      <c r="H1273" s="79" t="s">
        <v>423</v>
      </c>
    </row>
    <row r="1274" spans="1:8">
      <c r="A1274" s="79" t="str">
        <f>LeaveData[[#This Row],[ EMP ID]]&amp;LeaveData[[#This Row],[Date]]</f>
        <v>20241803645731</v>
      </c>
      <c r="B1274" s="79">
        <v>202418036</v>
      </c>
      <c r="C1274" s="79" t="s">
        <v>232</v>
      </c>
      <c r="D1274" s="80">
        <v>45731</v>
      </c>
      <c r="E1274" s="79" t="s">
        <v>216</v>
      </c>
      <c r="F1274" s="79" t="s">
        <v>104</v>
      </c>
      <c r="G1274" s="79"/>
      <c r="H1274" s="79" t="s">
        <v>286</v>
      </c>
    </row>
    <row r="1275" spans="1:8">
      <c r="A1275" s="79" t="str">
        <f>LeaveData[[#This Row],[ EMP ID]]&amp;LeaveData[[#This Row],[Date]]</f>
        <v>20251804345731</v>
      </c>
      <c r="B1275" s="79">
        <v>202518043</v>
      </c>
      <c r="C1275" s="79" t="s">
        <v>403</v>
      </c>
      <c r="D1275" s="80">
        <v>45731</v>
      </c>
      <c r="E1275" s="79" t="s">
        <v>12</v>
      </c>
      <c r="F1275" s="79" t="s">
        <v>43</v>
      </c>
      <c r="G1275" s="79"/>
      <c r="H1275" s="79" t="s">
        <v>140</v>
      </c>
    </row>
    <row r="1276" spans="1:8">
      <c r="A1276" s="79" t="str">
        <f>LeaveData[[#This Row],[ EMP ID]]&amp;LeaveData[[#This Row],[Date]]</f>
        <v>20252101445731</v>
      </c>
      <c r="B1276" s="79">
        <v>202521014</v>
      </c>
      <c r="C1276" s="79" t="s">
        <v>441</v>
      </c>
      <c r="D1276" s="80">
        <v>45731</v>
      </c>
      <c r="E1276" s="79" t="s">
        <v>13</v>
      </c>
      <c r="F1276" s="79" t="s">
        <v>206</v>
      </c>
      <c r="G1276" s="79"/>
      <c r="H1276" s="79" t="s">
        <v>349</v>
      </c>
    </row>
    <row r="1277" spans="1:8">
      <c r="A1277" s="79" t="str">
        <f>LeaveData[[#This Row],[ EMP ID]]&amp;LeaveData[[#This Row],[Date]]</f>
        <v>20242101045731</v>
      </c>
      <c r="B1277" s="79">
        <v>202421010</v>
      </c>
      <c r="C1277" s="79" t="s">
        <v>288</v>
      </c>
      <c r="D1277" s="80">
        <v>45731</v>
      </c>
      <c r="E1277" s="79" t="s">
        <v>12</v>
      </c>
      <c r="F1277" s="79" t="s">
        <v>206</v>
      </c>
      <c r="G1277" s="79"/>
      <c r="H1277" s="79" t="s">
        <v>140</v>
      </c>
    </row>
    <row r="1278" spans="1:8">
      <c r="A1278" s="79" t="str">
        <f>LeaveData[[#This Row],[ EMP ID]]&amp;LeaveData[[#This Row],[Date]]</f>
        <v>20221801445731</v>
      </c>
      <c r="B1278" s="79">
        <v>202218014</v>
      </c>
      <c r="C1278" s="79" t="s">
        <v>32</v>
      </c>
      <c r="D1278" s="80">
        <v>45731</v>
      </c>
      <c r="E1278" s="79" t="s">
        <v>12</v>
      </c>
      <c r="F1278" s="79" t="s">
        <v>125</v>
      </c>
      <c r="G1278" s="79"/>
      <c r="H1278" s="79" t="s">
        <v>140</v>
      </c>
    </row>
    <row r="1279" spans="1:8">
      <c r="A1279" s="79" t="str">
        <f>LeaveData[[#This Row],[ EMP ID]]&amp;LeaveData[[#This Row],[Date]]</f>
        <v>20182000145733</v>
      </c>
      <c r="B1279" s="79">
        <v>201820001</v>
      </c>
      <c r="C1279" s="79" t="s">
        <v>18</v>
      </c>
      <c r="D1279" s="80">
        <v>45733</v>
      </c>
      <c r="E1279" s="79" t="s">
        <v>13</v>
      </c>
      <c r="F1279" s="79" t="s">
        <v>118</v>
      </c>
      <c r="G1279" s="79"/>
      <c r="H1279" s="79" t="s">
        <v>420</v>
      </c>
    </row>
    <row r="1280" spans="1:8">
      <c r="A1280" s="79" t="str">
        <f>LeaveData[[#This Row],[ EMP ID]]&amp;LeaveData[[#This Row],[Date]]</f>
        <v>20182000145734</v>
      </c>
      <c r="B1280" s="79">
        <v>201820001</v>
      </c>
      <c r="C1280" s="79" t="s">
        <v>18</v>
      </c>
      <c r="D1280" s="80">
        <v>45734</v>
      </c>
      <c r="E1280" s="79" t="s">
        <v>13</v>
      </c>
      <c r="F1280" s="79" t="s">
        <v>118</v>
      </c>
      <c r="G1280" s="79"/>
      <c r="H1280" s="79" t="s">
        <v>420</v>
      </c>
    </row>
    <row r="1281" spans="1:8">
      <c r="A1281" s="79" t="str">
        <f>LeaveData[[#This Row],[ EMP ID]]&amp;LeaveData[[#This Row],[Date]]</f>
        <v>20182000145735</v>
      </c>
      <c r="B1281" s="79">
        <v>201820001</v>
      </c>
      <c r="C1281" s="79" t="s">
        <v>18</v>
      </c>
      <c r="D1281" s="80">
        <v>45735</v>
      </c>
      <c r="E1281" s="79" t="s">
        <v>13</v>
      </c>
      <c r="F1281" s="79" t="s">
        <v>118</v>
      </c>
      <c r="G1281" s="79"/>
      <c r="H1281" s="79" t="s">
        <v>420</v>
      </c>
    </row>
    <row r="1282" spans="1:8">
      <c r="A1282" s="79" t="str">
        <f>LeaveData[[#This Row],[ EMP ID]]&amp;LeaveData[[#This Row],[Date]]</f>
        <v>20182000145736</v>
      </c>
      <c r="B1282" s="79">
        <v>201820001</v>
      </c>
      <c r="C1282" s="79" t="s">
        <v>18</v>
      </c>
      <c r="D1282" s="80">
        <v>45736</v>
      </c>
      <c r="E1282" s="79" t="s">
        <v>13</v>
      </c>
      <c r="F1282" s="79" t="s">
        <v>118</v>
      </c>
      <c r="G1282" s="79"/>
      <c r="H1282" s="79" t="s">
        <v>420</v>
      </c>
    </row>
    <row r="1283" spans="1:8">
      <c r="A1283" s="79" t="str">
        <f>LeaveData[[#This Row],[ EMP ID]]&amp;LeaveData[[#This Row],[Date]]</f>
        <v>20240100145731</v>
      </c>
      <c r="B1283" s="79">
        <v>202401001</v>
      </c>
      <c r="C1283" s="79" t="s">
        <v>61</v>
      </c>
      <c r="D1283" s="80">
        <v>45731</v>
      </c>
      <c r="E1283" s="79" t="s">
        <v>13</v>
      </c>
      <c r="F1283" s="79" t="s">
        <v>43</v>
      </c>
      <c r="G1283" s="79"/>
      <c r="H1283" s="79" t="s">
        <v>168</v>
      </c>
    </row>
    <row r="1284" spans="1:8">
      <c r="A1284" s="79" t="str">
        <f>LeaveData[[#This Row],[ EMP ID]]&amp;LeaveData[[#This Row],[Date]]</f>
        <v>20240100145724</v>
      </c>
      <c r="B1284" s="79">
        <v>202401001</v>
      </c>
      <c r="C1284" s="79" t="s">
        <v>61</v>
      </c>
      <c r="D1284" s="80">
        <v>45724</v>
      </c>
      <c r="E1284" s="79" t="s">
        <v>154</v>
      </c>
      <c r="F1284" s="79" t="s">
        <v>43</v>
      </c>
      <c r="G1284" s="79"/>
      <c r="H1284" s="79" t="s">
        <v>155</v>
      </c>
    </row>
    <row r="1285" spans="1:8">
      <c r="A1285" s="79" t="str">
        <f>LeaveData[[#This Row],[ EMP ID]]&amp;LeaveData[[#This Row],[Date]]</f>
        <v>20241804145733</v>
      </c>
      <c r="B1285" s="79">
        <v>202418041</v>
      </c>
      <c r="C1285" s="79" t="s">
        <v>376</v>
      </c>
      <c r="D1285" s="80">
        <v>45733</v>
      </c>
      <c r="E1285" s="79" t="s">
        <v>318</v>
      </c>
      <c r="F1285" s="79" t="s">
        <v>104</v>
      </c>
      <c r="G1285" s="79"/>
      <c r="H1285" s="79"/>
    </row>
    <row r="1286" spans="1:8">
      <c r="A1286" s="79" t="str">
        <f>LeaveData[[#This Row],[ EMP ID]]&amp;LeaveData[[#This Row],[Date]]</f>
        <v>20231802245732</v>
      </c>
      <c r="B1286" s="79">
        <v>202318022</v>
      </c>
      <c r="C1286" s="79" t="s">
        <v>45</v>
      </c>
      <c r="D1286" s="80">
        <v>45732</v>
      </c>
      <c r="E1286" s="79" t="s">
        <v>154</v>
      </c>
      <c r="F1286" s="79" t="s">
        <v>118</v>
      </c>
      <c r="G1286" s="79"/>
      <c r="H1286" s="79" t="s">
        <v>430</v>
      </c>
    </row>
    <row r="1287" spans="1:8">
      <c r="A1287" s="79" t="str">
        <f>LeaveData[[#This Row],[ EMP ID]]&amp;LeaveData[[#This Row],[Date]]</f>
        <v>20222000245734</v>
      </c>
      <c r="B1287" s="79">
        <v>202220002</v>
      </c>
      <c r="C1287" s="79" t="s">
        <v>31</v>
      </c>
      <c r="D1287" s="80">
        <v>45734</v>
      </c>
      <c r="E1287" s="79" t="s">
        <v>13</v>
      </c>
      <c r="F1287" s="79" t="s">
        <v>104</v>
      </c>
      <c r="G1287" s="79"/>
      <c r="H1287" s="79" t="s">
        <v>194</v>
      </c>
    </row>
    <row r="1288" spans="1:8">
      <c r="A1288" s="79" t="str">
        <f>LeaveData[[#This Row],[ EMP ID]]&amp;LeaveData[[#This Row],[Date]]</f>
        <v>20242001545735</v>
      </c>
      <c r="B1288" s="79">
        <v>202420015</v>
      </c>
      <c r="C1288" s="79" t="s">
        <v>64</v>
      </c>
      <c r="D1288" s="80">
        <v>45735</v>
      </c>
      <c r="E1288" s="79" t="s">
        <v>13</v>
      </c>
      <c r="F1288" s="79" t="s">
        <v>104</v>
      </c>
      <c r="G1288" s="79"/>
      <c r="H1288" s="79" t="s">
        <v>362</v>
      </c>
    </row>
    <row r="1289" spans="1:8">
      <c r="A1289" s="79" t="str">
        <f>LeaveData[[#This Row],[ EMP ID]]&amp;LeaveData[[#This Row],[Date]]</f>
        <v>20211800845737</v>
      </c>
      <c r="B1289" s="79">
        <v>202118008</v>
      </c>
      <c r="C1289" s="79" t="s">
        <v>25</v>
      </c>
      <c r="D1289" s="80">
        <v>45737</v>
      </c>
      <c r="E1289" s="79" t="s">
        <v>13</v>
      </c>
      <c r="F1289" s="79" t="s">
        <v>118</v>
      </c>
      <c r="G1289" s="79"/>
      <c r="H1289" s="79" t="s">
        <v>818</v>
      </c>
    </row>
    <row r="1290" spans="1:8">
      <c r="A1290" s="79" t="str">
        <f>LeaveData[[#This Row],[ EMP ID]]&amp;LeaveData[[#This Row],[Date]]</f>
        <v>20211800845738</v>
      </c>
      <c r="B1290" s="79">
        <v>202118008</v>
      </c>
      <c r="C1290" s="79" t="s">
        <v>25</v>
      </c>
      <c r="D1290" s="80">
        <v>45738</v>
      </c>
      <c r="E1290" s="79" t="s">
        <v>13</v>
      </c>
      <c r="F1290" s="79" t="s">
        <v>118</v>
      </c>
      <c r="G1290" s="79"/>
      <c r="H1290" s="79" t="s">
        <v>818</v>
      </c>
    </row>
    <row r="1291" spans="1:8">
      <c r="A1291" s="79" t="str">
        <f>LeaveData[[#This Row],[ EMP ID]]&amp;LeaveData[[#This Row],[Date]]</f>
        <v>20231802045730</v>
      </c>
      <c r="B1291" s="79">
        <v>202318020</v>
      </c>
      <c r="C1291" s="79" t="s">
        <v>43</v>
      </c>
      <c r="D1291" s="80">
        <v>45730</v>
      </c>
      <c r="E1291" s="79" t="s">
        <v>154</v>
      </c>
      <c r="F1291" s="79" t="s">
        <v>45</v>
      </c>
      <c r="G1291" s="79"/>
      <c r="H1291" s="79" t="s">
        <v>423</v>
      </c>
    </row>
    <row r="1292" spans="1:8">
      <c r="A1292" s="79" t="str">
        <f>LeaveData[[#This Row],[ EMP ID]]&amp;LeaveData[[#This Row],[Date]]</f>
        <v>20231801945735</v>
      </c>
      <c r="B1292" s="79">
        <v>202318019</v>
      </c>
      <c r="C1292" s="79" t="s">
        <v>89</v>
      </c>
      <c r="D1292" s="80">
        <v>45735</v>
      </c>
      <c r="E1292" s="79" t="s">
        <v>16</v>
      </c>
      <c r="F1292" s="79" t="s">
        <v>45</v>
      </c>
      <c r="G1292" s="79"/>
      <c r="H1292" s="79" t="s">
        <v>140</v>
      </c>
    </row>
    <row r="1293" spans="1:8">
      <c r="A1293" s="79" t="str">
        <f>LeaveData[[#This Row],[ EMP ID]]&amp;LeaveData[[#This Row],[Date]]</f>
        <v>20231801945367</v>
      </c>
      <c r="B1293" s="79">
        <v>202318019</v>
      </c>
      <c r="C1293" s="79" t="s">
        <v>89</v>
      </c>
      <c r="D1293" s="80">
        <v>45367</v>
      </c>
      <c r="E1293" s="79" t="s">
        <v>406</v>
      </c>
      <c r="F1293" s="79" t="s">
        <v>45</v>
      </c>
      <c r="G1293" s="79"/>
      <c r="H1293" s="79" t="s">
        <v>430</v>
      </c>
    </row>
    <row r="1294" spans="1:8">
      <c r="A1294" s="79" t="str">
        <f>LeaveData[[#This Row],[ EMP ID]]&amp;LeaveData[[#This Row],[Date]]</f>
        <v>20231802545744</v>
      </c>
      <c r="B1294" s="79">
        <v>202318025</v>
      </c>
      <c r="C1294" s="79" t="s">
        <v>122</v>
      </c>
      <c r="D1294" s="80">
        <v>45744</v>
      </c>
      <c r="E1294" s="79" t="s">
        <v>13</v>
      </c>
      <c r="F1294" s="79" t="s">
        <v>125</v>
      </c>
      <c r="G1294" s="79"/>
      <c r="H1294" s="79" t="s">
        <v>113</v>
      </c>
    </row>
    <row r="1295" spans="1:8">
      <c r="A1295" s="79" t="str">
        <f>LeaveData[[#This Row],[ EMP ID]]&amp;LeaveData[[#This Row],[Date]]</f>
        <v>20231802545745</v>
      </c>
      <c r="B1295" s="79">
        <v>202318025</v>
      </c>
      <c r="C1295" s="79" t="s">
        <v>122</v>
      </c>
      <c r="D1295" s="80">
        <v>45745</v>
      </c>
      <c r="E1295" s="79" t="s">
        <v>13</v>
      </c>
      <c r="F1295" s="79" t="s">
        <v>125</v>
      </c>
      <c r="G1295" s="79"/>
      <c r="H1295" s="79" t="s">
        <v>113</v>
      </c>
    </row>
    <row r="1296" spans="1:8">
      <c r="A1296" s="79" t="str">
        <f>LeaveData[[#This Row],[ EMP ID]]&amp;LeaveData[[#This Row],[Date]]</f>
        <v>20231802045736</v>
      </c>
      <c r="B1296" s="79">
        <v>202318020</v>
      </c>
      <c r="C1296" s="79" t="s">
        <v>43</v>
      </c>
      <c r="D1296" s="80">
        <v>45736</v>
      </c>
      <c r="E1296" s="79" t="s">
        <v>16</v>
      </c>
      <c r="F1296" s="79" t="s">
        <v>45</v>
      </c>
      <c r="G1296" s="79"/>
      <c r="H1296" s="79" t="s">
        <v>140</v>
      </c>
    </row>
    <row r="1297" spans="1:8">
      <c r="A1297" s="79" t="str">
        <f>LeaveData[[#This Row],[ EMP ID]]&amp;LeaveData[[#This Row],[Date]]</f>
        <v>20242101045738</v>
      </c>
      <c r="B1297" s="79">
        <v>202421010</v>
      </c>
      <c r="C1297" s="79" t="s">
        <v>288</v>
      </c>
      <c r="D1297" s="80">
        <v>45738</v>
      </c>
      <c r="E1297" s="79" t="s">
        <v>13</v>
      </c>
      <c r="F1297" s="79" t="s">
        <v>206</v>
      </c>
      <c r="G1297" s="79"/>
      <c r="H1297" s="79" t="s">
        <v>819</v>
      </c>
    </row>
    <row r="1298" spans="1:8">
      <c r="A1298" s="79" t="str">
        <f>LeaveData[[#This Row],[ EMP ID]]&amp;LeaveData[[#This Row],[Date]]</f>
        <v>20251804445741</v>
      </c>
      <c r="B1298" s="79">
        <v>202518044</v>
      </c>
      <c r="C1298" s="79" t="s">
        <v>433</v>
      </c>
      <c r="D1298" s="80">
        <v>45741</v>
      </c>
      <c r="E1298" s="79" t="s">
        <v>13</v>
      </c>
      <c r="F1298" s="79" t="s">
        <v>104</v>
      </c>
      <c r="G1298" s="79"/>
      <c r="H1298" s="79" t="s">
        <v>105</v>
      </c>
    </row>
    <row r="1299" spans="1:8">
      <c r="A1299" s="79" t="str">
        <f>LeaveData[[#This Row],[ EMP ID]]&amp;LeaveData[[#This Row],[Date]]</f>
        <v>20251804345738</v>
      </c>
      <c r="B1299" s="79">
        <v>202518043</v>
      </c>
      <c r="C1299" s="79" t="s">
        <v>403</v>
      </c>
      <c r="D1299" s="80">
        <v>45738</v>
      </c>
      <c r="E1299" s="79" t="s">
        <v>16</v>
      </c>
      <c r="F1299" s="79" t="s">
        <v>43</v>
      </c>
      <c r="G1299" s="79"/>
      <c r="H1299" s="79" t="s">
        <v>820</v>
      </c>
    </row>
    <row r="1300" spans="1:8">
      <c r="A1300" s="79" t="str">
        <f>LeaveData[[#This Row],[ EMP ID]]&amp;LeaveData[[#This Row],[Date]]</f>
        <v>20252101445738</v>
      </c>
      <c r="B1300" s="79">
        <v>202521014</v>
      </c>
      <c r="C1300" s="79" t="s">
        <v>441</v>
      </c>
      <c r="D1300" s="80">
        <v>45738</v>
      </c>
      <c r="E1300" s="79" t="s">
        <v>13</v>
      </c>
      <c r="F1300" s="79" t="s">
        <v>206</v>
      </c>
      <c r="G1300" s="79"/>
      <c r="H1300" s="79" t="s">
        <v>116</v>
      </c>
    </row>
    <row r="1301" spans="1:8">
      <c r="A1301" s="79" t="str">
        <f>LeaveData[[#This Row],[ EMP ID]]&amp;LeaveData[[#This Row],[Date]]</f>
        <v>20241803545738</v>
      </c>
      <c r="B1301" s="79">
        <v>202418035</v>
      </c>
      <c r="C1301" s="79" t="s">
        <v>96</v>
      </c>
      <c r="D1301" s="80">
        <v>45738</v>
      </c>
      <c r="E1301" s="79" t="s">
        <v>12</v>
      </c>
      <c r="F1301" s="79" t="s">
        <v>118</v>
      </c>
      <c r="G1301" s="79"/>
      <c r="H1301" s="79" t="s">
        <v>119</v>
      </c>
    </row>
    <row r="1302" spans="1:8">
      <c r="A1302" s="79" t="str">
        <f>LeaveData[[#This Row],[ EMP ID]]&amp;LeaveData[[#This Row],[Date]]</f>
        <v>20231802245739</v>
      </c>
      <c r="B1302" s="79">
        <v>202318022</v>
      </c>
      <c r="C1302" s="79" t="s">
        <v>45</v>
      </c>
      <c r="D1302" s="80">
        <v>45739</v>
      </c>
      <c r="E1302" s="79" t="s">
        <v>154</v>
      </c>
      <c r="F1302" s="79" t="s">
        <v>118</v>
      </c>
      <c r="G1302" s="79"/>
      <c r="H1302" s="79" t="s">
        <v>422</v>
      </c>
    </row>
    <row r="1303" spans="1:8">
      <c r="A1303" s="79" t="str">
        <f>LeaveData[[#This Row],[ EMP ID]]&amp;LeaveData[[#This Row],[Date]]</f>
        <v>20242100145738</v>
      </c>
      <c r="B1303" s="79">
        <v>202421001</v>
      </c>
      <c r="C1303" s="92" t="s">
        <v>221</v>
      </c>
      <c r="D1303" s="80">
        <v>45738</v>
      </c>
      <c r="E1303" s="79" t="s">
        <v>12</v>
      </c>
      <c r="F1303" s="79" t="s">
        <v>206</v>
      </c>
      <c r="G1303" s="79"/>
      <c r="H1303" s="79" t="s">
        <v>140</v>
      </c>
    </row>
    <row r="1304" spans="1:8">
      <c r="A1304" s="79" t="str">
        <f>LeaveData[[#This Row],[ EMP ID]]&amp;LeaveData[[#This Row],[Date]]</f>
        <v>20242100245738</v>
      </c>
      <c r="B1304" s="79">
        <v>202421002</v>
      </c>
      <c r="C1304" s="92" t="s">
        <v>223</v>
      </c>
      <c r="D1304" s="80">
        <v>45738</v>
      </c>
      <c r="E1304" s="79" t="s">
        <v>12</v>
      </c>
      <c r="F1304" s="79" t="s">
        <v>206</v>
      </c>
      <c r="G1304" s="79"/>
      <c r="H1304" s="79" t="s">
        <v>140</v>
      </c>
    </row>
    <row r="1305" spans="1:8">
      <c r="A1305" s="79" t="str">
        <f>LeaveData[[#This Row],[ EMP ID]]&amp;LeaveData[[#This Row],[Date]]</f>
        <v>20242100245725</v>
      </c>
      <c r="B1305" s="79">
        <v>202421002</v>
      </c>
      <c r="C1305" s="92" t="s">
        <v>223</v>
      </c>
      <c r="D1305" s="80">
        <v>45725</v>
      </c>
      <c r="E1305" s="79" t="s">
        <v>154</v>
      </c>
      <c r="F1305" s="79" t="s">
        <v>206</v>
      </c>
      <c r="G1305" s="79"/>
      <c r="H1305" s="79" t="s">
        <v>422</v>
      </c>
    </row>
    <row r="1306" spans="1:8">
      <c r="A1306" s="79" t="str">
        <f>LeaveData[[#This Row],[ EMP ID]]&amp;LeaveData[[#This Row],[Date]]</f>
        <v>20242100245732</v>
      </c>
      <c r="B1306" s="79">
        <v>202421002</v>
      </c>
      <c r="C1306" s="92" t="s">
        <v>223</v>
      </c>
      <c r="D1306" s="80">
        <v>45732</v>
      </c>
      <c r="E1306" s="79" t="s">
        <v>154</v>
      </c>
      <c r="F1306" s="79" t="s">
        <v>206</v>
      </c>
      <c r="G1306" s="79"/>
      <c r="H1306" s="79" t="s">
        <v>422</v>
      </c>
    </row>
    <row r="1307" spans="1:8">
      <c r="A1307" s="79" t="str">
        <f>LeaveData[[#This Row],[ EMP ID]]&amp;LeaveData[[#This Row],[Date]]</f>
        <v>20231802245770</v>
      </c>
      <c r="B1307" s="79">
        <v>202318022</v>
      </c>
      <c r="C1307" s="79" t="s">
        <v>45</v>
      </c>
      <c r="D1307" s="80">
        <v>45770</v>
      </c>
      <c r="E1307" s="79" t="s">
        <v>154</v>
      </c>
      <c r="F1307" s="79" t="s">
        <v>118</v>
      </c>
      <c r="G1307" s="79"/>
      <c r="H1307" s="79" t="s">
        <v>422</v>
      </c>
    </row>
    <row r="1308" spans="1:8">
      <c r="A1308" s="79" t="str">
        <f>LeaveData[[#This Row],[ EMP ID]]&amp;LeaveData[[#This Row],[Date]]</f>
        <v>20241804045747</v>
      </c>
      <c r="B1308" s="79">
        <v>202418040</v>
      </c>
      <c r="C1308" s="79" t="s">
        <v>341</v>
      </c>
      <c r="D1308" s="80">
        <v>45747</v>
      </c>
      <c r="E1308" s="79" t="s">
        <v>318</v>
      </c>
      <c r="F1308" s="79" t="s">
        <v>104</v>
      </c>
      <c r="G1308" s="79"/>
      <c r="H1308" s="79" t="s">
        <v>821</v>
      </c>
    </row>
    <row r="1309" spans="1:8">
      <c r="A1309" s="79" t="str">
        <f>LeaveData[[#This Row],[ EMP ID]]&amp;LeaveData[[#This Row],[Date]]</f>
        <v>20241804045748</v>
      </c>
      <c r="B1309" s="79">
        <v>202418040</v>
      </c>
      <c r="C1309" s="79" t="s">
        <v>341</v>
      </c>
      <c r="D1309" s="80">
        <v>45748</v>
      </c>
      <c r="E1309" s="79" t="s">
        <v>318</v>
      </c>
      <c r="F1309" s="79" t="s">
        <v>104</v>
      </c>
      <c r="G1309" s="79"/>
      <c r="H1309" s="79" t="s">
        <v>821</v>
      </c>
    </row>
    <row r="1310" spans="1:8">
      <c r="A1310" s="79" t="str">
        <f>LeaveData[[#This Row],[ EMP ID]]&amp;LeaveData[[#This Row],[Date]]</f>
        <v>20241804045749</v>
      </c>
      <c r="B1310" s="79">
        <v>202418040</v>
      </c>
      <c r="C1310" s="79" t="s">
        <v>341</v>
      </c>
      <c r="D1310" s="80">
        <v>45749</v>
      </c>
      <c r="E1310" s="79" t="s">
        <v>318</v>
      </c>
      <c r="F1310" s="79" t="s">
        <v>104</v>
      </c>
      <c r="G1310" s="79"/>
      <c r="H1310" s="79" t="s">
        <v>821</v>
      </c>
    </row>
    <row r="1311" spans="1:8">
      <c r="A1311" s="79" t="str">
        <f>LeaveData[[#This Row],[ EMP ID]]&amp;LeaveData[[#This Row],[Date]]</f>
        <v>20241804245740</v>
      </c>
      <c r="B1311" s="79">
        <v>202418042</v>
      </c>
      <c r="C1311" s="79" t="s">
        <v>402</v>
      </c>
      <c r="D1311" s="80">
        <v>45740</v>
      </c>
      <c r="E1311" s="79" t="s">
        <v>12</v>
      </c>
      <c r="F1311" s="79" t="s">
        <v>104</v>
      </c>
      <c r="G1311" s="79"/>
      <c r="H1311" s="79" t="s">
        <v>140</v>
      </c>
    </row>
    <row r="1312" spans="1:8">
      <c r="A1312" s="79" t="str">
        <f>LeaveData[[#This Row],[ EMP ID]]&amp;LeaveData[[#This Row],[Date]]</f>
        <v>20251804345740</v>
      </c>
      <c r="B1312" s="79">
        <v>202518043</v>
      </c>
      <c r="C1312" s="79" t="s">
        <v>403</v>
      </c>
      <c r="D1312" s="80">
        <v>45740</v>
      </c>
      <c r="E1312" s="79" t="s">
        <v>16</v>
      </c>
      <c r="F1312" s="79" t="s">
        <v>43</v>
      </c>
      <c r="G1312" s="79"/>
      <c r="H1312" s="79" t="s">
        <v>820</v>
      </c>
    </row>
    <row r="1313" spans="1:8">
      <c r="A1313" s="79" t="str">
        <f>LeaveData[[#This Row],[ EMP ID]]&amp;LeaveData[[#This Row],[Date]]</f>
        <v>20241803545743</v>
      </c>
      <c r="B1313" s="79">
        <v>202418035</v>
      </c>
      <c r="C1313" s="79" t="s">
        <v>96</v>
      </c>
      <c r="D1313" s="80">
        <v>45743</v>
      </c>
      <c r="E1313" s="79" t="s">
        <v>16</v>
      </c>
      <c r="F1313" s="79" t="s">
        <v>118</v>
      </c>
      <c r="G1313" s="79"/>
      <c r="H1313" s="79" t="s">
        <v>16</v>
      </c>
    </row>
    <row r="1314" spans="1:8">
      <c r="A1314" s="79" t="str">
        <f>LeaveData[[#This Row],[ EMP ID]]&amp;LeaveData[[#This Row],[Date]]</f>
        <v>20241803545744</v>
      </c>
      <c r="B1314" s="79">
        <v>202418035</v>
      </c>
      <c r="C1314" s="79" t="s">
        <v>96</v>
      </c>
      <c r="D1314" s="80">
        <v>45744</v>
      </c>
      <c r="E1314" s="79" t="s">
        <v>16</v>
      </c>
      <c r="F1314" s="79" t="s">
        <v>118</v>
      </c>
      <c r="G1314" s="79"/>
      <c r="H1314" s="79" t="s">
        <v>16</v>
      </c>
    </row>
    <row r="1315" spans="1:8">
      <c r="A1315" s="79" t="str">
        <f>LeaveData[[#This Row],[ EMP ID]]&amp;LeaveData[[#This Row],[Date]]</f>
        <v>20241803545745</v>
      </c>
      <c r="B1315" s="79">
        <v>202418035</v>
      </c>
      <c r="C1315" s="79" t="s">
        <v>96</v>
      </c>
      <c r="D1315" s="80">
        <v>45745</v>
      </c>
      <c r="E1315" s="79" t="s">
        <v>16</v>
      </c>
      <c r="F1315" s="79" t="s">
        <v>118</v>
      </c>
      <c r="G1315" s="79"/>
      <c r="H1315" s="79" t="s">
        <v>16</v>
      </c>
    </row>
    <row r="1316" spans="1:8">
      <c r="A1316" s="79" t="str">
        <f>LeaveData[[#This Row],[ EMP ID]]&amp;LeaveData[[#This Row],[Date]]</f>
        <v>20182000145739</v>
      </c>
      <c r="B1316" s="79">
        <v>201820001</v>
      </c>
      <c r="C1316" s="79" t="s">
        <v>18</v>
      </c>
      <c r="D1316" s="80">
        <v>45739</v>
      </c>
      <c r="E1316" s="79" t="s">
        <v>154</v>
      </c>
      <c r="F1316" s="79" t="s">
        <v>118</v>
      </c>
      <c r="G1316" s="79"/>
      <c r="H1316" s="79" t="s">
        <v>422</v>
      </c>
    </row>
    <row r="1317" spans="1:8">
      <c r="A1317" s="79" t="str">
        <f>LeaveData[[#This Row],[ EMP ID]]&amp;LeaveData[[#This Row],[Date]]</f>
        <v>20231802845745</v>
      </c>
      <c r="B1317" s="79">
        <v>202318028</v>
      </c>
      <c r="C1317" s="79" t="s">
        <v>57</v>
      </c>
      <c r="D1317" s="80">
        <v>45745</v>
      </c>
      <c r="E1317" s="79" t="s">
        <v>13</v>
      </c>
      <c r="F1317" s="79" t="s">
        <v>118</v>
      </c>
      <c r="G1317" s="79"/>
      <c r="H1317" s="79" t="s">
        <v>822</v>
      </c>
    </row>
    <row r="1318" spans="1:8">
      <c r="A1318" s="79" t="str">
        <f>LeaveData[[#This Row],[ EMP ID]]&amp;LeaveData[[#This Row],[Date]]</f>
        <v>20242101045745</v>
      </c>
      <c r="B1318" s="79">
        <v>202421010</v>
      </c>
      <c r="C1318" s="79" t="s">
        <v>288</v>
      </c>
      <c r="D1318" s="80">
        <v>45745</v>
      </c>
      <c r="E1318" s="79" t="s">
        <v>13</v>
      </c>
      <c r="F1318" s="79" t="s">
        <v>206</v>
      </c>
      <c r="G1318" s="79"/>
      <c r="H1318" s="79" t="s">
        <v>823</v>
      </c>
    </row>
    <row r="1319" spans="1:8">
      <c r="A1319" s="79" t="str">
        <f>LeaveData[[#This Row],[ EMP ID]]&amp;LeaveData[[#This Row],[Date]]</f>
        <v>20242101045747</v>
      </c>
      <c r="B1319" s="79">
        <v>202421010</v>
      </c>
      <c r="C1319" s="79" t="s">
        <v>288</v>
      </c>
      <c r="D1319" s="80">
        <v>45747</v>
      </c>
      <c r="E1319" s="79" t="s">
        <v>13</v>
      </c>
      <c r="F1319" s="79" t="s">
        <v>206</v>
      </c>
      <c r="G1319" s="79"/>
      <c r="H1319" s="79" t="s">
        <v>823</v>
      </c>
    </row>
    <row r="1320" spans="1:8">
      <c r="A1320" s="79" t="str">
        <f>LeaveData[[#This Row],[ EMP ID]]&amp;LeaveData[[#This Row],[Date]]</f>
        <v>20231801945738</v>
      </c>
      <c r="B1320" s="79">
        <v>202318019</v>
      </c>
      <c r="C1320" s="79" t="s">
        <v>89</v>
      </c>
      <c r="D1320" s="80">
        <v>45738</v>
      </c>
      <c r="E1320" s="79" t="s">
        <v>16</v>
      </c>
      <c r="F1320" s="79" t="s">
        <v>45</v>
      </c>
      <c r="G1320" s="79"/>
      <c r="H1320" s="79" t="s">
        <v>116</v>
      </c>
    </row>
    <row r="1321" spans="1:8">
      <c r="A1321" s="79" t="str">
        <f>LeaveData[[#This Row],[ EMP ID]]&amp;LeaveData[[#This Row],[Date]]</f>
        <v>20231801945739</v>
      </c>
      <c r="B1321" s="79">
        <v>202318019</v>
      </c>
      <c r="C1321" s="79" t="s">
        <v>89</v>
      </c>
      <c r="D1321" s="80">
        <v>45739</v>
      </c>
      <c r="E1321" s="79" t="s">
        <v>154</v>
      </c>
      <c r="F1321" s="79" t="s">
        <v>45</v>
      </c>
      <c r="G1321" s="79"/>
      <c r="H1321" s="79" t="s">
        <v>422</v>
      </c>
    </row>
    <row r="1322" spans="1:8">
      <c r="A1322" s="79" t="str">
        <f>LeaveData[[#This Row],[ EMP ID]]&amp;LeaveData[[#This Row],[Date]]</f>
        <v>20221801145744</v>
      </c>
      <c r="B1322" s="79">
        <v>202218011</v>
      </c>
      <c r="C1322" s="79" t="s">
        <v>28</v>
      </c>
      <c r="D1322" s="80">
        <v>45744</v>
      </c>
      <c r="E1322" s="79" t="s">
        <v>12</v>
      </c>
      <c r="F1322" s="79" t="s">
        <v>235</v>
      </c>
      <c r="G1322" s="79"/>
      <c r="H1322" s="79" t="s">
        <v>119</v>
      </c>
    </row>
    <row r="1323" spans="1:8">
      <c r="A1323" s="79" t="str">
        <f>LeaveData[[#This Row],[ EMP ID]]&amp;LeaveData[[#This Row],[Date]]</f>
        <v>20242101345745</v>
      </c>
      <c r="B1323" s="79">
        <v>202421013</v>
      </c>
      <c r="C1323" s="79" t="s">
        <v>378</v>
      </c>
      <c r="D1323" s="80">
        <v>45745</v>
      </c>
      <c r="E1323" s="79" t="s">
        <v>13</v>
      </c>
      <c r="F1323" s="79" t="s">
        <v>206</v>
      </c>
      <c r="G1323" s="79"/>
      <c r="H1323" s="79" t="s">
        <v>824</v>
      </c>
    </row>
    <row r="1324" spans="1:8">
      <c r="A1324" s="79" t="str">
        <f>LeaveData[[#This Row],[ EMP ID]]&amp;LeaveData[[#This Row],[Date]]</f>
        <v>20221801445744</v>
      </c>
      <c r="B1324" s="79">
        <v>202218014</v>
      </c>
      <c r="C1324" s="79" t="s">
        <v>32</v>
      </c>
      <c r="D1324" s="80">
        <v>45744</v>
      </c>
      <c r="E1324" s="79" t="s">
        <v>13</v>
      </c>
      <c r="F1324" s="79" t="s">
        <v>125</v>
      </c>
      <c r="G1324" s="79"/>
      <c r="H1324" s="79" t="s">
        <v>168</v>
      </c>
    </row>
    <row r="1325" spans="1:8">
      <c r="A1325" s="79" t="str">
        <f>LeaveData[[#This Row],[ EMP ID]]&amp;LeaveData[[#This Row],[Date]]</f>
        <v>20252101445745</v>
      </c>
      <c r="B1325" s="79">
        <v>202521014</v>
      </c>
      <c r="C1325" s="79" t="s">
        <v>441</v>
      </c>
      <c r="D1325" s="80">
        <v>45745</v>
      </c>
      <c r="E1325" s="79" t="s">
        <v>13</v>
      </c>
      <c r="F1325" s="79" t="s">
        <v>206</v>
      </c>
      <c r="G1325" s="79"/>
      <c r="H1325" s="79" t="s">
        <v>825</v>
      </c>
    </row>
    <row r="1326" spans="1:8">
      <c r="A1326" s="79" t="str">
        <f>LeaveData[[#This Row],[ EMP ID]]&amp;LeaveData[[#This Row],[Date]]</f>
        <v>20221801145745</v>
      </c>
      <c r="B1326" s="79">
        <v>202218011</v>
      </c>
      <c r="C1326" s="79" t="s">
        <v>28</v>
      </c>
      <c r="D1326" s="80">
        <v>45745</v>
      </c>
      <c r="E1326" s="79" t="s">
        <v>16</v>
      </c>
      <c r="F1326" s="79" t="s">
        <v>235</v>
      </c>
      <c r="G1326" s="79"/>
      <c r="H1326" s="79" t="s">
        <v>140</v>
      </c>
    </row>
    <row r="1327" spans="1:8">
      <c r="A1327" s="79" t="str">
        <f>LeaveData[[#This Row],[ EMP ID]]&amp;LeaveData[[#This Row],[Date]]</f>
        <v>20221801445745</v>
      </c>
      <c r="B1327" s="79">
        <v>202218014</v>
      </c>
      <c r="C1327" s="79" t="s">
        <v>32</v>
      </c>
      <c r="D1327" s="80">
        <v>45745</v>
      </c>
      <c r="E1327" s="79" t="s">
        <v>16</v>
      </c>
      <c r="F1327" s="79" t="s">
        <v>125</v>
      </c>
      <c r="G1327" s="79"/>
      <c r="H1327" s="79" t="s">
        <v>826</v>
      </c>
    </row>
    <row r="1328" spans="1:8">
      <c r="A1328" s="79" t="str">
        <f>LeaveData[[#This Row],[ EMP ID]]&amp;LeaveData[[#This Row],[Date]]</f>
        <v>20221801245745</v>
      </c>
      <c r="B1328" s="79">
        <v>202218012</v>
      </c>
      <c r="C1328" s="79" t="s">
        <v>29</v>
      </c>
      <c r="D1328" s="80">
        <v>45745</v>
      </c>
      <c r="E1328" s="79" t="s">
        <v>14</v>
      </c>
      <c r="F1328" s="79" t="s">
        <v>118</v>
      </c>
      <c r="G1328" s="79"/>
      <c r="H1328" s="79" t="s">
        <v>827</v>
      </c>
    </row>
    <row r="1329" spans="1:8">
      <c r="A1329" s="79" t="str">
        <f>LeaveData[[#This Row],[ EMP ID]]&amp;LeaveData[[#This Row],[Date]]</f>
        <v>20221801445747</v>
      </c>
      <c r="B1329" s="79">
        <v>202218014</v>
      </c>
      <c r="C1329" s="79" t="s">
        <v>32</v>
      </c>
      <c r="D1329" s="80">
        <v>45747</v>
      </c>
      <c r="E1329" s="79" t="s">
        <v>14</v>
      </c>
      <c r="F1329" s="79" t="s">
        <v>106</v>
      </c>
      <c r="G1329" s="79"/>
      <c r="H1329" s="79" t="s">
        <v>828</v>
      </c>
    </row>
    <row r="1330" spans="1:8">
      <c r="A1330" s="79" t="str">
        <f>LeaveData[[#This Row],[ EMP ID]]&amp;LeaveData[[#This Row],[Date]]</f>
        <v>20252101545761</v>
      </c>
      <c r="B1330" s="79">
        <v>202521015</v>
      </c>
      <c r="C1330" s="79" t="s">
        <v>829</v>
      </c>
      <c r="D1330" s="80">
        <v>45761</v>
      </c>
      <c r="E1330" s="79" t="s">
        <v>13</v>
      </c>
      <c r="F1330" s="79" t="s">
        <v>206</v>
      </c>
      <c r="G1330" s="79"/>
      <c r="H1330" s="79" t="s">
        <v>113</v>
      </c>
    </row>
    <row r="1331" spans="1:8">
      <c r="A1331" s="79" t="str">
        <f>LeaveData[[#This Row],[ EMP ID]]&amp;LeaveData[[#This Row],[Date]]</f>
        <v>20252101545762</v>
      </c>
      <c r="B1331" s="79">
        <v>202521015</v>
      </c>
      <c r="C1331" s="79" t="s">
        <v>829</v>
      </c>
      <c r="D1331" s="80">
        <v>45762</v>
      </c>
      <c r="E1331" s="79" t="s">
        <v>13</v>
      </c>
      <c r="F1331" s="79" t="s">
        <v>206</v>
      </c>
      <c r="G1331" s="79"/>
      <c r="H1331" s="79" t="s">
        <v>113</v>
      </c>
    </row>
    <row r="1332" spans="1:8">
      <c r="A1332" s="79" t="str">
        <f>LeaveData[[#This Row],[ EMP ID]]&amp;LeaveData[[#This Row],[Date]]</f>
        <v>20252101545763</v>
      </c>
      <c r="B1332" s="79">
        <v>202521015</v>
      </c>
      <c r="C1332" s="79" t="s">
        <v>829</v>
      </c>
      <c r="D1332" s="80">
        <v>45763</v>
      </c>
      <c r="E1332" s="79" t="s">
        <v>13</v>
      </c>
      <c r="F1332" s="79" t="s">
        <v>206</v>
      </c>
      <c r="G1332" s="79"/>
      <c r="H1332" s="79" t="s">
        <v>113</v>
      </c>
    </row>
    <row r="1333" spans="1:8">
      <c r="A1333" s="79" t="str">
        <f>LeaveData[[#This Row],[ EMP ID]]&amp;LeaveData[[#This Row],[Date]]</f>
        <v>20252101545764</v>
      </c>
      <c r="B1333" s="79">
        <v>202521015</v>
      </c>
      <c r="C1333" s="79" t="s">
        <v>829</v>
      </c>
      <c r="D1333" s="80">
        <v>45764</v>
      </c>
      <c r="E1333" s="79" t="s">
        <v>13</v>
      </c>
      <c r="F1333" s="79" t="s">
        <v>206</v>
      </c>
      <c r="G1333" s="79"/>
      <c r="H1333" s="79" t="s">
        <v>113</v>
      </c>
    </row>
    <row r="1334" spans="1:8">
      <c r="A1334" s="79" t="str">
        <f>LeaveData[[#This Row],[ EMP ID]]&amp;LeaveData[[#This Row],[Date]]</f>
        <v>20252101545765</v>
      </c>
      <c r="B1334" s="79">
        <v>202521015</v>
      </c>
      <c r="C1334" s="79" t="s">
        <v>829</v>
      </c>
      <c r="D1334" s="80">
        <v>45765</v>
      </c>
      <c r="E1334" s="79" t="s">
        <v>13</v>
      </c>
      <c r="F1334" s="79" t="s">
        <v>206</v>
      </c>
      <c r="G1334" s="79"/>
      <c r="H1334" s="79" t="s">
        <v>113</v>
      </c>
    </row>
    <row r="1335" spans="1:8">
      <c r="A1335" s="79" t="str">
        <f>LeaveData[[#This Row],[ EMP ID]]&amp;LeaveData[[#This Row],[Date]]</f>
        <v>20252101545766</v>
      </c>
      <c r="B1335" s="79">
        <v>202521015</v>
      </c>
      <c r="C1335" s="79" t="s">
        <v>829</v>
      </c>
      <c r="D1335" s="80">
        <v>45766</v>
      </c>
      <c r="E1335" s="79" t="s">
        <v>13</v>
      </c>
      <c r="F1335" s="79" t="s">
        <v>206</v>
      </c>
      <c r="G1335" s="79"/>
      <c r="H1335" s="79" t="s">
        <v>113</v>
      </c>
    </row>
    <row r="1336" spans="1:8">
      <c r="A1336" s="79" t="str">
        <f>LeaveData[[#This Row],[ EMP ID]]&amp;LeaveData[[#This Row],[Date]]</f>
        <v>20252101545748</v>
      </c>
      <c r="B1336" s="79">
        <v>202521015</v>
      </c>
      <c r="C1336" s="79" t="s">
        <v>829</v>
      </c>
      <c r="D1336" s="80">
        <v>45748</v>
      </c>
      <c r="E1336" s="79" t="s">
        <v>12</v>
      </c>
      <c r="F1336" s="79" t="s">
        <v>206</v>
      </c>
      <c r="G1336" s="79"/>
      <c r="H1336" s="79" t="s">
        <v>140</v>
      </c>
    </row>
    <row r="1337" spans="1:8">
      <c r="A1337" s="79" t="str">
        <f>LeaveData[[#This Row],[ EMP ID]]&amp;LeaveData[[#This Row],[Date]]</f>
        <v>20251804545733</v>
      </c>
      <c r="B1337" s="79">
        <v>202518045</v>
      </c>
      <c r="C1337" s="79" t="s">
        <v>87</v>
      </c>
      <c r="D1337" s="80">
        <v>45733</v>
      </c>
      <c r="E1337" s="79" t="s">
        <v>199</v>
      </c>
      <c r="F1337" s="79" t="s">
        <v>104</v>
      </c>
      <c r="G1337" s="79"/>
      <c r="H1337" s="79" t="s">
        <v>200</v>
      </c>
    </row>
    <row r="1338" spans="1:8">
      <c r="A1338" s="79" t="str">
        <f>LeaveData[[#This Row],[ EMP ID]]&amp;LeaveData[[#This Row],[Date]]</f>
        <v>20251804545742</v>
      </c>
      <c r="B1338" s="79">
        <v>202518045</v>
      </c>
      <c r="C1338" s="79" t="s">
        <v>87</v>
      </c>
      <c r="D1338" s="80">
        <v>45742</v>
      </c>
      <c r="E1338" s="79" t="s">
        <v>13</v>
      </c>
      <c r="F1338" s="79" t="s">
        <v>104</v>
      </c>
      <c r="G1338" s="79"/>
      <c r="H1338" s="79" t="s">
        <v>831</v>
      </c>
    </row>
    <row r="1339" spans="1:8">
      <c r="A1339" s="79" t="str">
        <f>LeaveData[[#This Row],[ EMP ID]]&amp;LeaveData[[#This Row],[Date]]</f>
        <v>20251804545743</v>
      </c>
      <c r="B1339" s="79">
        <v>202518045</v>
      </c>
      <c r="C1339" s="79" t="s">
        <v>87</v>
      </c>
      <c r="D1339" s="80">
        <v>45743</v>
      </c>
      <c r="E1339" s="79" t="s">
        <v>13</v>
      </c>
      <c r="F1339" s="79" t="s">
        <v>104</v>
      </c>
      <c r="G1339" s="79"/>
      <c r="H1339" s="79" t="s">
        <v>831</v>
      </c>
    </row>
    <row r="1340" spans="1:8">
      <c r="A1340" s="79" t="str">
        <f>LeaveData[[#This Row],[ EMP ID]]&amp;LeaveData[[#This Row],[Date]]</f>
        <v>20251804545744</v>
      </c>
      <c r="B1340" s="79">
        <v>202518045</v>
      </c>
      <c r="C1340" s="79" t="s">
        <v>87</v>
      </c>
      <c r="D1340" s="80">
        <v>45744</v>
      </c>
      <c r="E1340" s="79" t="s">
        <v>13</v>
      </c>
      <c r="F1340" s="79" t="s">
        <v>104</v>
      </c>
      <c r="G1340" s="79"/>
      <c r="H1340" s="79" t="s">
        <v>831</v>
      </c>
    </row>
    <row r="1341" spans="1:8">
      <c r="A1341" s="79" t="str">
        <f>LeaveData[[#This Row],[ EMP ID]]&amp;LeaveData[[#This Row],[Date]]</f>
        <v>20251804545745</v>
      </c>
      <c r="B1341" s="79">
        <v>202518045</v>
      </c>
      <c r="C1341" s="79" t="s">
        <v>87</v>
      </c>
      <c r="D1341" s="80">
        <v>45745</v>
      </c>
      <c r="E1341" s="79" t="s">
        <v>13</v>
      </c>
      <c r="F1341" s="79" t="s">
        <v>104</v>
      </c>
      <c r="G1341" s="79"/>
      <c r="H1341" s="79" t="s">
        <v>831</v>
      </c>
    </row>
    <row r="1342" spans="1:8">
      <c r="A1342" s="79" t="str">
        <f>LeaveData[[#This Row],[ EMP ID]]&amp;LeaveData[[#This Row],[Date]]</f>
        <v>20252101445721</v>
      </c>
      <c r="B1342" s="79">
        <v>202521014</v>
      </c>
      <c r="C1342" s="79" t="s">
        <v>441</v>
      </c>
      <c r="D1342" s="80">
        <v>45721</v>
      </c>
      <c r="E1342" s="79" t="s">
        <v>13</v>
      </c>
      <c r="F1342" s="79" t="s">
        <v>206</v>
      </c>
      <c r="G1342" s="79"/>
      <c r="H1342" s="79" t="s">
        <v>832</v>
      </c>
    </row>
    <row r="1343" spans="1:8">
      <c r="A1343" s="79" t="str">
        <f>LeaveData[[#This Row],[ EMP ID]]&amp;LeaveData[[#This Row],[Date]]</f>
        <v>20242100145747</v>
      </c>
      <c r="B1343" s="79">
        <v>202421001</v>
      </c>
      <c r="C1343" s="79" t="s">
        <v>221</v>
      </c>
      <c r="D1343" s="80">
        <v>45747</v>
      </c>
      <c r="E1343" s="79" t="s">
        <v>12</v>
      </c>
      <c r="F1343" s="79" t="s">
        <v>206</v>
      </c>
      <c r="G1343" s="79"/>
      <c r="H1343" s="79" t="s">
        <v>140</v>
      </c>
    </row>
    <row r="1344" spans="1:8">
      <c r="A1344" s="79" t="str">
        <f>LeaveData[[#This Row],[ EMP ID]]&amp;LeaveData[[#This Row],[Date]]</f>
        <v>20242100245747</v>
      </c>
      <c r="B1344" s="79">
        <v>202421002</v>
      </c>
      <c r="C1344" s="79" t="s">
        <v>223</v>
      </c>
      <c r="D1344" s="80">
        <v>45747</v>
      </c>
      <c r="E1344" s="79" t="s">
        <v>12</v>
      </c>
      <c r="F1344" s="79" t="s">
        <v>206</v>
      </c>
      <c r="G1344" s="79"/>
      <c r="H1344" s="79" t="s">
        <v>140</v>
      </c>
    </row>
    <row r="1345" spans="1:8">
      <c r="A1345" s="79" t="str">
        <f>LeaveData[[#This Row],[ EMP ID]]&amp;LeaveData[[#This Row],[Date]]</f>
        <v>20231802045732</v>
      </c>
      <c r="B1345" s="79">
        <v>202318020</v>
      </c>
      <c r="C1345" s="92" t="s">
        <v>43</v>
      </c>
      <c r="D1345" s="80">
        <v>45732</v>
      </c>
      <c r="E1345" s="79" t="s">
        <v>154</v>
      </c>
      <c r="F1345" s="79" t="s">
        <v>45</v>
      </c>
      <c r="G1345" s="79"/>
      <c r="H1345" s="79" t="s">
        <v>422</v>
      </c>
    </row>
    <row r="1346" spans="1:8">
      <c r="A1346" s="79" t="str">
        <f>LeaveData[[#This Row],[ EMP ID]]&amp;LeaveData[[#This Row],[Date]]</f>
        <v>20231802045739</v>
      </c>
      <c r="B1346" s="79">
        <v>202318020</v>
      </c>
      <c r="C1346" s="92" t="s">
        <v>43</v>
      </c>
      <c r="D1346" s="80">
        <v>45739</v>
      </c>
      <c r="E1346" s="79" t="s">
        <v>154</v>
      </c>
      <c r="F1346" s="79" t="s">
        <v>45</v>
      </c>
      <c r="G1346" s="79"/>
      <c r="H1346" s="79" t="s">
        <v>422</v>
      </c>
    </row>
    <row r="1347" spans="1:8">
      <c r="A1347" s="79" t="str">
        <f>LeaveData[[#This Row],[ EMP ID]]&amp;LeaveData[[#This Row],[Date]]</f>
        <v>20252101545709</v>
      </c>
      <c r="B1347" s="79">
        <v>202521015</v>
      </c>
      <c r="C1347" s="79" t="s">
        <v>829</v>
      </c>
      <c r="D1347" s="80">
        <v>45709</v>
      </c>
      <c r="E1347" s="79" t="s">
        <v>199</v>
      </c>
      <c r="F1347" s="79" t="s">
        <v>206</v>
      </c>
      <c r="G1347" s="79"/>
      <c r="H1347" s="79" t="s">
        <v>200</v>
      </c>
    </row>
    <row r="1348" spans="1:8">
      <c r="A1348" s="79" t="str">
        <f>LeaveData[[#This Row],[ EMP ID]]&amp;LeaveData[[#This Row],[Date]]</f>
        <v>20231801945745</v>
      </c>
      <c r="B1348" s="79">
        <v>202318019</v>
      </c>
      <c r="C1348" s="79" t="s">
        <v>89</v>
      </c>
      <c r="D1348" s="80">
        <v>45745</v>
      </c>
      <c r="E1348" s="79" t="s">
        <v>16</v>
      </c>
      <c r="F1348" s="79" t="s">
        <v>45</v>
      </c>
      <c r="G1348" s="79"/>
      <c r="H1348" s="79" t="s">
        <v>416</v>
      </c>
    </row>
    <row r="1349" spans="1:8">
      <c r="A1349" s="79" t="str">
        <f>LeaveData[[#This Row],[ EMP ID]]&amp;LeaveData[[#This Row],[Date]]</f>
        <v>20181800245746</v>
      </c>
      <c r="B1349" s="79">
        <v>201818002</v>
      </c>
      <c r="C1349" s="79" t="s">
        <v>83</v>
      </c>
      <c r="D1349" s="80">
        <v>45746</v>
      </c>
      <c r="E1349" s="79" t="s">
        <v>154</v>
      </c>
      <c r="F1349" s="79" t="s">
        <v>106</v>
      </c>
      <c r="G1349" s="79"/>
      <c r="H1349" s="79" t="s">
        <v>834</v>
      </c>
    </row>
    <row r="1350" spans="1:8">
      <c r="A1350" s="79" t="str">
        <f>LeaveData[[#This Row],[ EMP ID]]&amp;LeaveData[[#This Row],[Date]]</f>
        <v>20182000145746</v>
      </c>
      <c r="B1350" s="79">
        <v>201820001</v>
      </c>
      <c r="C1350" s="79" t="s">
        <v>18</v>
      </c>
      <c r="D1350" s="80">
        <v>45746</v>
      </c>
      <c r="E1350" s="79" t="s">
        <v>154</v>
      </c>
      <c r="F1350" s="79" t="s">
        <v>106</v>
      </c>
      <c r="G1350" s="79"/>
      <c r="H1350" s="79" t="s">
        <v>834</v>
      </c>
    </row>
    <row r="1351" spans="1:8">
      <c r="A1351" s="79" t="str">
        <f>LeaveData[[#This Row],[ EMP ID]]&amp;LeaveData[[#This Row],[Date]]</f>
        <v>20211800745746</v>
      </c>
      <c r="B1351" s="79">
        <v>202118007</v>
      </c>
      <c r="C1351" s="79" t="s">
        <v>103</v>
      </c>
      <c r="D1351" s="80">
        <v>45746</v>
      </c>
      <c r="E1351" s="79" t="s">
        <v>154</v>
      </c>
      <c r="F1351" s="79" t="s">
        <v>106</v>
      </c>
      <c r="G1351" s="79"/>
      <c r="H1351" s="79" t="s">
        <v>834</v>
      </c>
    </row>
    <row r="1352" spans="1:8">
      <c r="A1352" s="79" t="str">
        <f>LeaveData[[#This Row],[ EMP ID]]&amp;LeaveData[[#This Row],[Date]]</f>
        <v>20231801845746</v>
      </c>
      <c r="B1352" s="79">
        <v>202318018</v>
      </c>
      <c r="C1352" s="79" t="s">
        <v>40</v>
      </c>
      <c r="D1352" s="80">
        <v>45746</v>
      </c>
      <c r="E1352" s="79" t="s">
        <v>154</v>
      </c>
      <c r="F1352" s="79" t="s">
        <v>106</v>
      </c>
      <c r="G1352" s="79"/>
      <c r="H1352" s="79" t="s">
        <v>834</v>
      </c>
    </row>
    <row r="1353" spans="1:8">
      <c r="A1353" s="79" t="str">
        <f>LeaveData[[#This Row],[ EMP ID]]&amp;LeaveData[[#This Row],[Date]]</f>
        <v>20231802645746</v>
      </c>
      <c r="B1353" s="79">
        <v>202318026</v>
      </c>
      <c r="C1353" s="79" t="s">
        <v>53</v>
      </c>
      <c r="D1353" s="80">
        <v>45746</v>
      </c>
      <c r="E1353" s="79" t="s">
        <v>154</v>
      </c>
      <c r="F1353" s="79" t="s">
        <v>106</v>
      </c>
      <c r="G1353" s="79"/>
      <c r="H1353" s="79" t="s">
        <v>834</v>
      </c>
    </row>
    <row r="1354" spans="1:8">
      <c r="A1354" s="79" t="str">
        <f>LeaveData[[#This Row],[ EMP ID]]&amp;LeaveData[[#This Row],[Date]]</f>
        <v>20231802745746</v>
      </c>
      <c r="B1354" s="79">
        <v>202318027</v>
      </c>
      <c r="C1354" s="79" t="s">
        <v>54</v>
      </c>
      <c r="D1354" s="80">
        <v>45746</v>
      </c>
      <c r="E1354" s="79" t="s">
        <v>154</v>
      </c>
      <c r="F1354" s="79" t="s">
        <v>106</v>
      </c>
      <c r="G1354" s="79"/>
      <c r="H1354" s="79" t="s">
        <v>834</v>
      </c>
    </row>
    <row r="1355" spans="1:8">
      <c r="A1355" s="79" t="str">
        <f>LeaveData[[#This Row],[ EMP ID]]&amp;LeaveData[[#This Row],[Date]]</f>
        <v>20241803645746</v>
      </c>
      <c r="B1355" s="79">
        <v>202418036</v>
      </c>
      <c r="C1355" s="79" t="s">
        <v>232</v>
      </c>
      <c r="D1355" s="80">
        <v>45746</v>
      </c>
      <c r="E1355" s="79" t="s">
        <v>154</v>
      </c>
      <c r="F1355" s="79" t="s">
        <v>104</v>
      </c>
      <c r="G1355" s="79"/>
      <c r="H1355" s="79" t="s">
        <v>834</v>
      </c>
    </row>
    <row r="1356" spans="1:8">
      <c r="A1356" s="79" t="str">
        <f>LeaveData[[#This Row],[ EMP ID]]&amp;LeaveData[[#This Row],[Date]]</f>
        <v>20241803845746</v>
      </c>
      <c r="B1356" s="79">
        <v>202418038</v>
      </c>
      <c r="C1356" s="79" t="s">
        <v>246</v>
      </c>
      <c r="D1356" s="80">
        <v>45746</v>
      </c>
      <c r="E1356" s="79" t="s">
        <v>154</v>
      </c>
      <c r="F1356" s="79" t="s">
        <v>106</v>
      </c>
      <c r="G1356" s="79"/>
      <c r="H1356" s="79" t="s">
        <v>834</v>
      </c>
    </row>
    <row r="1357" spans="1:8">
      <c r="A1357" s="79" t="str">
        <f>LeaveData[[#This Row],[ EMP ID]]&amp;LeaveData[[#This Row],[Date]]</f>
        <v>20241804145746</v>
      </c>
      <c r="B1357" s="79">
        <v>202418041</v>
      </c>
      <c r="C1357" s="79" t="s">
        <v>376</v>
      </c>
      <c r="D1357" s="80">
        <v>45746</v>
      </c>
      <c r="E1357" s="79" t="s">
        <v>154</v>
      </c>
      <c r="F1357" s="79" t="s">
        <v>106</v>
      </c>
      <c r="G1357" s="79"/>
      <c r="H1357" s="79" t="s">
        <v>834</v>
      </c>
    </row>
    <row r="1358" spans="1:8">
      <c r="A1358" s="79" t="str">
        <f>LeaveData[[#This Row],[ EMP ID]]&amp;LeaveData[[#This Row],[Date]]</f>
        <v>20231802045746</v>
      </c>
      <c r="B1358" s="79">
        <v>202318020</v>
      </c>
      <c r="C1358" s="79" t="s">
        <v>43</v>
      </c>
      <c r="D1358" s="80">
        <v>45746</v>
      </c>
      <c r="E1358" s="79" t="s">
        <v>154</v>
      </c>
      <c r="F1358" s="79" t="s">
        <v>106</v>
      </c>
      <c r="G1358" s="79"/>
      <c r="H1358" s="79" t="s">
        <v>834</v>
      </c>
    </row>
    <row r="1359" spans="1:8">
      <c r="A1359" s="79" t="str">
        <f>LeaveData[[#This Row],[ EMP ID]]&amp;LeaveData[[#This Row],[Date]]</f>
        <v>20231802245746</v>
      </c>
      <c r="B1359" s="79">
        <v>202318022</v>
      </c>
      <c r="C1359" s="79" t="s">
        <v>45</v>
      </c>
      <c r="D1359" s="80">
        <v>45746</v>
      </c>
      <c r="E1359" s="79" t="s">
        <v>154</v>
      </c>
      <c r="F1359" s="79" t="s">
        <v>106</v>
      </c>
      <c r="G1359" s="79"/>
      <c r="H1359" s="79" t="s">
        <v>834</v>
      </c>
    </row>
    <row r="1360" spans="1:8">
      <c r="A1360" s="79" t="str">
        <f>LeaveData[[#This Row],[ EMP ID]]&amp;LeaveData[[#This Row],[Date]]</f>
        <v>20231801945746</v>
      </c>
      <c r="B1360" s="79">
        <v>202318019</v>
      </c>
      <c r="C1360" s="79" t="s">
        <v>89</v>
      </c>
      <c r="D1360" s="80">
        <v>45746</v>
      </c>
      <c r="E1360" s="79" t="s">
        <v>154</v>
      </c>
      <c r="F1360" s="79" t="s">
        <v>106</v>
      </c>
      <c r="G1360" s="79"/>
      <c r="H1360" s="79" t="s">
        <v>834</v>
      </c>
    </row>
    <row r="1361" spans="1:8">
      <c r="A1361" s="79" t="str">
        <f>LeaveData[[#This Row],[ EMP ID]]&amp;LeaveData[[#This Row],[Date]]</f>
        <v>20221801245736</v>
      </c>
      <c r="B1361" s="79">
        <v>202218012</v>
      </c>
      <c r="C1361" s="79" t="s">
        <v>29</v>
      </c>
      <c r="D1361" s="80">
        <v>45736</v>
      </c>
      <c r="E1361" s="79" t="s">
        <v>840</v>
      </c>
      <c r="F1361" s="79" t="s">
        <v>118</v>
      </c>
      <c r="G1361" s="79"/>
      <c r="H1361" s="79" t="s">
        <v>837</v>
      </c>
    </row>
    <row r="1362" spans="1:8">
      <c r="A1362" s="79" t="str">
        <f>LeaveData[[#This Row],[ EMP ID]]&amp;LeaveData[[#This Row],[Date]]</f>
        <v>20242101245724</v>
      </c>
      <c r="B1362" s="79">
        <v>202421012</v>
      </c>
      <c r="C1362" s="79" t="s">
        <v>377</v>
      </c>
      <c r="D1362" s="80">
        <v>45724</v>
      </c>
      <c r="E1362" s="79" t="s">
        <v>13</v>
      </c>
      <c r="F1362" s="79" t="s">
        <v>206</v>
      </c>
      <c r="G1362" s="79"/>
      <c r="H1362" s="79" t="s">
        <v>168</v>
      </c>
    </row>
    <row r="1363" spans="1:8">
      <c r="A1363" s="79" t="str">
        <f>LeaveData[[#This Row],[ EMP ID]]&amp;LeaveData[[#This Row],[Date]]</f>
        <v>20242100545724</v>
      </c>
      <c r="B1363" s="79">
        <v>202421005</v>
      </c>
      <c r="C1363" s="79" t="s">
        <v>271</v>
      </c>
      <c r="D1363" s="80">
        <v>45724</v>
      </c>
      <c r="E1363" s="79" t="s">
        <v>13</v>
      </c>
      <c r="F1363" s="79" t="s">
        <v>206</v>
      </c>
      <c r="G1363" s="79"/>
      <c r="H1363" s="79" t="s">
        <v>168</v>
      </c>
    </row>
    <row r="1364" spans="1:8">
      <c r="A1364" s="79" t="str">
        <f>LeaveData[[#This Row],[ EMP ID]]&amp;LeaveData[[#This Row],[Date]]</f>
        <v>20242100545725</v>
      </c>
      <c r="B1364" s="79">
        <v>202421005</v>
      </c>
      <c r="C1364" s="79" t="s">
        <v>271</v>
      </c>
      <c r="D1364" s="80">
        <v>45725</v>
      </c>
      <c r="E1364" s="79" t="s">
        <v>13</v>
      </c>
      <c r="F1364" s="79" t="s">
        <v>206</v>
      </c>
      <c r="G1364" s="79"/>
      <c r="H1364" s="79" t="s">
        <v>168</v>
      </c>
    </row>
    <row r="1365" spans="1:8">
      <c r="A1365" s="79" t="str">
        <f>LeaveData[[#This Row],[ EMP ID]]&amp;LeaveData[[#This Row],[Date]]</f>
        <v>20250100345717</v>
      </c>
      <c r="B1365" s="79">
        <v>202501003</v>
      </c>
      <c r="C1365" s="79" t="s">
        <v>833</v>
      </c>
      <c r="D1365" s="80">
        <v>45717</v>
      </c>
      <c r="E1365" s="79" t="s">
        <v>199</v>
      </c>
      <c r="F1365" s="79" t="s">
        <v>106</v>
      </c>
      <c r="G1365" s="79"/>
      <c r="H1365" s="79" t="s">
        <v>200</v>
      </c>
    </row>
    <row r="1366" spans="1:8">
      <c r="A1366" s="79" t="str">
        <f>LeaveData[[#This Row],[ EMP ID]]&amp;LeaveData[[#This Row],[Date]]</f>
        <v>20251804745853</v>
      </c>
      <c r="B1366" s="79">
        <v>202518047</v>
      </c>
      <c r="C1366" s="79" t="s">
        <v>838</v>
      </c>
      <c r="D1366" s="80">
        <v>45853</v>
      </c>
      <c r="E1366" s="79" t="s">
        <v>199</v>
      </c>
      <c r="F1366" s="79" t="s">
        <v>83</v>
      </c>
      <c r="G1366" s="79"/>
      <c r="H1366" s="79" t="s">
        <v>200</v>
      </c>
    </row>
    <row r="1367" spans="1:8">
      <c r="A1367" s="79" t="str">
        <f>LeaveData[[#This Row],[ EMP ID]]&amp;LeaveData[[#This Row],[Date]]</f>
        <v>20250100545728</v>
      </c>
      <c r="B1367" s="79">
        <v>202501005</v>
      </c>
      <c r="C1367" s="79" t="s">
        <v>839</v>
      </c>
      <c r="D1367" s="80">
        <v>45728</v>
      </c>
      <c r="E1367" s="79" t="s">
        <v>199</v>
      </c>
      <c r="F1367" s="79" t="s">
        <v>83</v>
      </c>
      <c r="G1367" s="79"/>
      <c r="H1367" s="79" t="s">
        <v>200</v>
      </c>
    </row>
    <row r="1368" spans="1:8">
      <c r="A1368" s="79" t="str">
        <f>LeaveData[[#This Row],[ EMP ID]]&amp;LeaveData[[#This Row],[Date]]</f>
        <v>20251804645778</v>
      </c>
      <c r="B1368" s="79">
        <v>202518046</v>
      </c>
      <c r="C1368" s="79" t="s">
        <v>842</v>
      </c>
      <c r="D1368" s="80">
        <v>45778</v>
      </c>
      <c r="E1368" s="79" t="s">
        <v>199</v>
      </c>
      <c r="F1368" s="79" t="s">
        <v>106</v>
      </c>
      <c r="G1368" s="79"/>
      <c r="H1368" s="79" t="s">
        <v>200</v>
      </c>
    </row>
    <row r="1369" spans="1:8">
      <c r="A1369" s="79" t="str">
        <f>LeaveData[[#This Row],[ EMP ID]]&amp;LeaveData[[#This Row],[Date]]</f>
        <v>20250100645775</v>
      </c>
      <c r="B1369" s="79">
        <v>202501006</v>
      </c>
      <c r="C1369" s="79" t="s">
        <v>1330</v>
      </c>
      <c r="D1369" s="80">
        <v>45775</v>
      </c>
      <c r="E1369" s="79" t="s">
        <v>199</v>
      </c>
      <c r="F1369" s="79" t="s">
        <v>83</v>
      </c>
      <c r="G1369" s="79"/>
      <c r="H1369" s="79" t="s">
        <v>1331</v>
      </c>
    </row>
    <row r="1370" spans="1:8">
      <c r="A1370" s="79" t="str">
        <f>LeaveData[[#This Row],[ EMP ID]]&amp;LeaveData[[#This Row],[Date]]</f>
        <v>20250100545777</v>
      </c>
      <c r="B1370" s="79">
        <v>202501005</v>
      </c>
      <c r="C1370" s="79" t="s">
        <v>839</v>
      </c>
      <c r="D1370" s="80">
        <v>45777</v>
      </c>
      <c r="E1370" s="79" t="s">
        <v>195</v>
      </c>
      <c r="F1370" s="79" t="s">
        <v>83</v>
      </c>
      <c r="G1370" s="79"/>
      <c r="H1370" s="79" t="s">
        <v>196</v>
      </c>
    </row>
    <row r="1371" spans="1:8">
      <c r="A1371" s="79" t="str">
        <f>LeaveData[[#This Row],[ EMP ID]]&amp;LeaveData[[#This Row],[Date]]</f>
        <v>20232000745750</v>
      </c>
      <c r="B1371" s="79">
        <v>202320007</v>
      </c>
      <c r="C1371" s="79" t="s">
        <v>183</v>
      </c>
      <c r="D1371" s="80">
        <v>45750</v>
      </c>
      <c r="E1371" s="79" t="s">
        <v>13</v>
      </c>
      <c r="F1371" s="79" t="s">
        <v>104</v>
      </c>
      <c r="G1371" s="79"/>
      <c r="H1371" s="79" t="s">
        <v>160</v>
      </c>
    </row>
    <row r="1372" spans="1:8">
      <c r="A1372" s="79" t="str">
        <f>LeaveData[[#This Row],[ EMP ID]]&amp;LeaveData[[#This Row],[Date]]</f>
        <v>20171800145752</v>
      </c>
      <c r="B1372" s="79">
        <v>201718001</v>
      </c>
      <c r="C1372" s="79" t="s">
        <v>17</v>
      </c>
      <c r="D1372" s="80">
        <v>45752</v>
      </c>
      <c r="E1372" s="79" t="s">
        <v>13</v>
      </c>
      <c r="F1372" s="79" t="s">
        <v>106</v>
      </c>
      <c r="G1372" s="79"/>
      <c r="H1372" s="79" t="s">
        <v>1332</v>
      </c>
    </row>
    <row r="1373" spans="1:8">
      <c r="A1373" s="79" t="str">
        <f>LeaveData[[#This Row],[ EMP ID]]&amp;LeaveData[[#This Row],[Date]]</f>
        <v>20242101145748</v>
      </c>
      <c r="B1373" s="79">
        <v>202421011</v>
      </c>
      <c r="C1373" s="79" t="s">
        <v>309</v>
      </c>
      <c r="D1373" s="80">
        <v>45748</v>
      </c>
      <c r="E1373" s="79" t="s">
        <v>13</v>
      </c>
      <c r="F1373" s="79" t="s">
        <v>206</v>
      </c>
      <c r="G1373" s="79"/>
      <c r="H1373" s="79" t="s">
        <v>105</v>
      </c>
    </row>
    <row r="1374" spans="1:8">
      <c r="A1374" s="79" t="str">
        <f>LeaveData[[#This Row],[ EMP ID]]&amp;LeaveData[[#This Row],[Date]]</f>
        <v>20231802845748</v>
      </c>
      <c r="B1374" s="79">
        <v>202318028</v>
      </c>
      <c r="C1374" s="79" t="s">
        <v>57</v>
      </c>
      <c r="D1374" s="80">
        <v>45748</v>
      </c>
      <c r="E1374" s="79" t="s">
        <v>13</v>
      </c>
      <c r="F1374" s="79" t="s">
        <v>118</v>
      </c>
      <c r="G1374" s="79"/>
      <c r="H1374" s="79" t="s">
        <v>1333</v>
      </c>
    </row>
    <row r="1375" spans="1:8">
      <c r="A1375" s="79" t="str">
        <f>LeaveData[[#This Row],[ EMP ID]]&amp;LeaveData[[#This Row],[Date]]</f>
        <v>20252101445750</v>
      </c>
      <c r="B1375" s="79">
        <v>202521014</v>
      </c>
      <c r="C1375" s="79" t="s">
        <v>441</v>
      </c>
      <c r="D1375" s="80">
        <v>45750</v>
      </c>
      <c r="E1375" s="79" t="s">
        <v>12</v>
      </c>
      <c r="F1375" s="79" t="s">
        <v>206</v>
      </c>
      <c r="G1375" s="79"/>
      <c r="H1375" s="79" t="s">
        <v>1334</v>
      </c>
    </row>
    <row r="1376" spans="1:8">
      <c r="A1376" s="79" t="str">
        <f>LeaveData[[#This Row],[ EMP ID]]&amp;LeaveData[[#This Row],[Date]]</f>
        <v>20221801045752</v>
      </c>
      <c r="B1376" s="79">
        <v>202218010</v>
      </c>
      <c r="C1376" s="79" t="s">
        <v>27</v>
      </c>
      <c r="D1376" s="80">
        <v>45752</v>
      </c>
      <c r="E1376" s="79" t="s">
        <v>14</v>
      </c>
      <c r="F1376" s="79" t="s">
        <v>118</v>
      </c>
      <c r="G1376" s="79"/>
      <c r="H1376" s="79" t="s">
        <v>264</v>
      </c>
    </row>
    <row r="1377" spans="1:8">
      <c r="A1377" s="79" t="str">
        <f>LeaveData[[#This Row],[ EMP ID]]&amp;LeaveData[[#This Row],[Date]]</f>
        <v>20242101045751</v>
      </c>
      <c r="B1377" s="79">
        <v>202421010</v>
      </c>
      <c r="C1377" s="79" t="s">
        <v>288</v>
      </c>
      <c r="D1377" s="80">
        <v>45751</v>
      </c>
      <c r="E1377" s="79" t="s">
        <v>16</v>
      </c>
      <c r="F1377" s="79" t="s">
        <v>206</v>
      </c>
      <c r="G1377" s="79"/>
      <c r="H1377" s="79" t="s">
        <v>1335</v>
      </c>
    </row>
    <row r="1378" spans="1:8">
      <c r="A1378" s="79" t="str">
        <f>LeaveData[[#This Row],[ EMP ID]]&amp;LeaveData[[#This Row],[Date]]</f>
        <v>20242101045752</v>
      </c>
      <c r="B1378" s="79">
        <v>202421010</v>
      </c>
      <c r="C1378" s="79" t="s">
        <v>288</v>
      </c>
      <c r="D1378" s="80">
        <v>45752</v>
      </c>
      <c r="E1378" s="79" t="s">
        <v>13</v>
      </c>
      <c r="F1378" s="79" t="s">
        <v>206</v>
      </c>
      <c r="G1378" s="79"/>
      <c r="H1378" s="79" t="s">
        <v>1336</v>
      </c>
    </row>
    <row r="1379" spans="1:8">
      <c r="A1379" s="79" t="str">
        <f>LeaveData[[#This Row],[ EMP ID]]&amp;LeaveData[[#This Row],[Date]]</f>
        <v>20241803545751</v>
      </c>
      <c r="B1379" s="79">
        <v>202418035</v>
      </c>
      <c r="C1379" s="79" t="s">
        <v>96</v>
      </c>
      <c r="D1379" s="80">
        <v>45751</v>
      </c>
      <c r="E1379" s="79" t="s">
        <v>13</v>
      </c>
      <c r="F1379" s="79" t="s">
        <v>118</v>
      </c>
      <c r="G1379" s="79"/>
      <c r="H1379" s="79" t="s">
        <v>1337</v>
      </c>
    </row>
    <row r="1380" spans="1:8">
      <c r="A1380" s="79" t="str">
        <f>LeaveData[[#This Row],[ EMP ID]]&amp;LeaveData[[#This Row],[Date]]</f>
        <v>20251804445749</v>
      </c>
      <c r="B1380" s="79">
        <v>202518044</v>
      </c>
      <c r="C1380" s="79" t="s">
        <v>433</v>
      </c>
      <c r="D1380" s="80">
        <v>45749</v>
      </c>
      <c r="E1380" s="79" t="s">
        <v>13</v>
      </c>
      <c r="F1380" s="79" t="s">
        <v>125</v>
      </c>
      <c r="G1380" s="79"/>
      <c r="H1380" s="79" t="s">
        <v>1338</v>
      </c>
    </row>
    <row r="1381" spans="1:8">
      <c r="A1381" s="79" t="str">
        <f>LeaveData[[#This Row],[ EMP ID]]&amp;LeaveData[[#This Row],[Date]]</f>
        <v>20251804445752</v>
      </c>
      <c r="B1381" s="79">
        <v>202518044</v>
      </c>
      <c r="C1381" s="79" t="s">
        <v>433</v>
      </c>
      <c r="D1381" s="80">
        <v>45752</v>
      </c>
      <c r="E1381" s="79" t="s">
        <v>13</v>
      </c>
      <c r="F1381" s="79" t="s">
        <v>125</v>
      </c>
      <c r="G1381" s="79"/>
      <c r="H1381" s="79" t="s">
        <v>1338</v>
      </c>
    </row>
    <row r="1382" spans="1:8">
      <c r="A1382" s="79" t="str">
        <f>LeaveData[[#This Row],[ EMP ID]]&amp;LeaveData[[#This Row],[Date]]</f>
        <v>20241803345752</v>
      </c>
      <c r="B1382" s="79">
        <v>202418033</v>
      </c>
      <c r="C1382" s="79" t="s">
        <v>65</v>
      </c>
      <c r="D1382" s="80">
        <v>45752</v>
      </c>
      <c r="E1382" s="79" t="s">
        <v>13</v>
      </c>
      <c r="F1382" s="79" t="s">
        <v>128</v>
      </c>
      <c r="G1382" s="79"/>
      <c r="H1382" s="79" t="s">
        <v>1339</v>
      </c>
    </row>
    <row r="1383" spans="1:8">
      <c r="A1383" s="79" t="str">
        <f>LeaveData[[#This Row],[ EMP ID]]&amp;LeaveData[[#This Row],[Date]]</f>
        <v>20211800745752</v>
      </c>
      <c r="B1383" s="79">
        <v>202118007</v>
      </c>
      <c r="C1383" s="79" t="s">
        <v>103</v>
      </c>
      <c r="D1383" s="80">
        <v>45752</v>
      </c>
      <c r="E1383" s="79" t="s">
        <v>12</v>
      </c>
      <c r="F1383" s="79" t="s">
        <v>104</v>
      </c>
      <c r="G1383" s="79"/>
      <c r="H1383" s="79" t="s">
        <v>140</v>
      </c>
    </row>
    <row r="1384" spans="1:8">
      <c r="A1384" s="79" t="str">
        <f>LeaveData[[#This Row],[ EMP ID]]&amp;LeaveData[[#This Row],[Date]]</f>
        <v>20241803645752</v>
      </c>
      <c r="B1384" s="79">
        <v>202418036</v>
      </c>
      <c r="C1384" s="79" t="s">
        <v>232</v>
      </c>
      <c r="D1384" s="80">
        <v>45752</v>
      </c>
      <c r="E1384" s="79" t="s">
        <v>12</v>
      </c>
      <c r="F1384" s="79" t="s">
        <v>104</v>
      </c>
      <c r="G1384" s="79"/>
      <c r="H1384" s="79" t="s">
        <v>1340</v>
      </c>
    </row>
    <row r="1385" spans="1:8">
      <c r="A1385" s="79" t="str">
        <f>LeaveData[[#This Row],[ EMP ID]]&amp;LeaveData[[#This Row],[Date]]</f>
        <v>20242100845752</v>
      </c>
      <c r="B1385" s="79">
        <v>202421008</v>
      </c>
      <c r="C1385" s="79" t="s">
        <v>274</v>
      </c>
      <c r="D1385" s="80">
        <v>45752</v>
      </c>
      <c r="E1385" s="79" t="s">
        <v>13</v>
      </c>
      <c r="F1385" s="79" t="s">
        <v>206</v>
      </c>
      <c r="G1385" s="79"/>
      <c r="H1385" s="79" t="s">
        <v>116</v>
      </c>
    </row>
    <row r="1386" spans="1:8">
      <c r="A1386" s="79" t="str">
        <f>LeaveData[[#This Row],[ EMP ID]]&amp;LeaveData[[#This Row],[Date]]</f>
        <v>20231802245753</v>
      </c>
      <c r="B1386" s="79">
        <v>202318022</v>
      </c>
      <c r="C1386" s="79" t="s">
        <v>45</v>
      </c>
      <c r="D1386" s="80">
        <v>45753</v>
      </c>
      <c r="E1386" s="79" t="s">
        <v>154</v>
      </c>
      <c r="F1386" s="79" t="s">
        <v>118</v>
      </c>
      <c r="G1386" s="79"/>
      <c r="H1386" s="79" t="s">
        <v>155</v>
      </c>
    </row>
    <row r="1387" spans="1:8">
      <c r="A1387" s="79" t="str">
        <f>LeaveData[[#This Row],[ EMP ID]]&amp;LeaveData[[#This Row],[Date]]</f>
        <v>20182000145756</v>
      </c>
      <c r="B1387" s="79">
        <v>201820001</v>
      </c>
      <c r="C1387" s="79" t="s">
        <v>18</v>
      </c>
      <c r="D1387" s="80">
        <v>45756</v>
      </c>
      <c r="E1387" s="79" t="s">
        <v>13</v>
      </c>
      <c r="F1387" s="79" t="s">
        <v>118</v>
      </c>
      <c r="G1387" s="79"/>
      <c r="H1387" s="79" t="s">
        <v>156</v>
      </c>
    </row>
    <row r="1388" spans="1:8">
      <c r="A1388" s="79" t="str">
        <f>LeaveData[[#This Row],[ EMP ID]]&amp;LeaveData[[#This Row],[Date]]</f>
        <v>20242001545754</v>
      </c>
      <c r="B1388" s="79">
        <v>202420015</v>
      </c>
      <c r="C1388" s="79" t="s">
        <v>64</v>
      </c>
      <c r="D1388" s="80">
        <v>45754</v>
      </c>
      <c r="E1388" s="79" t="s">
        <v>12</v>
      </c>
      <c r="F1388" s="79" t="s">
        <v>125</v>
      </c>
      <c r="G1388" s="79"/>
      <c r="H1388" s="79" t="s">
        <v>140</v>
      </c>
    </row>
    <row r="1389" spans="1:8">
      <c r="A1389" s="79" t="str">
        <f>LeaveData[[#This Row],[ EMP ID]]&amp;LeaveData[[#This Row],[Date]]</f>
        <v>20252101445755</v>
      </c>
      <c r="B1389" s="79">
        <v>202521014</v>
      </c>
      <c r="C1389" s="79" t="s">
        <v>441</v>
      </c>
      <c r="D1389" s="80">
        <v>45755</v>
      </c>
      <c r="E1389" s="79" t="s">
        <v>12</v>
      </c>
      <c r="F1389" s="79" t="s">
        <v>206</v>
      </c>
      <c r="G1389" s="79"/>
      <c r="H1389" s="79" t="s">
        <v>140</v>
      </c>
    </row>
    <row r="1390" spans="1:8">
      <c r="A1390" s="79" t="str">
        <f>LeaveData[[#This Row],[ EMP ID]]&amp;LeaveData[[#This Row],[Date]]</f>
        <v>20242101345755</v>
      </c>
      <c r="B1390" s="79">
        <v>202421013</v>
      </c>
      <c r="C1390" s="79" t="s">
        <v>378</v>
      </c>
      <c r="D1390" s="80">
        <v>45755</v>
      </c>
      <c r="E1390" s="79" t="s">
        <v>12</v>
      </c>
      <c r="F1390" s="79" t="s">
        <v>206</v>
      </c>
      <c r="G1390" s="79"/>
      <c r="H1390" s="79" t="s">
        <v>140</v>
      </c>
    </row>
    <row r="1391" spans="1:8">
      <c r="A1391" s="79" t="str">
        <f>LeaveData[[#This Row],[ EMP ID]]&amp;LeaveData[[#This Row],[Date]]</f>
        <v>20242101145756</v>
      </c>
      <c r="B1391" s="79">
        <v>202421011</v>
      </c>
      <c r="C1391" s="79" t="s">
        <v>309</v>
      </c>
      <c r="D1391" s="80">
        <v>45756</v>
      </c>
      <c r="E1391" s="79" t="s">
        <v>14</v>
      </c>
      <c r="F1391" s="79" t="s">
        <v>206</v>
      </c>
      <c r="G1391" s="79"/>
      <c r="H1391" s="79" t="s">
        <v>282</v>
      </c>
    </row>
    <row r="1392" spans="1:8">
      <c r="A1392" s="79" t="str">
        <f>LeaveData[[#This Row],[ EMP ID]]&amp;LeaveData[[#This Row],[Date]]</f>
        <v>20231802045755</v>
      </c>
      <c r="B1392" s="79">
        <v>202318020</v>
      </c>
      <c r="C1392" s="79" t="s">
        <v>43</v>
      </c>
      <c r="D1392" s="80">
        <v>45755</v>
      </c>
      <c r="E1392" s="79" t="s">
        <v>16</v>
      </c>
      <c r="F1392" s="79" t="s">
        <v>45</v>
      </c>
      <c r="G1392" s="79"/>
      <c r="H1392" s="79" t="s">
        <v>416</v>
      </c>
    </row>
    <row r="1393" spans="1:8">
      <c r="A1393" s="79" t="str">
        <f>LeaveData[[#This Row],[ EMP ID]]&amp;LeaveData[[#This Row],[Date]]</f>
        <v>20231802245756</v>
      </c>
      <c r="B1393" s="79">
        <v>202318022</v>
      </c>
      <c r="C1393" s="79" t="s">
        <v>45</v>
      </c>
      <c r="D1393" s="80">
        <v>45756</v>
      </c>
      <c r="E1393" s="79" t="s">
        <v>16</v>
      </c>
      <c r="F1393" s="79" t="s">
        <v>118</v>
      </c>
      <c r="G1393" s="79"/>
      <c r="H1393" s="79" t="s">
        <v>1341</v>
      </c>
    </row>
    <row r="1394" spans="1:8">
      <c r="A1394" s="79" t="str">
        <f>LeaveData[[#This Row],[ EMP ID]]&amp;LeaveData[[#This Row],[Date]]</f>
        <v>20231802045756</v>
      </c>
      <c r="B1394" s="79">
        <v>202318020</v>
      </c>
      <c r="C1394" s="79" t="s">
        <v>43</v>
      </c>
      <c r="D1394" s="80">
        <v>45756</v>
      </c>
      <c r="E1394" s="79" t="s">
        <v>16</v>
      </c>
      <c r="F1394" s="79" t="s">
        <v>45</v>
      </c>
      <c r="G1394" s="79"/>
      <c r="H1394" s="79" t="s">
        <v>1341</v>
      </c>
    </row>
    <row r="1395" spans="1:8">
      <c r="A1395" s="79" t="str">
        <f>LeaveData[[#This Row],[ EMP ID]]&amp;LeaveData[[#This Row],[Date]]</f>
        <v>20252101445758</v>
      </c>
      <c r="B1395" s="79">
        <v>202521014</v>
      </c>
      <c r="C1395" s="79" t="s">
        <v>441</v>
      </c>
      <c r="D1395" s="80">
        <v>45758</v>
      </c>
      <c r="E1395" s="79" t="s">
        <v>16</v>
      </c>
      <c r="F1395" s="79" t="s">
        <v>206</v>
      </c>
      <c r="G1395" s="79"/>
      <c r="H1395" s="79" t="s">
        <v>452</v>
      </c>
    </row>
    <row r="1396" spans="1:8">
      <c r="A1396" s="79" t="str">
        <f>LeaveData[[#This Row],[ EMP ID]]&amp;LeaveData[[#This Row],[Date]]</f>
        <v>20231802045758</v>
      </c>
      <c r="B1396" s="79">
        <v>202318020</v>
      </c>
      <c r="C1396" s="79" t="s">
        <v>43</v>
      </c>
      <c r="D1396" s="80">
        <v>45758</v>
      </c>
      <c r="E1396" s="79" t="s">
        <v>16</v>
      </c>
      <c r="F1396" s="79" t="s">
        <v>45</v>
      </c>
      <c r="G1396" s="79"/>
      <c r="H1396" s="79" t="s">
        <v>1342</v>
      </c>
    </row>
    <row r="1397" spans="1:8">
      <c r="A1397" s="79" t="str">
        <f>LeaveData[[#This Row],[ EMP ID]]&amp;LeaveData[[#This Row],[Date]]</f>
        <v>20231802245758</v>
      </c>
      <c r="B1397" s="79">
        <v>202318022</v>
      </c>
      <c r="C1397" s="79" t="s">
        <v>45</v>
      </c>
      <c r="D1397" s="80">
        <v>45758</v>
      </c>
      <c r="E1397" s="79" t="s">
        <v>16</v>
      </c>
      <c r="F1397" s="79" t="s">
        <v>118</v>
      </c>
      <c r="G1397" s="79"/>
      <c r="H1397" s="79" t="s">
        <v>1342</v>
      </c>
    </row>
    <row r="1398" spans="1:8">
      <c r="A1398" s="79" t="str">
        <f>LeaveData[[#This Row],[ EMP ID]]&amp;LeaveData[[#This Row],[Date]]</f>
        <v>20241803645777</v>
      </c>
      <c r="B1398" s="79">
        <v>202418036</v>
      </c>
      <c r="C1398" s="79" t="s">
        <v>232</v>
      </c>
      <c r="D1398" s="80">
        <v>45777</v>
      </c>
      <c r="E1398" s="79" t="s">
        <v>195</v>
      </c>
      <c r="F1398" s="79" t="s">
        <v>104</v>
      </c>
      <c r="G1398" s="79"/>
      <c r="H1398" s="79" t="s">
        <v>196</v>
      </c>
    </row>
    <row r="1399" spans="1:8">
      <c r="A1399" s="79" t="str">
        <f>LeaveData[[#This Row],[ EMP ID]]&amp;LeaveData[[#This Row],[Date]]</f>
        <v>20221801445773</v>
      </c>
      <c r="B1399" s="79">
        <v>202218014</v>
      </c>
      <c r="C1399" s="79" t="s">
        <v>32</v>
      </c>
      <c r="D1399" s="80">
        <v>45773</v>
      </c>
      <c r="E1399" s="79" t="s">
        <v>195</v>
      </c>
      <c r="F1399" s="79" t="s">
        <v>106</v>
      </c>
      <c r="G1399" s="79"/>
      <c r="H1399" s="79" t="s">
        <v>196</v>
      </c>
    </row>
    <row r="1400" spans="1:8">
      <c r="A1400" s="79" t="str">
        <f>LeaveData[[#This Row],[ EMP ID]]&amp;LeaveData[[#This Row],[Date]]</f>
        <v>20242001745777</v>
      </c>
      <c r="B1400" s="79">
        <v>202420017</v>
      </c>
      <c r="C1400" s="79" t="s">
        <v>375</v>
      </c>
      <c r="D1400" s="80">
        <v>45777</v>
      </c>
      <c r="E1400" s="79" t="s">
        <v>195</v>
      </c>
      <c r="F1400" s="79" t="s">
        <v>104</v>
      </c>
      <c r="G1400" s="79"/>
      <c r="H1400" s="79" t="s">
        <v>196</v>
      </c>
    </row>
    <row r="1401" spans="1:8">
      <c r="A1401" s="79" t="str">
        <f>LeaveData[[#This Row],[ EMP ID]]&amp;LeaveData[[#This Row],[Date]]</f>
        <v>20242101145758</v>
      </c>
      <c r="B1401" s="79">
        <v>202421011</v>
      </c>
      <c r="C1401" s="79" t="s">
        <v>309</v>
      </c>
      <c r="D1401" s="80">
        <v>45758</v>
      </c>
      <c r="E1401" s="79" t="s">
        <v>195</v>
      </c>
      <c r="F1401" s="79" t="s">
        <v>206</v>
      </c>
      <c r="G1401" s="79"/>
      <c r="H1401" s="79" t="s">
        <v>196</v>
      </c>
    </row>
    <row r="1402" spans="1:8">
      <c r="A1402" s="79" t="str">
        <f>LeaveData[[#This Row],[ EMP ID]]&amp;LeaveData[[#This Row],[Date]]</f>
        <v>20242101045784</v>
      </c>
      <c r="B1402" s="79">
        <v>202421010</v>
      </c>
      <c r="C1402" s="79" t="s">
        <v>288</v>
      </c>
      <c r="D1402" s="80">
        <v>45784</v>
      </c>
      <c r="E1402" s="79" t="s">
        <v>195</v>
      </c>
      <c r="F1402" s="79" t="s">
        <v>206</v>
      </c>
      <c r="G1402" s="79"/>
      <c r="H1402" s="79" t="s">
        <v>196</v>
      </c>
    </row>
    <row r="1403" spans="1:8">
      <c r="A1403" s="79" t="str">
        <f>LeaveData[[#This Row],[ EMP ID]]&amp;LeaveData[[#This Row],[Date]]</f>
        <v>20242100345784</v>
      </c>
      <c r="B1403" s="79">
        <v>202421003</v>
      </c>
      <c r="C1403" s="79" t="s">
        <v>205</v>
      </c>
      <c r="D1403" s="80">
        <v>45784</v>
      </c>
      <c r="E1403" s="79" t="s">
        <v>195</v>
      </c>
      <c r="F1403" s="79" t="s">
        <v>206</v>
      </c>
      <c r="G1403" s="79"/>
      <c r="H1403" s="79" t="s">
        <v>196</v>
      </c>
    </row>
    <row r="1404" spans="1:8">
      <c r="A1404" s="79" t="str">
        <f>LeaveData[[#This Row],[ EMP ID]]&amp;LeaveData[[#This Row],[Date]]</f>
        <v>20232000745761</v>
      </c>
      <c r="B1404" s="79">
        <v>202320007</v>
      </c>
      <c r="C1404" s="79" t="s">
        <v>183</v>
      </c>
      <c r="D1404" s="80">
        <v>45761</v>
      </c>
      <c r="E1404" s="79" t="s">
        <v>13</v>
      </c>
      <c r="F1404" s="79" t="s">
        <v>125</v>
      </c>
      <c r="G1404" s="79"/>
      <c r="H1404" s="79" t="s">
        <v>105</v>
      </c>
    </row>
    <row r="1405" spans="1:8">
      <c r="A1405" s="79" t="str">
        <f>LeaveData[[#This Row],[ EMP ID]]&amp;LeaveData[[#This Row],[Date]]</f>
        <v>20232000745762</v>
      </c>
      <c r="B1405" s="79">
        <v>202320007</v>
      </c>
      <c r="C1405" s="79" t="s">
        <v>183</v>
      </c>
      <c r="D1405" s="80">
        <v>45762</v>
      </c>
      <c r="E1405" s="79" t="s">
        <v>13</v>
      </c>
      <c r="F1405" s="79" t="s">
        <v>125</v>
      </c>
      <c r="G1405" s="79"/>
      <c r="H1405" s="79" t="s">
        <v>105</v>
      </c>
    </row>
    <row r="1406" spans="1:8">
      <c r="A1406" s="79" t="str">
        <f>LeaveData[[#This Row],[ EMP ID]]&amp;LeaveData[[#This Row],[Date]]</f>
        <v>20241803645758</v>
      </c>
      <c r="B1406" s="79">
        <v>202418036</v>
      </c>
      <c r="C1406" s="79" t="s">
        <v>232</v>
      </c>
      <c r="D1406" s="80">
        <v>45758</v>
      </c>
      <c r="E1406" s="79" t="s">
        <v>12</v>
      </c>
      <c r="F1406" s="79" t="s">
        <v>104</v>
      </c>
      <c r="G1406" s="79"/>
      <c r="H1406" s="79" t="s">
        <v>1343</v>
      </c>
    </row>
    <row r="1407" spans="1:8">
      <c r="A1407" s="79" t="str">
        <f>LeaveData[[#This Row],[ EMP ID]]&amp;LeaveData[[#This Row],[Date]]</f>
        <v>20242001545759</v>
      </c>
      <c r="B1407" s="79">
        <v>202420015</v>
      </c>
      <c r="C1407" s="79" t="s">
        <v>64</v>
      </c>
      <c r="D1407" s="80">
        <v>45759</v>
      </c>
      <c r="E1407" s="79" t="s">
        <v>154</v>
      </c>
      <c r="F1407" s="79" t="s">
        <v>125</v>
      </c>
      <c r="G1407" s="79"/>
      <c r="H1407" s="79" t="s">
        <v>155</v>
      </c>
    </row>
    <row r="1408" spans="1:8">
      <c r="A1408" s="79" t="str">
        <f>LeaveData[[#This Row],[ EMP ID]]&amp;LeaveData[[#This Row],[Date]]</f>
        <v>20231802645759</v>
      </c>
      <c r="B1408" s="79">
        <v>202318026</v>
      </c>
      <c r="C1408" s="79" t="s">
        <v>53</v>
      </c>
      <c r="D1408" s="80">
        <v>45759</v>
      </c>
      <c r="E1408" s="79" t="s">
        <v>154</v>
      </c>
      <c r="F1408" s="79" t="s">
        <v>235</v>
      </c>
      <c r="G1408" s="79"/>
      <c r="H1408" s="79" t="s">
        <v>155</v>
      </c>
    </row>
    <row r="1409" spans="1:8">
      <c r="A1409" s="79" t="str">
        <f>LeaveData[[#This Row],[ EMP ID]]&amp;LeaveData[[#This Row],[Date]]</f>
        <v>20231801945759</v>
      </c>
      <c r="B1409" s="79">
        <v>202318019</v>
      </c>
      <c r="C1409" s="79" t="s">
        <v>89</v>
      </c>
      <c r="D1409" s="80">
        <v>45759</v>
      </c>
      <c r="E1409" s="79" t="s">
        <v>154</v>
      </c>
      <c r="F1409" s="79" t="s">
        <v>45</v>
      </c>
      <c r="G1409" s="79"/>
      <c r="H1409" s="79" t="s">
        <v>155</v>
      </c>
    </row>
    <row r="1410" spans="1:8">
      <c r="A1410" s="79" t="str">
        <f>LeaveData[[#This Row],[ EMP ID]]&amp;LeaveData[[#This Row],[Date]]</f>
        <v>20231801945760</v>
      </c>
      <c r="B1410" s="79">
        <v>202318019</v>
      </c>
      <c r="C1410" s="79" t="s">
        <v>89</v>
      </c>
      <c r="D1410" s="80">
        <v>45760</v>
      </c>
      <c r="E1410" s="79" t="s">
        <v>154</v>
      </c>
      <c r="F1410" s="79" t="s">
        <v>45</v>
      </c>
      <c r="G1410" s="79"/>
      <c r="H1410" s="79" t="s">
        <v>155</v>
      </c>
    </row>
    <row r="1411" spans="1:8">
      <c r="A1411" s="79" t="str">
        <f>LeaveData[[#This Row],[ EMP ID]]&amp;LeaveData[[#This Row],[Date]]</f>
        <v>20241804245766</v>
      </c>
      <c r="B1411" s="79">
        <v>202418042</v>
      </c>
      <c r="C1411" s="79" t="s">
        <v>402</v>
      </c>
      <c r="D1411" s="80">
        <v>45766</v>
      </c>
      <c r="E1411" s="79" t="s">
        <v>13</v>
      </c>
      <c r="F1411" s="79" t="s">
        <v>104</v>
      </c>
      <c r="G1411" s="79"/>
      <c r="H1411" s="79" t="s">
        <v>105</v>
      </c>
    </row>
    <row r="1412" spans="1:8">
      <c r="A1412" s="79" t="str">
        <f>LeaveData[[#This Row],[ EMP ID]]&amp;LeaveData[[#This Row],[Date]]</f>
        <v>20241804245768</v>
      </c>
      <c r="B1412" s="79">
        <v>202418042</v>
      </c>
      <c r="C1412" s="79" t="s">
        <v>402</v>
      </c>
      <c r="D1412" s="80">
        <v>45768</v>
      </c>
      <c r="E1412" s="79" t="s">
        <v>13</v>
      </c>
      <c r="F1412" s="79" t="s">
        <v>104</v>
      </c>
      <c r="G1412" s="79"/>
      <c r="H1412" s="79" t="s">
        <v>105</v>
      </c>
    </row>
    <row r="1413" spans="1:8">
      <c r="A1413" s="79" t="str">
        <f>LeaveData[[#This Row],[ EMP ID]]&amp;LeaveData[[#This Row],[Date]]</f>
        <v>20241804245769</v>
      </c>
      <c r="B1413" s="79">
        <v>202418042</v>
      </c>
      <c r="C1413" s="79" t="s">
        <v>402</v>
      </c>
      <c r="D1413" s="80">
        <v>45769</v>
      </c>
      <c r="E1413" s="79" t="s">
        <v>13</v>
      </c>
      <c r="F1413" s="79" t="s">
        <v>104</v>
      </c>
      <c r="G1413" s="79"/>
      <c r="H1413" s="79" t="s">
        <v>105</v>
      </c>
    </row>
    <row r="1414" spans="1:8">
      <c r="A1414" s="79" t="str">
        <f>LeaveData[[#This Row],[ EMP ID]]&amp;LeaveData[[#This Row],[Date]]</f>
        <v>20251804345763</v>
      </c>
      <c r="B1414" s="79">
        <v>202518043</v>
      </c>
      <c r="C1414" s="79" t="s">
        <v>403</v>
      </c>
      <c r="D1414" s="80">
        <v>45763</v>
      </c>
      <c r="E1414" s="79" t="s">
        <v>16</v>
      </c>
      <c r="F1414" s="79" t="s">
        <v>43</v>
      </c>
      <c r="G1414" s="79"/>
      <c r="H1414" s="79" t="s">
        <v>1344</v>
      </c>
    </row>
    <row r="1415" spans="1:8">
      <c r="A1415" s="79" t="str">
        <f>LeaveData[[#This Row],[ EMP ID]]&amp;LeaveData[[#This Row],[Date]]</f>
        <v>20221800945764</v>
      </c>
      <c r="B1415" s="79">
        <v>202218009</v>
      </c>
      <c r="C1415" s="79" t="s">
        <v>26</v>
      </c>
      <c r="D1415" s="80">
        <v>45764</v>
      </c>
      <c r="E1415" s="79" t="s">
        <v>13</v>
      </c>
      <c r="F1415" s="79" t="s">
        <v>128</v>
      </c>
      <c r="G1415" s="79"/>
      <c r="H1415" s="79" t="s">
        <v>1345</v>
      </c>
    </row>
    <row r="1416" spans="1:8">
      <c r="A1416" s="79" t="str">
        <f>LeaveData[[#This Row],[ EMP ID]]&amp;LeaveData[[#This Row],[Date]]</f>
        <v>20182000145764</v>
      </c>
      <c r="B1416" s="79">
        <v>201820001</v>
      </c>
      <c r="C1416" s="79" t="s">
        <v>18</v>
      </c>
      <c r="D1416" s="80">
        <v>45764</v>
      </c>
      <c r="E1416" s="79" t="s">
        <v>16</v>
      </c>
      <c r="F1416" s="79" t="s">
        <v>118</v>
      </c>
      <c r="G1416" s="79"/>
      <c r="H1416" s="79" t="s">
        <v>1346</v>
      </c>
    </row>
    <row r="1417" spans="1:8">
      <c r="A1417" s="79" t="str">
        <f>LeaveData[[#This Row],[ EMP ID]]&amp;LeaveData[[#This Row],[Date]]</f>
        <v>20242100345764</v>
      </c>
      <c r="B1417" s="79">
        <v>202421003</v>
      </c>
      <c r="C1417" s="79" t="s">
        <v>205</v>
      </c>
      <c r="D1417" s="80">
        <v>45764</v>
      </c>
      <c r="E1417" s="79" t="s">
        <v>12</v>
      </c>
      <c r="F1417" s="79" t="s">
        <v>206</v>
      </c>
      <c r="G1417" s="79"/>
      <c r="H1417" s="79" t="s">
        <v>209</v>
      </c>
    </row>
    <row r="1418" spans="1:8">
      <c r="A1418" s="79" t="str">
        <f>LeaveData[[#This Row],[ EMP ID]]&amp;LeaveData[[#This Row],[Date]]</f>
        <v>20182000145758</v>
      </c>
      <c r="B1418" s="79">
        <v>201820001</v>
      </c>
      <c r="C1418" s="79" t="s">
        <v>18</v>
      </c>
      <c r="D1418" s="80">
        <v>45758</v>
      </c>
      <c r="E1418" s="79" t="s">
        <v>16</v>
      </c>
      <c r="F1418" s="79" t="s">
        <v>118</v>
      </c>
      <c r="G1418" s="79"/>
      <c r="H1418" s="79" t="s">
        <v>1347</v>
      </c>
    </row>
    <row r="1419" spans="1:8">
      <c r="A1419" s="79" t="str">
        <f>LeaveData[[#This Row],[ EMP ID]]&amp;LeaveData[[#This Row],[Date]]</f>
        <v>20211800745724</v>
      </c>
      <c r="B1419" s="79">
        <v>202118007</v>
      </c>
      <c r="C1419" s="79" t="s">
        <v>103</v>
      </c>
      <c r="D1419" s="80">
        <v>45724</v>
      </c>
      <c r="E1419" s="79" t="s">
        <v>154</v>
      </c>
      <c r="F1419" s="79" t="s">
        <v>104</v>
      </c>
      <c r="G1419" s="79"/>
      <c r="H1419" s="79" t="s">
        <v>155</v>
      </c>
    </row>
    <row r="1420" spans="1:8">
      <c r="A1420" s="79" t="str">
        <f>LeaveData[[#This Row],[ EMP ID]]&amp;LeaveData[[#This Row],[Date]]</f>
        <v>20211800745739</v>
      </c>
      <c r="B1420" s="79">
        <v>202118007</v>
      </c>
      <c r="C1420" s="79" t="s">
        <v>103</v>
      </c>
      <c r="D1420" s="80">
        <v>45739</v>
      </c>
      <c r="E1420" s="79" t="s">
        <v>154</v>
      </c>
      <c r="F1420" s="79" t="s">
        <v>104</v>
      </c>
      <c r="G1420" s="79"/>
      <c r="H1420" s="79" t="s">
        <v>155</v>
      </c>
    </row>
    <row r="1421" spans="1:8">
      <c r="A1421" s="79" t="str">
        <f>LeaveData[[#This Row],[ EMP ID]]&amp;LeaveData[[#This Row],[Date]]</f>
        <v>20211800745759</v>
      </c>
      <c r="B1421" s="79">
        <v>202118007</v>
      </c>
      <c r="C1421" s="79" t="s">
        <v>103</v>
      </c>
      <c r="D1421" s="80">
        <v>45759</v>
      </c>
      <c r="E1421" s="79" t="s">
        <v>154</v>
      </c>
      <c r="F1421" s="79" t="s">
        <v>104</v>
      </c>
      <c r="G1421" s="79"/>
      <c r="H1421" s="79" t="s">
        <v>155</v>
      </c>
    </row>
    <row r="1422" spans="1:8">
      <c r="A1422" s="79" t="str">
        <f>LeaveData[[#This Row],[ EMP ID]]&amp;LeaveData[[#This Row],[Date]]</f>
        <v>20251804545765</v>
      </c>
      <c r="B1422" s="79">
        <v>202518045</v>
      </c>
      <c r="C1422" s="79" t="s">
        <v>87</v>
      </c>
      <c r="D1422" s="80">
        <v>45765</v>
      </c>
      <c r="E1422" s="79" t="s">
        <v>12</v>
      </c>
      <c r="F1422" s="79" t="s">
        <v>104</v>
      </c>
      <c r="G1422" s="79"/>
      <c r="H1422" s="79" t="s">
        <v>253</v>
      </c>
    </row>
    <row r="1423" spans="1:8">
      <c r="A1423" s="79" t="str">
        <f>LeaveData[[#This Row],[ EMP ID]]&amp;LeaveData[[#This Row],[Date]]</f>
        <v>20231802745765</v>
      </c>
      <c r="B1423" s="79">
        <v>202318027</v>
      </c>
      <c r="C1423" s="79" t="s">
        <v>54</v>
      </c>
      <c r="D1423" s="80">
        <v>45765</v>
      </c>
      <c r="E1423" s="79" t="s">
        <v>13</v>
      </c>
      <c r="F1423" s="79" t="s">
        <v>106</v>
      </c>
      <c r="G1423" s="79"/>
      <c r="H1423" s="79" t="s">
        <v>1348</v>
      </c>
    </row>
    <row r="1424" spans="1:8">
      <c r="A1424" s="79" t="str">
        <f>LeaveData[[#This Row],[ EMP ID]]&amp;LeaveData[[#This Row],[Date]]</f>
        <v>20232000745765</v>
      </c>
      <c r="B1424" s="79">
        <v>202320007</v>
      </c>
      <c r="C1424" s="79" t="s">
        <v>183</v>
      </c>
      <c r="D1424" s="80">
        <v>45765</v>
      </c>
      <c r="E1424" s="79" t="s">
        <v>15</v>
      </c>
      <c r="F1424" s="79" t="s">
        <v>104</v>
      </c>
      <c r="G1424" s="79"/>
      <c r="H1424" s="79" t="s">
        <v>140</v>
      </c>
    </row>
    <row r="1425" spans="1:8">
      <c r="A1425" s="79" t="str">
        <f>LeaveData[[#This Row],[ EMP ID]]&amp;LeaveData[[#This Row],[Date]]</f>
        <v>20252101445766</v>
      </c>
      <c r="B1425" s="79">
        <v>202521014</v>
      </c>
      <c r="C1425" s="79" t="s">
        <v>441</v>
      </c>
      <c r="D1425" s="80">
        <v>45766</v>
      </c>
      <c r="E1425" s="79" t="s">
        <v>12</v>
      </c>
      <c r="F1425" s="79" t="s">
        <v>206</v>
      </c>
      <c r="G1425" s="79"/>
      <c r="H1425" s="79" t="s">
        <v>1349</v>
      </c>
    </row>
    <row r="1426" spans="1:8">
      <c r="A1426" s="79" t="str">
        <f>LeaveData[[#This Row],[ EMP ID]]&amp;LeaveData[[#This Row],[Date]]</f>
        <v>20211800745766</v>
      </c>
      <c r="B1426" s="79">
        <v>202118007</v>
      </c>
      <c r="C1426" s="79" t="s">
        <v>103</v>
      </c>
      <c r="D1426" s="80">
        <v>45766</v>
      </c>
      <c r="E1426" s="79" t="s">
        <v>12</v>
      </c>
      <c r="F1426" s="79" t="s">
        <v>104</v>
      </c>
      <c r="G1426" s="79"/>
      <c r="H1426" s="79" t="s">
        <v>140</v>
      </c>
    </row>
    <row r="1427" spans="1:8">
      <c r="A1427" s="79" t="str">
        <f>LeaveData[[#This Row],[ EMP ID]]&amp;LeaveData[[#This Row],[Date]]</f>
        <v>20241803645766</v>
      </c>
      <c r="B1427" s="79">
        <v>202418036</v>
      </c>
      <c r="C1427" s="79" t="s">
        <v>232</v>
      </c>
      <c r="D1427" s="80">
        <v>45766</v>
      </c>
      <c r="E1427" s="79" t="s">
        <v>12</v>
      </c>
      <c r="F1427" s="79" t="s">
        <v>104</v>
      </c>
      <c r="G1427" s="79"/>
      <c r="H1427" s="79" t="s">
        <v>140</v>
      </c>
    </row>
    <row r="1428" spans="1:8">
      <c r="A1428" s="79" t="str">
        <f>LeaveData[[#This Row],[ EMP ID]]&amp;LeaveData[[#This Row],[Date]]</f>
        <v>20221801245768</v>
      </c>
      <c r="B1428" s="79">
        <v>202218012</v>
      </c>
      <c r="C1428" s="79" t="s">
        <v>29</v>
      </c>
      <c r="D1428" s="80">
        <v>45768</v>
      </c>
      <c r="E1428" s="79" t="s">
        <v>13</v>
      </c>
      <c r="F1428" s="79" t="s">
        <v>118</v>
      </c>
      <c r="G1428" s="79"/>
      <c r="H1428" s="79" t="s">
        <v>181</v>
      </c>
    </row>
    <row r="1429" spans="1:8">
      <c r="A1429" s="79" t="str">
        <f>LeaveData[[#This Row],[ EMP ID]]&amp;LeaveData[[#This Row],[Date]]</f>
        <v>20241804145404</v>
      </c>
      <c r="B1429" s="79">
        <v>202418041</v>
      </c>
      <c r="C1429" s="79" t="s">
        <v>376</v>
      </c>
      <c r="D1429" s="80">
        <v>45404</v>
      </c>
      <c r="E1429" s="79" t="s">
        <v>15</v>
      </c>
      <c r="F1429" s="79" t="s">
        <v>104</v>
      </c>
      <c r="G1429" s="79"/>
      <c r="H1429" s="79" t="s">
        <v>140</v>
      </c>
    </row>
    <row r="1430" spans="1:8">
      <c r="A1430" s="79" t="str">
        <f>LeaveData[[#This Row],[ EMP ID]]&amp;LeaveData[[#This Row],[Date]]</f>
        <v>20241804145405</v>
      </c>
      <c r="B1430" s="79">
        <v>202418041</v>
      </c>
      <c r="C1430" s="79" t="s">
        <v>376</v>
      </c>
      <c r="D1430" s="80">
        <v>45405</v>
      </c>
      <c r="E1430" s="79" t="s">
        <v>12</v>
      </c>
      <c r="F1430" s="79" t="s">
        <v>104</v>
      </c>
      <c r="G1430" s="79"/>
      <c r="H1430" s="79" t="s">
        <v>140</v>
      </c>
    </row>
    <row r="1431" spans="1:8">
      <c r="A1431" s="79" t="str">
        <f>LeaveData[[#This Row],[ EMP ID]]&amp;LeaveData[[#This Row],[Date]]</f>
        <v>20242001545406</v>
      </c>
      <c r="B1431" s="79">
        <v>202420015</v>
      </c>
      <c r="C1431" s="79" t="s">
        <v>64</v>
      </c>
      <c r="D1431" s="80">
        <v>45406</v>
      </c>
      <c r="E1431" s="79" t="s">
        <v>13</v>
      </c>
      <c r="F1431" s="79" t="s">
        <v>104</v>
      </c>
      <c r="G1431" s="79"/>
      <c r="H1431" s="79" t="s">
        <v>362</v>
      </c>
    </row>
    <row r="1432" spans="1:8">
      <c r="A1432" s="79" t="str">
        <f>LeaveData[[#This Row],[ EMP ID]]&amp;LeaveData[[#This Row],[Date]]</f>
        <v>20182000145406</v>
      </c>
      <c r="B1432" s="79">
        <v>201820001</v>
      </c>
      <c r="C1432" s="79" t="s">
        <v>18</v>
      </c>
      <c r="D1432" s="80">
        <v>45406</v>
      </c>
      <c r="E1432" s="79" t="s">
        <v>13</v>
      </c>
      <c r="F1432" s="79" t="s">
        <v>118</v>
      </c>
      <c r="G1432" s="79"/>
      <c r="H1432" s="79" t="s">
        <v>116</v>
      </c>
    </row>
    <row r="1433" spans="1:8">
      <c r="A1433" s="79" t="str">
        <f>LeaveData[[#This Row],[ EMP ID]]&amp;LeaveData[[#This Row],[Date]]</f>
        <v>20242100245406</v>
      </c>
      <c r="B1433" s="118">
        <v>202421002</v>
      </c>
      <c r="C1433" s="119" t="s">
        <v>223</v>
      </c>
      <c r="D1433" s="80">
        <v>45406</v>
      </c>
      <c r="E1433" s="79" t="s">
        <v>16</v>
      </c>
      <c r="F1433" s="79" t="s">
        <v>206</v>
      </c>
      <c r="G1433" s="79"/>
      <c r="H1433" s="79" t="s">
        <v>140</v>
      </c>
    </row>
    <row r="1434" spans="1:8">
      <c r="A1434" s="79" t="str">
        <f>LeaveData[[#This Row],[ EMP ID]]&amp;LeaveData[[#This Row],[Date]]</f>
        <v>20241803545773</v>
      </c>
      <c r="B1434" s="79">
        <v>202418035</v>
      </c>
      <c r="C1434" s="79" t="s">
        <v>96</v>
      </c>
      <c r="D1434" s="80">
        <v>45773</v>
      </c>
      <c r="E1434" s="79" t="s">
        <v>13</v>
      </c>
      <c r="F1434" s="79" t="s">
        <v>118</v>
      </c>
      <c r="G1434" s="79"/>
      <c r="H1434" s="79" t="s">
        <v>1350</v>
      </c>
    </row>
    <row r="1435" spans="1:8">
      <c r="A1435" s="79" t="str">
        <f>LeaveData[[#This Row],[ EMP ID]]&amp;LeaveData[[#This Row],[Date]]</f>
        <v>20241803545775</v>
      </c>
      <c r="B1435" s="79">
        <v>202418035</v>
      </c>
      <c r="C1435" s="79" t="s">
        <v>96</v>
      </c>
      <c r="D1435" s="80">
        <v>45775</v>
      </c>
      <c r="E1435" s="79" t="s">
        <v>13</v>
      </c>
      <c r="F1435" s="79" t="s">
        <v>118</v>
      </c>
      <c r="G1435" s="79"/>
      <c r="H1435" s="79" t="s">
        <v>1350</v>
      </c>
    </row>
    <row r="1436" spans="1:8">
      <c r="A1436" s="79" t="str">
        <f>LeaveData[[#This Row],[ EMP ID]]&amp;LeaveData[[#This Row],[Date]]</f>
        <v>20242101045771</v>
      </c>
      <c r="B1436" s="79">
        <v>202421010</v>
      </c>
      <c r="C1436" s="79" t="s">
        <v>288</v>
      </c>
      <c r="D1436" s="80">
        <v>45771</v>
      </c>
      <c r="E1436" s="79" t="s">
        <v>14</v>
      </c>
      <c r="F1436" s="79" t="s">
        <v>206</v>
      </c>
      <c r="G1436" s="79"/>
      <c r="H1436" s="79" t="s">
        <v>1351</v>
      </c>
    </row>
    <row r="1437" spans="1:8">
      <c r="A1437" s="79" t="str">
        <f>LeaveData[[#This Row],[ EMP ID]]&amp;LeaveData[[#This Row],[Date]]</f>
        <v>20231801745770</v>
      </c>
      <c r="B1437" s="79">
        <v>202318017</v>
      </c>
      <c r="C1437" s="79" t="s">
        <v>37</v>
      </c>
      <c r="D1437" s="80">
        <v>45770</v>
      </c>
      <c r="E1437" s="79" t="s">
        <v>16</v>
      </c>
      <c r="F1437" s="79" t="s">
        <v>118</v>
      </c>
      <c r="G1437" s="79"/>
      <c r="H1437" s="79" t="s">
        <v>452</v>
      </c>
    </row>
    <row r="1438" spans="1:8">
      <c r="A1438" s="79" t="str">
        <f>LeaveData[[#This Row],[ EMP ID]]&amp;LeaveData[[#This Row],[Date]]</f>
        <v>20251804545772</v>
      </c>
      <c r="B1438" s="79">
        <v>202518045</v>
      </c>
      <c r="C1438" s="79" t="s">
        <v>87</v>
      </c>
      <c r="D1438" s="80">
        <v>45772</v>
      </c>
      <c r="E1438" s="79" t="s">
        <v>12</v>
      </c>
      <c r="F1438" s="79" t="s">
        <v>104</v>
      </c>
      <c r="G1438" s="79"/>
      <c r="H1438" s="79" t="s">
        <v>140</v>
      </c>
    </row>
    <row r="1439" spans="1:8">
      <c r="A1439" s="79" t="str">
        <f>LeaveData[[#This Row],[ EMP ID]]&amp;LeaveData[[#This Row],[Date]]</f>
        <v>20242100345773</v>
      </c>
      <c r="B1439" s="79">
        <v>202421003</v>
      </c>
      <c r="C1439" s="79" t="s">
        <v>205</v>
      </c>
      <c r="D1439" s="80">
        <v>45773</v>
      </c>
      <c r="E1439" s="79" t="s">
        <v>14</v>
      </c>
      <c r="F1439" s="79" t="s">
        <v>206</v>
      </c>
      <c r="G1439" s="79"/>
      <c r="H1439" s="79" t="s">
        <v>1351</v>
      </c>
    </row>
    <row r="1440" spans="1:8">
      <c r="A1440" s="79" t="str">
        <f>LeaveData[[#This Row],[ EMP ID]]&amp;LeaveData[[#This Row],[Date]]</f>
        <v>20241803845773</v>
      </c>
      <c r="B1440" s="79">
        <v>202418038</v>
      </c>
      <c r="C1440" s="79" t="s">
        <v>246</v>
      </c>
      <c r="D1440" s="80">
        <v>45773</v>
      </c>
      <c r="E1440" s="79" t="s">
        <v>13</v>
      </c>
      <c r="F1440" s="79" t="s">
        <v>125</v>
      </c>
      <c r="G1440" s="79"/>
      <c r="H1440" s="79" t="s">
        <v>1352</v>
      </c>
    </row>
    <row r="1441" spans="1:8">
      <c r="A1441" s="79" t="str">
        <f>LeaveData[[#This Row],[ EMP ID]]&amp;LeaveData[[#This Row],[Date]]</f>
        <v>20252101445773</v>
      </c>
      <c r="B1441" s="79">
        <v>202521014</v>
      </c>
      <c r="C1441" s="79" t="s">
        <v>441</v>
      </c>
      <c r="D1441" s="80">
        <v>45773</v>
      </c>
      <c r="E1441" s="79" t="s">
        <v>12</v>
      </c>
      <c r="F1441" s="79" t="s">
        <v>206</v>
      </c>
      <c r="G1441" s="79"/>
      <c r="H1441" s="79" t="s">
        <v>140</v>
      </c>
    </row>
    <row r="1442" spans="1:8">
      <c r="A1442" s="79" t="str">
        <f>LeaveData[[#This Row],[ EMP ID]]&amp;LeaveData[[#This Row],[Date]]</f>
        <v>20251804345773</v>
      </c>
      <c r="B1442" s="79">
        <v>202518043</v>
      </c>
      <c r="C1442" s="79" t="s">
        <v>403</v>
      </c>
      <c r="D1442" s="80">
        <v>45773</v>
      </c>
      <c r="E1442" s="79" t="s">
        <v>12</v>
      </c>
      <c r="F1442" s="79" t="s">
        <v>43</v>
      </c>
      <c r="G1442" s="79"/>
      <c r="H1442" s="79" t="s">
        <v>140</v>
      </c>
    </row>
    <row r="1443" spans="1:8">
      <c r="A1443" s="79" t="str">
        <f>LeaveData[[#This Row],[ EMP ID]]&amp;LeaveData[[#This Row],[Date]]</f>
        <v>20221801045773</v>
      </c>
      <c r="B1443" s="79">
        <v>202218010</v>
      </c>
      <c r="C1443" s="79" t="s">
        <v>27</v>
      </c>
      <c r="D1443" s="80">
        <v>45773</v>
      </c>
      <c r="E1443" s="79" t="s">
        <v>12</v>
      </c>
      <c r="F1443" s="79" t="s">
        <v>118</v>
      </c>
      <c r="G1443" s="79"/>
      <c r="H1443" s="79" t="s">
        <v>140</v>
      </c>
    </row>
    <row r="1444" spans="1:8">
      <c r="A1444" s="79" t="str">
        <f>LeaveData[[#This Row],[ EMP ID]]&amp;LeaveData[[#This Row],[Date]]</f>
        <v>20251804445773</v>
      </c>
      <c r="B1444" s="79">
        <v>202518044</v>
      </c>
      <c r="C1444" s="79" t="s">
        <v>433</v>
      </c>
      <c r="D1444" s="80">
        <v>45773</v>
      </c>
      <c r="E1444" s="79" t="s">
        <v>12</v>
      </c>
      <c r="F1444" s="79" t="s">
        <v>125</v>
      </c>
      <c r="G1444" s="79"/>
      <c r="H1444" s="79" t="s">
        <v>140</v>
      </c>
    </row>
    <row r="1445" spans="1:8">
      <c r="A1445" s="79" t="str">
        <f>LeaveData[[#This Row],[ EMP ID]]&amp;LeaveData[[#This Row],[Date]]</f>
        <v>20231802545777</v>
      </c>
      <c r="B1445" s="79">
        <v>202318025</v>
      </c>
      <c r="C1445" s="79" t="s">
        <v>122</v>
      </c>
      <c r="D1445" s="80">
        <v>45777</v>
      </c>
      <c r="E1445" s="79" t="s">
        <v>14</v>
      </c>
      <c r="F1445" s="79" t="s">
        <v>125</v>
      </c>
      <c r="G1445" s="79"/>
      <c r="H1445" s="79" t="s">
        <v>116</v>
      </c>
    </row>
    <row r="1446" spans="1:8">
      <c r="A1446" s="79" t="str">
        <f>LeaveData[[#This Row],[ EMP ID]]&amp;LeaveData[[#This Row],[Date]]</f>
        <v>20242001545772</v>
      </c>
      <c r="B1446" s="79">
        <v>202420015</v>
      </c>
      <c r="C1446" s="79" t="s">
        <v>64</v>
      </c>
      <c r="D1446" s="80">
        <v>45772</v>
      </c>
      <c r="E1446" s="79" t="s">
        <v>13</v>
      </c>
      <c r="F1446" s="79" t="s">
        <v>125</v>
      </c>
      <c r="G1446" s="79"/>
      <c r="H1446" s="79" t="s">
        <v>362</v>
      </c>
    </row>
    <row r="1447" spans="1:8">
      <c r="A1447" s="79" t="str">
        <f>LeaveData[[#This Row],[ EMP ID]]&amp;LeaveData[[#This Row],[Date]]</f>
        <v>20242001545773</v>
      </c>
      <c r="B1447" s="79">
        <v>202420015</v>
      </c>
      <c r="C1447" s="79" t="s">
        <v>64</v>
      </c>
      <c r="D1447" s="80">
        <v>45773</v>
      </c>
      <c r="E1447" s="79" t="s">
        <v>13</v>
      </c>
      <c r="F1447" s="79" t="s">
        <v>125</v>
      </c>
      <c r="G1447" s="79"/>
      <c r="H1447" s="79" t="s">
        <v>362</v>
      </c>
    </row>
    <row r="1448" spans="1:8">
      <c r="A1448" s="79" t="str">
        <f>LeaveData[[#This Row],[ EMP ID]]&amp;LeaveData[[#This Row],[Date]]</f>
        <v>20211800745782</v>
      </c>
      <c r="B1448" s="79">
        <v>202118007</v>
      </c>
      <c r="C1448" s="79" t="s">
        <v>103</v>
      </c>
      <c r="D1448" s="80">
        <v>45782</v>
      </c>
      <c r="E1448" s="79" t="s">
        <v>13</v>
      </c>
      <c r="F1448" s="79" t="s">
        <v>104</v>
      </c>
      <c r="G1448" s="79"/>
      <c r="H1448" s="79" t="s">
        <v>1353</v>
      </c>
    </row>
    <row r="1449" spans="1:8">
      <c r="A1449" s="79" t="str">
        <f>LeaveData[[#This Row],[ EMP ID]]&amp;LeaveData[[#This Row],[Date]]</f>
        <v>20211800745783</v>
      </c>
      <c r="B1449" s="79">
        <v>202118007</v>
      </c>
      <c r="C1449" s="79" t="s">
        <v>103</v>
      </c>
      <c r="D1449" s="80">
        <v>45783</v>
      </c>
      <c r="E1449" s="79" t="s">
        <v>13</v>
      </c>
      <c r="F1449" s="79" t="s">
        <v>104</v>
      </c>
      <c r="G1449" s="79"/>
      <c r="H1449" s="79" t="s">
        <v>1353</v>
      </c>
    </row>
    <row r="1450" spans="1:8">
      <c r="A1450" s="79" t="str">
        <f>LeaveData[[#This Row],[ EMP ID]]&amp;LeaveData[[#This Row],[Date]]</f>
        <v>20211800745776</v>
      </c>
      <c r="B1450" s="79">
        <v>202118007</v>
      </c>
      <c r="C1450" s="79" t="s">
        <v>103</v>
      </c>
      <c r="D1450" s="80">
        <v>45776</v>
      </c>
      <c r="E1450" s="79" t="s">
        <v>14</v>
      </c>
      <c r="F1450" s="79" t="s">
        <v>104</v>
      </c>
      <c r="G1450" s="79"/>
      <c r="H1450" s="79" t="s">
        <v>168</v>
      </c>
    </row>
    <row r="1451" spans="1:8">
      <c r="A1451" s="79" t="str">
        <f>LeaveData[[#This Row],[ EMP ID]]&amp;LeaveData[[#This Row],[Date]]</f>
        <v>20221800945776</v>
      </c>
      <c r="B1451" s="79">
        <v>202218009</v>
      </c>
      <c r="C1451" s="79" t="s">
        <v>26</v>
      </c>
      <c r="D1451" s="80">
        <v>45776</v>
      </c>
      <c r="E1451" s="79" t="s">
        <v>13</v>
      </c>
      <c r="F1451" s="79" t="s">
        <v>128</v>
      </c>
      <c r="G1451" s="79"/>
      <c r="H1451" s="79" t="s">
        <v>168</v>
      </c>
    </row>
    <row r="1452" spans="1:8">
      <c r="A1452" s="79" t="str">
        <f>LeaveData[[#This Row],[ EMP ID]]&amp;LeaveData[[#This Row],[Date]]</f>
        <v>20242100345777</v>
      </c>
      <c r="B1452" s="79">
        <v>202421003</v>
      </c>
      <c r="C1452" s="79" t="s">
        <v>205</v>
      </c>
      <c r="D1452" s="80">
        <v>45777</v>
      </c>
      <c r="E1452" s="79" t="s">
        <v>15</v>
      </c>
      <c r="F1452" s="79" t="s">
        <v>206</v>
      </c>
      <c r="G1452" s="79"/>
      <c r="H1452" s="79" t="s">
        <v>1354</v>
      </c>
    </row>
    <row r="1453" spans="1:8">
      <c r="A1453" s="79" t="str">
        <f>LeaveData[[#This Row],[ EMP ID]]&amp;LeaveData[[#This Row],[Date]]</f>
        <v>20242101045777</v>
      </c>
      <c r="B1453" s="79">
        <v>202421010</v>
      </c>
      <c r="C1453" s="79" t="s">
        <v>288</v>
      </c>
      <c r="D1453" s="80">
        <v>45777</v>
      </c>
      <c r="E1453" s="79" t="s">
        <v>15</v>
      </c>
      <c r="F1453" s="79" t="s">
        <v>206</v>
      </c>
      <c r="G1453" s="79"/>
      <c r="H1453" s="79" t="s">
        <v>1351</v>
      </c>
    </row>
    <row r="1454" spans="1:8">
      <c r="A1454" s="79" t="str">
        <f>LeaveData[[#This Row],[ EMP ID]]&amp;LeaveData[[#This Row],[Date]]</f>
        <v>20231802345785</v>
      </c>
      <c r="B1454" s="79">
        <v>202318023</v>
      </c>
      <c r="C1454" s="79" t="s">
        <v>148</v>
      </c>
      <c r="D1454" s="80">
        <v>45785</v>
      </c>
      <c r="E1454" s="79" t="s">
        <v>13</v>
      </c>
      <c r="F1454" s="79" t="s">
        <v>128</v>
      </c>
      <c r="G1454" s="79"/>
      <c r="H1454" s="79" t="s">
        <v>1355</v>
      </c>
    </row>
    <row r="1455" spans="1:8">
      <c r="A1455" s="79" t="str">
        <f>LeaveData[[#This Row],[ EMP ID]]&amp;LeaveData[[#This Row],[Date]]</f>
        <v>20231802345786</v>
      </c>
      <c r="B1455" s="79">
        <v>202318023</v>
      </c>
      <c r="C1455" s="79" t="s">
        <v>148</v>
      </c>
      <c r="D1455" s="80">
        <v>45786</v>
      </c>
      <c r="E1455" s="79" t="s">
        <v>14</v>
      </c>
      <c r="F1455" s="79" t="s">
        <v>128</v>
      </c>
      <c r="G1455" s="79"/>
      <c r="H1455" s="79" t="s">
        <v>1355</v>
      </c>
    </row>
    <row r="1456" spans="1:8">
      <c r="A1456" s="79" t="str">
        <f>LeaveData[[#This Row],[ EMP ID]]&amp;LeaveData[[#This Row],[Date]]</f>
        <v>20231802345779</v>
      </c>
      <c r="B1456" s="79">
        <v>202318023</v>
      </c>
      <c r="C1456" s="79" t="s">
        <v>148</v>
      </c>
      <c r="D1456" s="80">
        <v>45779</v>
      </c>
      <c r="E1456" s="79" t="s">
        <v>12</v>
      </c>
      <c r="F1456" s="79" t="s">
        <v>128</v>
      </c>
      <c r="G1456" s="79"/>
      <c r="H1456" s="79" t="s">
        <v>1356</v>
      </c>
    </row>
    <row r="1457" spans="1:8">
      <c r="A1457" s="79" t="str">
        <f>LeaveData[[#This Row],[ EMP ID]]&amp;LeaveData[[#This Row],[Date]]</f>
        <v>20231801945768</v>
      </c>
      <c r="B1457" s="79">
        <v>202318019</v>
      </c>
      <c r="C1457" s="79" t="s">
        <v>89</v>
      </c>
      <c r="D1457" s="80">
        <v>45768</v>
      </c>
      <c r="E1457" s="79" t="s">
        <v>13</v>
      </c>
      <c r="F1457" s="79" t="s">
        <v>45</v>
      </c>
      <c r="G1457" s="79"/>
      <c r="H1457" s="79" t="s">
        <v>449</v>
      </c>
    </row>
    <row r="1458" spans="1:8">
      <c r="A1458" s="79" t="str">
        <f>LeaveData[[#This Row],[ EMP ID]]&amp;LeaveData[[#This Row],[Date]]</f>
        <v>20231801945769</v>
      </c>
      <c r="B1458" s="79">
        <v>202318019</v>
      </c>
      <c r="C1458" s="79" t="s">
        <v>89</v>
      </c>
      <c r="D1458" s="80">
        <v>45769</v>
      </c>
      <c r="E1458" s="79" t="s">
        <v>16</v>
      </c>
      <c r="F1458" s="79" t="s">
        <v>45</v>
      </c>
      <c r="G1458" s="79"/>
      <c r="H1458" s="79" t="s">
        <v>449</v>
      </c>
    </row>
    <row r="1459" spans="1:8">
      <c r="A1459" s="79" t="str">
        <f>LeaveData[[#This Row],[ EMP ID]]&amp;LeaveData[[#This Row],[Date]]</f>
        <v>20231801945770</v>
      </c>
      <c r="B1459" s="79">
        <v>202318019</v>
      </c>
      <c r="C1459" s="79" t="s">
        <v>89</v>
      </c>
      <c r="D1459" s="80">
        <v>45770</v>
      </c>
      <c r="E1459" s="79" t="s">
        <v>16</v>
      </c>
      <c r="F1459" s="79" t="s">
        <v>45</v>
      </c>
      <c r="G1459" s="79"/>
      <c r="H1459" s="79" t="s">
        <v>449</v>
      </c>
    </row>
    <row r="1460" spans="1:8">
      <c r="A1460" s="79" t="str">
        <f>LeaveData[[#This Row],[ EMP ID]]&amp;LeaveData[[#This Row],[Date]]</f>
        <v>20231801945771</v>
      </c>
      <c r="B1460" s="79">
        <v>202318019</v>
      </c>
      <c r="C1460" s="79" t="s">
        <v>89</v>
      </c>
      <c r="D1460" s="80">
        <v>45771</v>
      </c>
      <c r="E1460" s="79" t="s">
        <v>16</v>
      </c>
      <c r="F1460" s="79" t="s">
        <v>45</v>
      </c>
      <c r="G1460" s="79"/>
      <c r="H1460" s="79" t="s">
        <v>449</v>
      </c>
    </row>
    <row r="1461" spans="1:8">
      <c r="A1461" s="79" t="str">
        <f>LeaveData[[#This Row],[ EMP ID]]&amp;LeaveData[[#This Row],[Date]]</f>
        <v>20232000745784</v>
      </c>
      <c r="B1461" s="79">
        <v>202320007</v>
      </c>
      <c r="C1461" s="79" t="s">
        <v>183</v>
      </c>
      <c r="D1461" s="80">
        <v>45784</v>
      </c>
      <c r="E1461" s="79" t="s">
        <v>13</v>
      </c>
      <c r="F1461" s="79" t="s">
        <v>235</v>
      </c>
      <c r="G1461" s="79"/>
      <c r="H1461" s="79" t="s">
        <v>105</v>
      </c>
    </row>
    <row r="1462" spans="1:8">
      <c r="A1462" s="79" t="str">
        <f>LeaveData[[#This Row],[ EMP ID]]&amp;LeaveData[[#This Row],[Date]]</f>
        <v>20232000745785</v>
      </c>
      <c r="B1462" s="79">
        <v>202320007</v>
      </c>
      <c r="C1462" s="79" t="s">
        <v>183</v>
      </c>
      <c r="D1462" s="80">
        <v>45785</v>
      </c>
      <c r="E1462" s="79" t="s">
        <v>13</v>
      </c>
      <c r="F1462" s="79" t="s">
        <v>235</v>
      </c>
      <c r="G1462" s="79"/>
      <c r="H1462" s="79" t="s">
        <v>105</v>
      </c>
    </row>
    <row r="1463" spans="1:8">
      <c r="A1463" s="79" t="str">
        <f>LeaveData[[#This Row],[ EMP ID]]&amp;LeaveData[[#This Row],[Date]]</f>
        <v>20232000745786</v>
      </c>
      <c r="B1463" s="79">
        <v>202320007</v>
      </c>
      <c r="C1463" s="79" t="s">
        <v>183</v>
      </c>
      <c r="D1463" s="80">
        <v>45786</v>
      </c>
      <c r="E1463" s="79" t="s">
        <v>13</v>
      </c>
      <c r="F1463" s="79" t="s">
        <v>235</v>
      </c>
      <c r="G1463" s="79"/>
      <c r="H1463" s="79" t="s">
        <v>105</v>
      </c>
    </row>
    <row r="1464" spans="1:8">
      <c r="A1464" s="79" t="str">
        <f>LeaveData[[#This Row],[ EMP ID]]&amp;LeaveData[[#This Row],[Date]]</f>
        <v>20242100145779</v>
      </c>
      <c r="B1464" s="79">
        <v>202421001</v>
      </c>
      <c r="C1464" s="79" t="s">
        <v>221</v>
      </c>
      <c r="D1464" s="80">
        <v>45779</v>
      </c>
      <c r="E1464" s="79" t="s">
        <v>16</v>
      </c>
      <c r="F1464" s="79" t="s">
        <v>206</v>
      </c>
      <c r="G1464" s="79"/>
      <c r="H1464" s="79" t="s">
        <v>416</v>
      </c>
    </row>
    <row r="1465" spans="1:8">
      <c r="A1465" s="79" t="str">
        <f>LeaveData[[#This Row],[ EMP ID]]&amp;LeaveData[[#This Row],[Date]]</f>
        <v>20242001545775</v>
      </c>
      <c r="B1465" s="79">
        <v>202420015</v>
      </c>
      <c r="C1465" s="79" t="s">
        <v>64</v>
      </c>
      <c r="D1465" s="80">
        <v>45775</v>
      </c>
      <c r="E1465" s="79" t="s">
        <v>14</v>
      </c>
      <c r="F1465" s="79" t="s">
        <v>125</v>
      </c>
      <c r="G1465" s="79"/>
      <c r="H1465" s="79" t="s">
        <v>362</v>
      </c>
    </row>
    <row r="1466" spans="1:8">
      <c r="A1466" s="79" t="str">
        <f>LeaveData[[#This Row],[ EMP ID]]&amp;LeaveData[[#This Row],[Date]]</f>
        <v>20242001545776</v>
      </c>
      <c r="B1466" s="79">
        <v>202420015</v>
      </c>
      <c r="C1466" s="79" t="s">
        <v>64</v>
      </c>
      <c r="D1466" s="80">
        <v>45776</v>
      </c>
      <c r="E1466" s="79" t="s">
        <v>13</v>
      </c>
      <c r="F1466" s="79" t="s">
        <v>125</v>
      </c>
      <c r="G1466" s="79"/>
      <c r="H1466" s="79" t="s">
        <v>362</v>
      </c>
    </row>
    <row r="1467" spans="1:8">
      <c r="A1467" s="79" t="str">
        <f>LeaveData[[#This Row],[ EMP ID]]&amp;LeaveData[[#This Row],[Date]]</f>
        <v>20242001545778</v>
      </c>
      <c r="B1467" s="79">
        <v>202420015</v>
      </c>
      <c r="C1467" s="79" t="s">
        <v>64</v>
      </c>
      <c r="D1467" s="80">
        <v>45778</v>
      </c>
      <c r="E1467" s="79" t="s">
        <v>13</v>
      </c>
      <c r="F1467" s="79" t="s">
        <v>125</v>
      </c>
      <c r="G1467" s="79"/>
      <c r="H1467" s="79" t="s">
        <v>362</v>
      </c>
    </row>
    <row r="1468" spans="1:8">
      <c r="A1468" s="79" t="str">
        <f>LeaveData[[#This Row],[ EMP ID]]&amp;LeaveData[[#This Row],[Date]]</f>
        <v>20231801745775</v>
      </c>
      <c r="B1468" s="79">
        <v>202318017</v>
      </c>
      <c r="C1468" s="79" t="s">
        <v>37</v>
      </c>
      <c r="D1468" s="80">
        <v>45775</v>
      </c>
      <c r="E1468" s="79" t="s">
        <v>16</v>
      </c>
      <c r="F1468" s="79" t="s">
        <v>118</v>
      </c>
      <c r="G1468" s="79"/>
      <c r="H1468" s="79" t="s">
        <v>338</v>
      </c>
    </row>
    <row r="1469" spans="1:8">
      <c r="A1469" s="79" t="str">
        <f>LeaveData[[#This Row],[ EMP ID]]&amp;LeaveData[[#This Row],[Date]]</f>
        <v>20231801745776</v>
      </c>
      <c r="B1469" s="79">
        <v>202318017</v>
      </c>
      <c r="C1469" s="79" t="s">
        <v>37</v>
      </c>
      <c r="D1469" s="80">
        <v>45776</v>
      </c>
      <c r="E1469" s="79" t="s">
        <v>16</v>
      </c>
      <c r="F1469" s="79" t="s">
        <v>118</v>
      </c>
      <c r="G1469" s="79"/>
      <c r="H1469" s="79" t="s">
        <v>338</v>
      </c>
    </row>
    <row r="1470" spans="1:8">
      <c r="A1470" s="79" t="str">
        <f>LeaveData[[#This Row],[ EMP ID]]&amp;LeaveData[[#This Row],[Date]]</f>
        <v>20231801745777</v>
      </c>
      <c r="B1470" s="79">
        <v>202318017</v>
      </c>
      <c r="C1470" s="79" t="s">
        <v>37</v>
      </c>
      <c r="D1470" s="80">
        <v>45777</v>
      </c>
      <c r="E1470" s="79" t="s">
        <v>16</v>
      </c>
      <c r="F1470" s="79" t="s">
        <v>118</v>
      </c>
      <c r="G1470" s="79"/>
      <c r="H1470" s="79" t="s">
        <v>338</v>
      </c>
    </row>
    <row r="1471" spans="1:8">
      <c r="A1471" s="79" t="str">
        <f>LeaveData[[#This Row],[ EMP ID]]&amp;LeaveData[[#This Row],[Date]]</f>
        <v>20232001445768</v>
      </c>
      <c r="B1471" s="79">
        <v>202320014</v>
      </c>
      <c r="C1471" s="79" t="s">
        <v>94</v>
      </c>
      <c r="D1471" s="80">
        <v>45768</v>
      </c>
      <c r="E1471" s="79" t="s">
        <v>184</v>
      </c>
      <c r="F1471" s="79" t="s">
        <v>118</v>
      </c>
      <c r="G1471" s="79"/>
      <c r="H1471" s="79" t="s">
        <v>1358</v>
      </c>
    </row>
    <row r="1472" spans="1:8">
      <c r="A1472" s="79" t="str">
        <f>LeaveData[[#This Row],[ EMP ID]]&amp;LeaveData[[#This Row],[Date]]</f>
        <v>20232001445769</v>
      </c>
      <c r="B1472" s="79">
        <v>202320014</v>
      </c>
      <c r="C1472" s="79" t="s">
        <v>94</v>
      </c>
      <c r="D1472" s="80">
        <v>45769</v>
      </c>
      <c r="E1472" s="79" t="s">
        <v>184</v>
      </c>
      <c r="F1472" s="79" t="s">
        <v>118</v>
      </c>
      <c r="G1472" s="79"/>
      <c r="H1472" s="79" t="s">
        <v>1358</v>
      </c>
    </row>
    <row r="1473" spans="1:8">
      <c r="A1473" s="79" t="str">
        <f>LeaveData[[#This Row],[ EMP ID]]&amp;LeaveData[[#This Row],[Date]]</f>
        <v>20232001445770</v>
      </c>
      <c r="B1473" s="79">
        <v>202320014</v>
      </c>
      <c r="C1473" s="79" t="s">
        <v>94</v>
      </c>
      <c r="D1473" s="80">
        <v>45770</v>
      </c>
      <c r="E1473" s="79" t="s">
        <v>184</v>
      </c>
      <c r="F1473" s="79" t="s">
        <v>118</v>
      </c>
      <c r="G1473" s="79"/>
      <c r="H1473" s="79" t="s">
        <v>1358</v>
      </c>
    </row>
    <row r="1474" spans="1:8">
      <c r="A1474" s="79" t="str">
        <f>LeaveData[[#This Row],[ EMP ID]]&amp;LeaveData[[#This Row],[Date]]</f>
        <v>20232001445771</v>
      </c>
      <c r="B1474" s="79">
        <v>202320014</v>
      </c>
      <c r="C1474" s="79" t="s">
        <v>94</v>
      </c>
      <c r="D1474" s="80">
        <v>45771</v>
      </c>
      <c r="E1474" s="79" t="s">
        <v>184</v>
      </c>
      <c r="F1474" s="79" t="s">
        <v>118</v>
      </c>
      <c r="G1474" s="79"/>
      <c r="H1474" s="79" t="s">
        <v>1358</v>
      </c>
    </row>
    <row r="1475" spans="1:8">
      <c r="A1475" s="79" t="str">
        <f>LeaveData[[#This Row],[ EMP ID]]&amp;LeaveData[[#This Row],[Date]]</f>
        <v>20232001445772</v>
      </c>
      <c r="B1475" s="79">
        <v>202320014</v>
      </c>
      <c r="C1475" s="79" t="s">
        <v>94</v>
      </c>
      <c r="D1475" s="80">
        <v>45772</v>
      </c>
      <c r="E1475" s="79" t="s">
        <v>184</v>
      </c>
      <c r="F1475" s="79" t="s">
        <v>118</v>
      </c>
      <c r="G1475" s="79"/>
      <c r="H1475" s="79" t="s">
        <v>1358</v>
      </c>
    </row>
    <row r="1476" spans="1:8">
      <c r="A1476" s="79" t="str">
        <f>LeaveData[[#This Row],[ EMP ID]]&amp;LeaveData[[#This Row],[Date]]</f>
        <v>20232001445773</v>
      </c>
      <c r="B1476" s="79">
        <v>202320014</v>
      </c>
      <c r="C1476" s="79" t="s">
        <v>94</v>
      </c>
      <c r="D1476" s="80">
        <v>45773</v>
      </c>
      <c r="E1476" s="79" t="s">
        <v>184</v>
      </c>
      <c r="F1476" s="79" t="s">
        <v>118</v>
      </c>
      <c r="G1476" s="79"/>
      <c r="H1476" s="79" t="s">
        <v>1358</v>
      </c>
    </row>
    <row r="1477" spans="1:8">
      <c r="A1477" s="79" t="str">
        <f>LeaveData[[#This Row],[ EMP ID]]&amp;LeaveData[[#This Row],[Date]]</f>
        <v>20232001445774</v>
      </c>
      <c r="B1477" s="79">
        <v>202320014</v>
      </c>
      <c r="C1477" s="79" t="s">
        <v>94</v>
      </c>
      <c r="D1477" s="80">
        <v>45774</v>
      </c>
      <c r="E1477" s="79" t="s">
        <v>184</v>
      </c>
      <c r="F1477" s="79" t="s">
        <v>118</v>
      </c>
      <c r="G1477" s="79"/>
      <c r="H1477" s="79" t="s">
        <v>1358</v>
      </c>
    </row>
    <row r="1478" spans="1:8">
      <c r="A1478" s="79" t="str">
        <f>LeaveData[[#This Row],[ EMP ID]]&amp;LeaveData[[#This Row],[Date]]</f>
        <v>20232001445775</v>
      </c>
      <c r="B1478" s="79">
        <v>202320014</v>
      </c>
      <c r="C1478" s="79" t="s">
        <v>94</v>
      </c>
      <c r="D1478" s="80">
        <v>45775</v>
      </c>
      <c r="E1478" s="79" t="s">
        <v>184</v>
      </c>
      <c r="F1478" s="79" t="s">
        <v>118</v>
      </c>
      <c r="G1478" s="79"/>
      <c r="H1478" s="79" t="s">
        <v>1358</v>
      </c>
    </row>
    <row r="1479" spans="1:8">
      <c r="A1479" s="79" t="str">
        <f>LeaveData[[#This Row],[ EMP ID]]&amp;LeaveData[[#This Row],[Date]]</f>
        <v>20232001445776</v>
      </c>
      <c r="B1479" s="79">
        <v>202320014</v>
      </c>
      <c r="C1479" s="79" t="s">
        <v>94</v>
      </c>
      <c r="D1479" s="80">
        <v>45776</v>
      </c>
      <c r="E1479" s="79" t="s">
        <v>184</v>
      </c>
      <c r="F1479" s="79" t="s">
        <v>118</v>
      </c>
      <c r="G1479" s="79"/>
      <c r="H1479" s="79" t="s">
        <v>1358</v>
      </c>
    </row>
    <row r="1480" spans="1:8">
      <c r="A1480" s="79" t="str">
        <f>LeaveData[[#This Row],[ EMP ID]]&amp;LeaveData[[#This Row],[Date]]</f>
        <v>20232001445777</v>
      </c>
      <c r="B1480" s="79">
        <v>202320014</v>
      </c>
      <c r="C1480" s="79" t="s">
        <v>94</v>
      </c>
      <c r="D1480" s="80">
        <v>45777</v>
      </c>
      <c r="E1480" s="79" t="s">
        <v>184</v>
      </c>
      <c r="F1480" s="79" t="s">
        <v>118</v>
      </c>
      <c r="G1480" s="79"/>
      <c r="H1480" s="79" t="s">
        <v>1358</v>
      </c>
    </row>
    <row r="1481" spans="1:8">
      <c r="A1481" s="79" t="str">
        <f>LeaveData[[#This Row],[ EMP ID]]&amp;LeaveData[[#This Row],[Date]]</f>
        <v>20242101045748</v>
      </c>
      <c r="B1481" s="79">
        <v>202421010</v>
      </c>
      <c r="C1481" s="79" t="s">
        <v>288</v>
      </c>
      <c r="D1481" s="80">
        <v>45748</v>
      </c>
      <c r="E1481" s="79" t="s">
        <v>406</v>
      </c>
      <c r="F1481" s="79" t="s">
        <v>118</v>
      </c>
      <c r="G1481" s="79"/>
      <c r="H1481" s="79" t="s">
        <v>1359</v>
      </c>
    </row>
    <row r="1482" spans="1:8">
      <c r="A1482" s="79" t="str">
        <f>LeaveData[[#This Row],[ EMP ID]]&amp;LeaveData[[#This Row],[Date]]</f>
        <v>20242101045749</v>
      </c>
      <c r="B1482" s="79">
        <v>202421010</v>
      </c>
      <c r="C1482" s="79" t="s">
        <v>288</v>
      </c>
      <c r="D1482" s="80">
        <v>45749</v>
      </c>
      <c r="E1482" s="79" t="s">
        <v>406</v>
      </c>
      <c r="F1482" s="79" t="s">
        <v>118</v>
      </c>
      <c r="G1482" s="79"/>
      <c r="H1482" s="79" t="s">
        <v>1359</v>
      </c>
    </row>
    <row r="1483" spans="1:8">
      <c r="A1483" s="79" t="str">
        <f>LeaveData[[#This Row],[ EMP ID]]&amp;LeaveData[[#This Row],[Date]]</f>
        <v>20242101045750</v>
      </c>
      <c r="B1483" s="79">
        <v>202421010</v>
      </c>
      <c r="C1483" s="79" t="s">
        <v>288</v>
      </c>
      <c r="D1483" s="80">
        <v>45750</v>
      </c>
      <c r="E1483" s="79" t="s">
        <v>406</v>
      </c>
      <c r="F1483" s="79" t="s">
        <v>118</v>
      </c>
      <c r="G1483" s="79"/>
      <c r="H1483" s="79" t="s">
        <v>1359</v>
      </c>
    </row>
    <row r="1484" spans="1:8">
      <c r="A1484" s="79" t="str">
        <f>LeaveData[[#This Row],[ EMP ID]]&amp;LeaveData[[#This Row],[Date]]</f>
        <v>20242101045751</v>
      </c>
      <c r="B1484" s="79">
        <v>202421010</v>
      </c>
      <c r="C1484" s="79" t="s">
        <v>288</v>
      </c>
      <c r="D1484" s="80">
        <v>45751</v>
      </c>
      <c r="E1484" s="79" t="s">
        <v>406</v>
      </c>
      <c r="F1484" s="79" t="s">
        <v>118</v>
      </c>
      <c r="G1484" s="79"/>
      <c r="H1484" s="79" t="s">
        <v>1359</v>
      </c>
    </row>
    <row r="1485" spans="1:8">
      <c r="A1485" s="79" t="str">
        <f>LeaveData[[#This Row],[ EMP ID]]&amp;LeaveData[[#This Row],[Date]]</f>
        <v>20242101045752</v>
      </c>
      <c r="B1485" s="79">
        <v>202421010</v>
      </c>
      <c r="C1485" s="79" t="s">
        <v>288</v>
      </c>
      <c r="D1485" s="80">
        <v>45752</v>
      </c>
      <c r="E1485" s="79" t="s">
        <v>406</v>
      </c>
      <c r="F1485" s="79" t="s">
        <v>118</v>
      </c>
      <c r="G1485" s="79"/>
      <c r="H1485" s="79" t="s">
        <v>1359</v>
      </c>
    </row>
    <row r="1486" spans="1:8">
      <c r="A1486" s="79" t="str">
        <f>LeaveData[[#This Row],[ EMP ID]]&amp;LeaveData[[#This Row],[Date]]</f>
        <v>20242101045753</v>
      </c>
      <c r="B1486" s="79">
        <v>202421010</v>
      </c>
      <c r="C1486" s="79" t="s">
        <v>288</v>
      </c>
      <c r="D1486" s="80">
        <v>45753</v>
      </c>
      <c r="E1486" s="79" t="s">
        <v>406</v>
      </c>
      <c r="F1486" s="79" t="s">
        <v>118</v>
      </c>
      <c r="G1486" s="79"/>
      <c r="H1486" s="79" t="s">
        <v>1359</v>
      </c>
    </row>
    <row r="1487" spans="1:8">
      <c r="A1487" s="79" t="str">
        <f>LeaveData[[#This Row],[ EMP ID]]&amp;LeaveData[[#This Row],[Date]]</f>
        <v>20242101045754</v>
      </c>
      <c r="B1487" s="79">
        <v>202421010</v>
      </c>
      <c r="C1487" s="79" t="s">
        <v>288</v>
      </c>
      <c r="D1487" s="80">
        <v>45754</v>
      </c>
      <c r="E1487" s="79" t="s">
        <v>406</v>
      </c>
      <c r="F1487" s="79" t="s">
        <v>118</v>
      </c>
      <c r="G1487" s="79"/>
      <c r="H1487" s="79" t="s">
        <v>1359</v>
      </c>
    </row>
    <row r="1488" spans="1:8">
      <c r="A1488" s="79" t="str">
        <f>LeaveData[[#This Row],[ EMP ID]]&amp;LeaveData[[#This Row],[Date]]</f>
        <v>20242100345748</v>
      </c>
      <c r="B1488" s="79">
        <v>202421003</v>
      </c>
      <c r="C1488" s="79" t="s">
        <v>205</v>
      </c>
      <c r="D1488" s="80">
        <v>45748</v>
      </c>
      <c r="E1488" s="79" t="s">
        <v>406</v>
      </c>
      <c r="F1488" s="79" t="s">
        <v>118</v>
      </c>
      <c r="G1488" s="79"/>
      <c r="H1488" s="79" t="s">
        <v>1359</v>
      </c>
    </row>
    <row r="1489" spans="1:8">
      <c r="A1489" s="79" t="str">
        <f>LeaveData[[#This Row],[ EMP ID]]&amp;LeaveData[[#This Row],[Date]]</f>
        <v>20242100345749</v>
      </c>
      <c r="B1489" s="79">
        <v>202421003</v>
      </c>
      <c r="C1489" s="79" t="s">
        <v>205</v>
      </c>
      <c r="D1489" s="80">
        <v>45749</v>
      </c>
      <c r="E1489" s="79" t="s">
        <v>406</v>
      </c>
      <c r="F1489" s="79" t="s">
        <v>118</v>
      </c>
      <c r="G1489" s="79"/>
      <c r="H1489" s="79" t="s">
        <v>1359</v>
      </c>
    </row>
    <row r="1490" spans="1:8">
      <c r="A1490" s="79" t="str">
        <f>LeaveData[[#This Row],[ EMP ID]]&amp;LeaveData[[#This Row],[Date]]</f>
        <v>20242100345750</v>
      </c>
      <c r="B1490" s="79">
        <v>202421003</v>
      </c>
      <c r="C1490" s="79" t="s">
        <v>205</v>
      </c>
      <c r="D1490" s="80">
        <v>45750</v>
      </c>
      <c r="E1490" s="79" t="s">
        <v>406</v>
      </c>
      <c r="F1490" s="79" t="s">
        <v>118</v>
      </c>
      <c r="G1490" s="79"/>
      <c r="H1490" s="79" t="s">
        <v>1359</v>
      </c>
    </row>
    <row r="1491" spans="1:8">
      <c r="A1491" s="79" t="str">
        <f>LeaveData[[#This Row],[ EMP ID]]&amp;LeaveData[[#This Row],[Date]]</f>
        <v>20242100345751</v>
      </c>
      <c r="B1491" s="79">
        <v>202421003</v>
      </c>
      <c r="C1491" s="79" t="s">
        <v>205</v>
      </c>
      <c r="D1491" s="80">
        <v>45751</v>
      </c>
      <c r="E1491" s="79" t="s">
        <v>406</v>
      </c>
      <c r="F1491" s="79" t="s">
        <v>118</v>
      </c>
      <c r="G1491" s="79"/>
      <c r="H1491" s="79" t="s">
        <v>1359</v>
      </c>
    </row>
    <row r="1492" spans="1:8">
      <c r="A1492" s="79" t="str">
        <f>LeaveData[[#This Row],[ EMP ID]]&amp;LeaveData[[#This Row],[Date]]</f>
        <v>20242100345752</v>
      </c>
      <c r="B1492" s="79">
        <v>202421003</v>
      </c>
      <c r="C1492" s="79" t="s">
        <v>205</v>
      </c>
      <c r="D1492" s="80">
        <v>45752</v>
      </c>
      <c r="E1492" s="79" t="s">
        <v>406</v>
      </c>
      <c r="F1492" s="79" t="s">
        <v>118</v>
      </c>
      <c r="G1492" s="79"/>
      <c r="H1492" s="79" t="s">
        <v>1359</v>
      </c>
    </row>
    <row r="1493" spans="1:8">
      <c r="A1493" s="79" t="str">
        <f>LeaveData[[#This Row],[ EMP ID]]&amp;LeaveData[[#This Row],[Date]]</f>
        <v>20242100345753</v>
      </c>
      <c r="B1493" s="79">
        <v>202421003</v>
      </c>
      <c r="C1493" s="79" t="s">
        <v>205</v>
      </c>
      <c r="D1493" s="80">
        <v>45753</v>
      </c>
      <c r="E1493" s="79" t="s">
        <v>406</v>
      </c>
      <c r="F1493" s="79" t="s">
        <v>118</v>
      </c>
      <c r="G1493" s="79"/>
      <c r="H1493" s="79" t="s">
        <v>1359</v>
      </c>
    </row>
    <row r="1494" spans="1:8">
      <c r="A1494" s="79" t="str">
        <f>LeaveData[[#This Row],[ EMP ID]]&amp;LeaveData[[#This Row],[Date]]</f>
        <v>20242100345754</v>
      </c>
      <c r="B1494" s="79">
        <v>202421003</v>
      </c>
      <c r="C1494" s="79" t="s">
        <v>205</v>
      </c>
      <c r="D1494" s="80">
        <v>45754</v>
      </c>
      <c r="E1494" s="79" t="s">
        <v>406</v>
      </c>
      <c r="F1494" s="79" t="s">
        <v>118</v>
      </c>
      <c r="G1494" s="79"/>
      <c r="H1494" s="79" t="s">
        <v>1359</v>
      </c>
    </row>
    <row r="1495" spans="1:8">
      <c r="A1495" s="79" t="str">
        <f>LeaveData[[#This Row],[ EMP ID]]&amp;LeaveData[[#This Row],[Date]]</f>
        <v>20242100545768</v>
      </c>
      <c r="B1495" s="79">
        <v>202421005</v>
      </c>
      <c r="C1495" s="79" t="s">
        <v>271</v>
      </c>
      <c r="D1495" s="80">
        <v>45768</v>
      </c>
      <c r="E1495" s="79" t="s">
        <v>13</v>
      </c>
      <c r="F1495" s="79" t="s">
        <v>206</v>
      </c>
      <c r="G1495" s="79"/>
      <c r="H1495" s="79" t="s">
        <v>168</v>
      </c>
    </row>
    <row r="1496" spans="1:8">
      <c r="A1496" s="79" t="str">
        <f>LeaveData[[#This Row],[ EMP ID]]&amp;LeaveData[[#This Row],[Date]]</f>
        <v>20242100545769</v>
      </c>
      <c r="B1496" s="79">
        <v>202421005</v>
      </c>
      <c r="C1496" s="79" t="s">
        <v>271</v>
      </c>
      <c r="D1496" s="80">
        <v>45769</v>
      </c>
      <c r="E1496" s="79" t="s">
        <v>13</v>
      </c>
      <c r="F1496" s="79" t="s">
        <v>206</v>
      </c>
      <c r="G1496" s="79"/>
      <c r="H1496" s="79" t="s">
        <v>168</v>
      </c>
    </row>
    <row r="1497" spans="1:8">
      <c r="A1497" s="79" t="str">
        <f>LeaveData[[#This Row],[ EMP ID]]&amp;LeaveData[[#This Row],[Date]]</f>
        <v>20242100545770</v>
      </c>
      <c r="B1497" s="79">
        <v>202421005</v>
      </c>
      <c r="C1497" s="79" t="s">
        <v>271</v>
      </c>
      <c r="D1497" s="80">
        <v>45770</v>
      </c>
      <c r="E1497" s="79" t="s">
        <v>13</v>
      </c>
      <c r="F1497" s="79" t="s">
        <v>206</v>
      </c>
      <c r="G1497" s="79"/>
      <c r="H1497" s="79" t="s">
        <v>168</v>
      </c>
    </row>
    <row r="1498" spans="1:8">
      <c r="A1498" s="79" t="str">
        <f>LeaveData[[#This Row],[ EMP ID]]&amp;LeaveData[[#This Row],[Date]]</f>
        <v>20242101245770</v>
      </c>
      <c r="B1498" s="79">
        <v>202421012</v>
      </c>
      <c r="C1498" s="79" t="s">
        <v>377</v>
      </c>
      <c r="D1498" s="80">
        <v>45770</v>
      </c>
      <c r="E1498" s="79" t="s">
        <v>13</v>
      </c>
      <c r="F1498" s="79" t="s">
        <v>206</v>
      </c>
      <c r="G1498" s="79"/>
      <c r="H1498" s="79" t="s">
        <v>168</v>
      </c>
    </row>
    <row r="1499" spans="1:8">
      <c r="A1499" s="79" t="str">
        <f>LeaveData[[#This Row],[ EMP ID]]&amp;LeaveData[[#This Row],[Date]]</f>
        <v>20252101445780</v>
      </c>
      <c r="B1499" s="79">
        <v>202521014</v>
      </c>
      <c r="C1499" s="79" t="s">
        <v>441</v>
      </c>
      <c r="D1499" s="80">
        <v>45780</v>
      </c>
      <c r="E1499" s="79" t="s">
        <v>13</v>
      </c>
      <c r="F1499" s="79" t="s">
        <v>206</v>
      </c>
      <c r="G1499" s="79"/>
      <c r="H1499" s="79" t="s">
        <v>116</v>
      </c>
    </row>
    <row r="1500" spans="1:8">
      <c r="A1500" s="79" t="str">
        <f>LeaveData[[#This Row],[ EMP ID]]&amp;LeaveData[[#This Row],[Date]]</f>
        <v>20242101045780</v>
      </c>
      <c r="B1500" s="79">
        <v>202421010</v>
      </c>
      <c r="C1500" s="79" t="s">
        <v>288</v>
      </c>
      <c r="D1500" s="80">
        <v>45780</v>
      </c>
      <c r="E1500" s="79" t="s">
        <v>12</v>
      </c>
      <c r="F1500" s="79" t="s">
        <v>206</v>
      </c>
      <c r="G1500" s="79"/>
      <c r="H1500" s="79" t="s">
        <v>416</v>
      </c>
    </row>
    <row r="1501" spans="1:8">
      <c r="A1501" s="79" t="str">
        <f>LeaveData[[#This Row],[ EMP ID]]&amp;LeaveData[[#This Row],[Date]]</f>
        <v>20231802245781</v>
      </c>
      <c r="B1501" s="79">
        <v>202318022</v>
      </c>
      <c r="C1501" s="79" t="s">
        <v>45</v>
      </c>
      <c r="D1501" s="80">
        <v>45781</v>
      </c>
      <c r="E1501" s="79" t="s">
        <v>154</v>
      </c>
      <c r="F1501" s="79" t="s">
        <v>118</v>
      </c>
      <c r="G1501" s="79"/>
      <c r="H1501" s="79" t="s">
        <v>1360</v>
      </c>
    </row>
    <row r="1502" spans="1:8">
      <c r="A1502" s="79" t="str">
        <f>LeaveData[[#This Row],[ EMP ID]]&amp;LeaveData[[#This Row],[Date]]</f>
        <v>20241804245782</v>
      </c>
      <c r="B1502" s="79">
        <v>202418042</v>
      </c>
      <c r="C1502" s="79" t="s">
        <v>402</v>
      </c>
      <c r="D1502" s="80">
        <v>45782</v>
      </c>
      <c r="E1502" s="79" t="s">
        <v>12</v>
      </c>
      <c r="F1502" s="79" t="s">
        <v>125</v>
      </c>
      <c r="G1502" s="79"/>
      <c r="H1502" s="79" t="s">
        <v>416</v>
      </c>
    </row>
    <row r="1503" spans="1:8">
      <c r="A1503" s="79" t="str">
        <f>LeaveData[[#This Row],[ EMP ID]]&amp;LeaveData[[#This Row],[Date]]</f>
        <v>20241804145782</v>
      </c>
      <c r="B1503" s="79">
        <v>202418041</v>
      </c>
      <c r="C1503" s="79" t="s">
        <v>376</v>
      </c>
      <c r="D1503" s="80">
        <v>45782</v>
      </c>
      <c r="E1503" s="79" t="s">
        <v>13</v>
      </c>
      <c r="F1503" s="79" t="s">
        <v>125</v>
      </c>
      <c r="G1503" s="79"/>
      <c r="H1503" s="79" t="s">
        <v>105</v>
      </c>
    </row>
    <row r="1504" spans="1:8">
      <c r="A1504" s="79" t="str">
        <f>LeaveData[[#This Row],[ EMP ID]]&amp;LeaveData[[#This Row],[Date]]</f>
        <v>20231802645781</v>
      </c>
      <c r="B1504" s="79">
        <v>202318026</v>
      </c>
      <c r="C1504" s="79" t="s">
        <v>53</v>
      </c>
      <c r="D1504" s="80">
        <v>45781</v>
      </c>
      <c r="E1504" s="79" t="s">
        <v>154</v>
      </c>
      <c r="F1504" s="79" t="s">
        <v>104</v>
      </c>
      <c r="G1504" s="79"/>
      <c r="H1504" s="79" t="s">
        <v>1360</v>
      </c>
    </row>
    <row r="1505" spans="1:8">
      <c r="A1505" s="79" t="str">
        <f>LeaveData[[#This Row],[ EMP ID]]&amp;LeaveData[[#This Row],[Date]]</f>
        <v>20242101045783</v>
      </c>
      <c r="B1505" s="79">
        <v>202421010</v>
      </c>
      <c r="C1505" s="79" t="s">
        <v>288</v>
      </c>
      <c r="D1505" s="80">
        <v>45783</v>
      </c>
      <c r="E1505" s="79" t="s">
        <v>13</v>
      </c>
      <c r="F1505" s="79" t="s">
        <v>206</v>
      </c>
      <c r="G1505" s="79"/>
      <c r="H1505" s="79" t="s">
        <v>1361</v>
      </c>
    </row>
    <row r="1506" spans="1:8">
      <c r="A1506" s="79" t="str">
        <f>LeaveData[[#This Row],[ EMP ID]]&amp;LeaveData[[#This Row],[Date]]</f>
        <v>20242101345783</v>
      </c>
      <c r="B1506" s="79">
        <v>202421013</v>
      </c>
      <c r="C1506" s="79" t="s">
        <v>378</v>
      </c>
      <c r="D1506" s="80">
        <v>45783</v>
      </c>
      <c r="E1506" s="79" t="s">
        <v>16</v>
      </c>
      <c r="F1506" s="79" t="s">
        <v>206</v>
      </c>
      <c r="G1506" s="79"/>
      <c r="H1506" s="79" t="s">
        <v>1362</v>
      </c>
    </row>
    <row r="1507" spans="1:8">
      <c r="A1507" s="79" t="str">
        <f>LeaveData[[#This Row],[ EMP ID]]&amp;LeaveData[[#This Row],[Date]]</f>
        <v>20251804545783</v>
      </c>
      <c r="B1507" s="79">
        <v>202518045</v>
      </c>
      <c r="C1507" s="79" t="s">
        <v>87</v>
      </c>
      <c r="D1507" s="80">
        <v>45783</v>
      </c>
      <c r="E1507" s="79" t="s">
        <v>12</v>
      </c>
      <c r="F1507" s="79" t="s">
        <v>104</v>
      </c>
      <c r="G1507" s="79"/>
      <c r="H1507" s="79" t="s">
        <v>416</v>
      </c>
    </row>
    <row r="1508" spans="1:8">
      <c r="A1508" s="79" t="str">
        <f>LeaveData[[#This Row],[ EMP ID]]&amp;LeaveData[[#This Row],[Date]]</f>
        <v>20242100545777</v>
      </c>
      <c r="B1508" s="79">
        <v>202421005</v>
      </c>
      <c r="C1508" s="79" t="s">
        <v>271</v>
      </c>
      <c r="D1508" s="80">
        <v>45777</v>
      </c>
      <c r="E1508" s="79" t="s">
        <v>195</v>
      </c>
      <c r="F1508" s="79" t="s">
        <v>206</v>
      </c>
      <c r="G1508" s="79"/>
      <c r="H1508" s="79" t="s">
        <v>196</v>
      </c>
    </row>
    <row r="1509" spans="1:8">
      <c r="A1509" s="79" t="str">
        <f>LeaveData[[#This Row],[ EMP ID]]&amp;LeaveData[[#This Row],[Date]]</f>
        <v>20250100745792</v>
      </c>
      <c r="B1509" s="79">
        <v>202501007</v>
      </c>
      <c r="C1509" s="79" t="s">
        <v>1367</v>
      </c>
      <c r="D1509" s="80">
        <v>45792</v>
      </c>
      <c r="E1509" s="79" t="s">
        <v>199</v>
      </c>
      <c r="F1509" s="79" t="s">
        <v>104</v>
      </c>
      <c r="G1509" s="79"/>
      <c r="H1509" s="79" t="s">
        <v>1331</v>
      </c>
    </row>
    <row r="1510" spans="1:8">
      <c r="A1510" s="79" t="str">
        <f>LeaveData[[#This Row],[ EMP ID]]&amp;LeaveData[[#This Row],[Date]]</f>
        <v>20221801145784</v>
      </c>
      <c r="B1510" s="79">
        <v>202218011</v>
      </c>
      <c r="C1510" s="79" t="s">
        <v>28</v>
      </c>
      <c r="D1510" s="80">
        <v>45784</v>
      </c>
      <c r="E1510" s="79" t="s">
        <v>12</v>
      </c>
      <c r="F1510" s="79" t="s">
        <v>235</v>
      </c>
      <c r="G1510" s="79"/>
      <c r="H1510" s="79" t="s">
        <v>416</v>
      </c>
    </row>
    <row r="1511" spans="1:8">
      <c r="A1511" s="79" t="str">
        <f>LeaveData[[#This Row],[ EMP ID]]&amp;LeaveData[[#This Row],[Date]]</f>
        <v>20231802645784</v>
      </c>
      <c r="B1511" s="79">
        <v>202318026</v>
      </c>
      <c r="C1511" s="79" t="s">
        <v>53</v>
      </c>
      <c r="D1511" s="80">
        <v>45784</v>
      </c>
      <c r="E1511" s="79" t="s">
        <v>16</v>
      </c>
      <c r="F1511" s="79" t="s">
        <v>104</v>
      </c>
      <c r="G1511" s="79"/>
      <c r="H1511" s="79" t="s">
        <v>263</v>
      </c>
    </row>
    <row r="1512" spans="1:8">
      <c r="A1512" s="79" t="str">
        <f>LeaveData[[#This Row],[ EMP ID]]&amp;LeaveData[[#This Row],[Date]]</f>
        <v>20251804345784</v>
      </c>
      <c r="B1512" s="79">
        <v>202518043</v>
      </c>
      <c r="C1512" s="79" t="s">
        <v>403</v>
      </c>
      <c r="D1512" s="80">
        <v>45784</v>
      </c>
      <c r="E1512" s="79" t="s">
        <v>16</v>
      </c>
      <c r="F1512" s="79" t="s">
        <v>43</v>
      </c>
      <c r="G1512" s="79"/>
      <c r="H1512" s="79" t="s">
        <v>263</v>
      </c>
    </row>
    <row r="1513" spans="1:8">
      <c r="A1513" s="79" t="str">
        <f>LeaveData[[#This Row],[ EMP ID]]&amp;LeaveData[[#This Row],[Date]]</f>
        <v>20242100145784</v>
      </c>
      <c r="B1513" s="92">
        <v>202421001</v>
      </c>
      <c r="C1513" s="92" t="s">
        <v>221</v>
      </c>
      <c r="D1513" s="80">
        <v>45784</v>
      </c>
      <c r="E1513" s="79" t="s">
        <v>16</v>
      </c>
      <c r="F1513" s="79" t="s">
        <v>206</v>
      </c>
      <c r="G1513" s="79"/>
      <c r="H1513" s="79" t="s">
        <v>263</v>
      </c>
    </row>
    <row r="1514" spans="1:8">
      <c r="A1514" s="79" t="str">
        <f>LeaveData[[#This Row],[ EMP ID]]&amp;LeaveData[[#This Row],[Date]]</f>
        <v>20242100245784</v>
      </c>
      <c r="B1514" s="92">
        <v>202421002</v>
      </c>
      <c r="C1514" s="92" t="s">
        <v>223</v>
      </c>
      <c r="D1514" s="80">
        <v>45784</v>
      </c>
      <c r="E1514" s="79" t="s">
        <v>16</v>
      </c>
      <c r="F1514" s="79" t="s">
        <v>206</v>
      </c>
      <c r="G1514" s="79"/>
      <c r="H1514" s="79" t="s">
        <v>263</v>
      </c>
    </row>
    <row r="1515" spans="1:8">
      <c r="A1515" s="79" t="str">
        <f>LeaveData[[#This Row],[ EMP ID]]&amp;LeaveData[[#This Row],[Date]]</f>
        <v>20242101345784</v>
      </c>
      <c r="B1515" s="79">
        <v>202421013</v>
      </c>
      <c r="C1515" s="79" t="s">
        <v>378</v>
      </c>
      <c r="D1515" s="80">
        <v>45784</v>
      </c>
      <c r="E1515" s="79" t="s">
        <v>16</v>
      </c>
      <c r="F1515" s="79" t="s">
        <v>206</v>
      </c>
      <c r="G1515" s="79"/>
      <c r="H1515" s="79" t="s">
        <v>263</v>
      </c>
    </row>
    <row r="1516" spans="1:8">
      <c r="A1516" s="79" t="str">
        <f>LeaveData[[#This Row],[ EMP ID]]&amp;LeaveData[[#This Row],[Date]]</f>
        <v>20211800745784</v>
      </c>
      <c r="B1516" s="79">
        <v>202118007</v>
      </c>
      <c r="C1516" s="79" t="s">
        <v>103</v>
      </c>
      <c r="D1516" s="80">
        <v>45784</v>
      </c>
      <c r="E1516" s="79" t="s">
        <v>16</v>
      </c>
      <c r="F1516" s="79" t="s">
        <v>104</v>
      </c>
      <c r="G1516" s="79"/>
      <c r="H1516" s="79" t="s">
        <v>263</v>
      </c>
    </row>
    <row r="1517" spans="1:8">
      <c r="A1517" s="79" t="str">
        <f>LeaveData[[#This Row],[ EMP ID]]&amp;LeaveData[[#This Row],[Date]]</f>
        <v>20221801245784</v>
      </c>
      <c r="B1517" s="79">
        <v>202218012</v>
      </c>
      <c r="C1517" s="79" t="s">
        <v>29</v>
      </c>
      <c r="D1517" s="80">
        <v>45784</v>
      </c>
      <c r="E1517" s="79" t="s">
        <v>16</v>
      </c>
      <c r="F1517" s="79" t="s">
        <v>1366</v>
      </c>
      <c r="G1517" s="79"/>
      <c r="H1517" s="79" t="s">
        <v>263</v>
      </c>
    </row>
    <row r="1518" spans="1:8">
      <c r="A1518" s="79" t="str">
        <f>LeaveData[[#This Row],[ EMP ID]]&amp;LeaveData[[#This Row],[Date]]</f>
        <v>20221800945784</v>
      </c>
      <c r="B1518" s="79">
        <v>202218009</v>
      </c>
      <c r="C1518" s="79" t="s">
        <v>26</v>
      </c>
      <c r="D1518" s="80">
        <v>45784</v>
      </c>
      <c r="E1518" s="79" t="s">
        <v>13</v>
      </c>
      <c r="F1518" s="79" t="s">
        <v>128</v>
      </c>
      <c r="G1518" s="79"/>
      <c r="H1518" s="79" t="s">
        <v>263</v>
      </c>
    </row>
    <row r="1519" spans="1:8">
      <c r="A1519" s="79" t="str">
        <f>LeaveData[[#This Row],[ EMP ID]]&amp;LeaveData[[#This Row],[Date]]</f>
        <v>20182000145784</v>
      </c>
      <c r="B1519" s="79">
        <v>201820001</v>
      </c>
      <c r="C1519" s="79" t="s">
        <v>18</v>
      </c>
      <c r="D1519" s="80">
        <v>45784</v>
      </c>
      <c r="E1519" s="79" t="s">
        <v>13</v>
      </c>
      <c r="F1519" s="79" t="s">
        <v>118</v>
      </c>
      <c r="G1519" s="79"/>
      <c r="H1519" s="79" t="s">
        <v>1363</v>
      </c>
    </row>
    <row r="1520" spans="1:8">
      <c r="A1520" s="79" t="str">
        <f>LeaveData[[#This Row],[ EMP ID]]&amp;LeaveData[[#This Row],[Date]]</f>
        <v>20252101445784</v>
      </c>
      <c r="B1520" s="79">
        <v>202521014</v>
      </c>
      <c r="C1520" s="79" t="s">
        <v>441</v>
      </c>
      <c r="D1520" s="80">
        <v>45784</v>
      </c>
      <c r="E1520" s="79" t="s">
        <v>16</v>
      </c>
      <c r="F1520" s="79" t="s">
        <v>206</v>
      </c>
      <c r="G1520" s="79"/>
      <c r="H1520" s="79" t="s">
        <v>263</v>
      </c>
    </row>
    <row r="1521" spans="1:8">
      <c r="A1521" s="79" t="str">
        <f>LeaveData[[#This Row],[ EMP ID]]&amp;LeaveData[[#This Row],[Date]]</f>
        <v>20231802245784</v>
      </c>
      <c r="B1521" s="79">
        <v>202318022</v>
      </c>
      <c r="C1521" s="79" t="s">
        <v>45</v>
      </c>
      <c r="D1521" s="80">
        <v>45784</v>
      </c>
      <c r="E1521" s="79" t="s">
        <v>16</v>
      </c>
      <c r="F1521" s="79" t="s">
        <v>118</v>
      </c>
      <c r="G1521" s="79"/>
      <c r="H1521" s="79" t="s">
        <v>263</v>
      </c>
    </row>
    <row r="1522" spans="1:8">
      <c r="A1522" s="79" t="str">
        <f>LeaveData[[#This Row],[ EMP ID]]&amp;LeaveData[[#This Row],[Date]]</f>
        <v>20231802045784</v>
      </c>
      <c r="B1522" s="79">
        <v>202318020</v>
      </c>
      <c r="C1522" s="79" t="s">
        <v>43</v>
      </c>
      <c r="D1522" s="80">
        <v>45784</v>
      </c>
      <c r="E1522" s="79" t="s">
        <v>16</v>
      </c>
      <c r="F1522" s="79" t="s">
        <v>45</v>
      </c>
      <c r="G1522" s="79"/>
      <c r="H1522" s="79" t="s">
        <v>263</v>
      </c>
    </row>
    <row r="1523" spans="1:8">
      <c r="A1523" s="79" t="str">
        <f>LeaveData[[#This Row],[ EMP ID]]&amp;LeaveData[[#This Row],[Date]]</f>
        <v>20231801945784</v>
      </c>
      <c r="B1523" s="79">
        <v>202318019</v>
      </c>
      <c r="C1523" s="79" t="s">
        <v>89</v>
      </c>
      <c r="D1523" s="80">
        <v>45784</v>
      </c>
      <c r="E1523" s="79" t="s">
        <v>16</v>
      </c>
      <c r="F1523" s="79" t="s">
        <v>45</v>
      </c>
      <c r="G1523" s="79"/>
      <c r="H1523" s="79" t="s">
        <v>263</v>
      </c>
    </row>
    <row r="1524" spans="1:8">
      <c r="A1524" s="79" t="str">
        <f>LeaveData[[#This Row],[ EMP ID]]&amp;LeaveData[[#This Row],[Date]]</f>
        <v>20251804345787</v>
      </c>
      <c r="B1524" s="79">
        <v>202518043</v>
      </c>
      <c r="C1524" s="79" t="s">
        <v>403</v>
      </c>
      <c r="D1524" s="80">
        <v>45787</v>
      </c>
      <c r="E1524" s="79" t="s">
        <v>16</v>
      </c>
      <c r="F1524" s="79"/>
      <c r="G1524" s="79"/>
      <c r="H1524" s="79" t="s">
        <v>1364</v>
      </c>
    </row>
    <row r="1525" spans="1:8">
      <c r="A1525" s="79" t="str">
        <f>LeaveData[[#This Row],[ EMP ID]]&amp;LeaveData[[#This Row],[Date]]</f>
        <v>20251804345788</v>
      </c>
      <c r="B1525" s="79">
        <v>202518043</v>
      </c>
      <c r="C1525" s="79" t="s">
        <v>403</v>
      </c>
      <c r="D1525" s="80">
        <v>45788</v>
      </c>
      <c r="E1525" s="79" t="s">
        <v>16</v>
      </c>
      <c r="F1525" s="79"/>
      <c r="G1525" s="79"/>
      <c r="H1525" s="79" t="s">
        <v>1364</v>
      </c>
    </row>
    <row r="1526" spans="1:8">
      <c r="A1526" s="79" t="str">
        <f>LeaveData[[#This Row],[ EMP ID]]&amp;LeaveData[[#This Row],[Date]]</f>
        <v>20251804345789</v>
      </c>
      <c r="B1526" s="79">
        <v>202518043</v>
      </c>
      <c r="C1526" s="79" t="s">
        <v>403</v>
      </c>
      <c r="D1526" s="80">
        <v>45789</v>
      </c>
      <c r="E1526" s="79" t="s">
        <v>16</v>
      </c>
      <c r="F1526" s="79"/>
      <c r="G1526" s="79"/>
      <c r="H1526" s="79" t="s">
        <v>1364</v>
      </c>
    </row>
    <row r="1527" spans="1:8">
      <c r="A1527" s="79" t="str">
        <f>LeaveData[[#This Row],[ EMP ID]]&amp;LeaveData[[#This Row],[Date]]</f>
        <v>20251804345790</v>
      </c>
      <c r="B1527" s="79">
        <v>202518043</v>
      </c>
      <c r="C1527" s="79" t="s">
        <v>403</v>
      </c>
      <c r="D1527" s="80">
        <v>45790</v>
      </c>
      <c r="E1527" s="79" t="s">
        <v>16</v>
      </c>
      <c r="F1527" s="79"/>
      <c r="G1527" s="79"/>
      <c r="H1527" s="79" t="s">
        <v>1364</v>
      </c>
    </row>
    <row r="1528" spans="1:8">
      <c r="A1528" s="79" t="str">
        <f>LeaveData[[#This Row],[ EMP ID]]&amp;LeaveData[[#This Row],[Date]]</f>
        <v>20251804345791</v>
      </c>
      <c r="B1528" s="79">
        <v>202518043</v>
      </c>
      <c r="C1528" s="79" t="s">
        <v>403</v>
      </c>
      <c r="D1528" s="80">
        <v>45791</v>
      </c>
      <c r="E1528" s="79" t="s">
        <v>16</v>
      </c>
      <c r="F1528" s="79"/>
      <c r="G1528" s="79"/>
      <c r="H1528" s="79" t="s">
        <v>1364</v>
      </c>
    </row>
    <row r="1529" spans="1:8">
      <c r="A1529" s="79" t="str">
        <f>LeaveData[[#This Row],[ EMP ID]]&amp;LeaveData[[#This Row],[Date]]</f>
        <v>20251804345792</v>
      </c>
      <c r="B1529" s="79">
        <v>202518043</v>
      </c>
      <c r="C1529" s="79" t="s">
        <v>403</v>
      </c>
      <c r="D1529" s="80">
        <v>45792</v>
      </c>
      <c r="E1529" s="79" t="s">
        <v>16</v>
      </c>
      <c r="F1529" s="79"/>
      <c r="G1529" s="79"/>
      <c r="H1529" s="79" t="s">
        <v>1364</v>
      </c>
    </row>
    <row r="1530" spans="1:8">
      <c r="A1530" s="79" t="str">
        <f>LeaveData[[#This Row],[ EMP ID]]&amp;LeaveData[[#This Row],[Date]]</f>
        <v>20251804345793</v>
      </c>
      <c r="B1530" s="79">
        <v>202518043</v>
      </c>
      <c r="C1530" s="79" t="s">
        <v>403</v>
      </c>
      <c r="D1530" s="80">
        <v>45793</v>
      </c>
      <c r="E1530" s="79" t="s">
        <v>16</v>
      </c>
      <c r="F1530" s="79"/>
      <c r="G1530" s="79"/>
      <c r="H1530" s="79" t="s">
        <v>1364</v>
      </c>
    </row>
    <row r="1531" spans="1:8">
      <c r="A1531" s="79" t="str">
        <f>LeaveData[[#This Row],[ EMP ID]]&amp;LeaveData[[#This Row],[Date]]</f>
        <v>20251804345794</v>
      </c>
      <c r="B1531" s="79">
        <v>202518043</v>
      </c>
      <c r="C1531" s="79" t="s">
        <v>403</v>
      </c>
      <c r="D1531" s="80">
        <v>45794</v>
      </c>
      <c r="E1531" s="79" t="s">
        <v>16</v>
      </c>
      <c r="F1531" s="79"/>
      <c r="G1531" s="79"/>
      <c r="H1531" s="79" t="s">
        <v>1364</v>
      </c>
    </row>
    <row r="1532" spans="1:8">
      <c r="A1532" s="79" t="str">
        <f>LeaveData[[#This Row],[ EMP ID]]&amp;LeaveData[[#This Row],[Date]]</f>
        <v>20242100445786</v>
      </c>
      <c r="B1532" s="79">
        <v>202421004</v>
      </c>
      <c r="C1532" s="79" t="s">
        <v>270</v>
      </c>
      <c r="D1532" s="80">
        <v>45786</v>
      </c>
      <c r="E1532" s="79" t="s">
        <v>16</v>
      </c>
      <c r="F1532" s="79" t="s">
        <v>206</v>
      </c>
      <c r="G1532" s="79"/>
      <c r="H1532" s="79" t="s">
        <v>140</v>
      </c>
    </row>
    <row r="1533" spans="1:8">
      <c r="A1533" s="79" t="str">
        <f>LeaveData[[#This Row],[ EMP ID]]&amp;LeaveData[[#This Row],[Date]]</f>
        <v>20232000945789</v>
      </c>
      <c r="B1533" s="79">
        <v>202320009</v>
      </c>
      <c r="C1533" s="79" t="s">
        <v>143</v>
      </c>
      <c r="D1533" s="80">
        <v>45789</v>
      </c>
      <c r="E1533" s="79" t="s">
        <v>13</v>
      </c>
      <c r="F1533" s="79" t="s">
        <v>1365</v>
      </c>
      <c r="G1533" s="79"/>
      <c r="H1533" s="79" t="s">
        <v>116</v>
      </c>
    </row>
    <row r="1534" spans="1:8">
      <c r="A1534" s="79" t="str">
        <f>LeaveData[[#This Row],[ EMP ID]]&amp;LeaveData[[#This Row],[Date]]</f>
        <v>20232000945808</v>
      </c>
      <c r="B1534" s="79">
        <v>202320009</v>
      </c>
      <c r="C1534" s="79" t="s">
        <v>143</v>
      </c>
      <c r="D1534" s="80">
        <v>45808</v>
      </c>
      <c r="E1534" s="79" t="s">
        <v>13</v>
      </c>
      <c r="F1534" s="79" t="s">
        <v>1365</v>
      </c>
      <c r="G1534" s="79"/>
      <c r="H1534" s="79" t="s">
        <v>116</v>
      </c>
    </row>
    <row r="1535" spans="1:8">
      <c r="A1535" s="79" t="str">
        <f>LeaveData[[#This Row],[ EMP ID]]&amp;LeaveData[[#This Row],[Date]]</f>
        <v>20231802245787</v>
      </c>
      <c r="B1535" s="79">
        <v>202318022</v>
      </c>
      <c r="C1535" s="79" t="s">
        <v>45</v>
      </c>
      <c r="D1535" s="80">
        <v>45787</v>
      </c>
      <c r="E1535" s="79" t="s">
        <v>154</v>
      </c>
      <c r="F1535" s="79" t="s">
        <v>1365</v>
      </c>
      <c r="G1535" s="79"/>
      <c r="H1535" s="79" t="s">
        <v>188</v>
      </c>
    </row>
    <row r="1536" spans="1:8">
      <c r="A1536" s="79" t="str">
        <f>LeaveData[[#This Row],[ EMP ID]]&amp;LeaveData[[#This Row],[Date]]</f>
        <v>20231802045787</v>
      </c>
      <c r="B1536" s="79">
        <v>202318020</v>
      </c>
      <c r="C1536" s="79" t="s">
        <v>43</v>
      </c>
      <c r="D1536" s="80">
        <v>45787</v>
      </c>
      <c r="E1536" s="79" t="s">
        <v>154</v>
      </c>
      <c r="F1536" s="79" t="s">
        <v>45</v>
      </c>
      <c r="G1536" s="79"/>
      <c r="H1536" s="79" t="s">
        <v>188</v>
      </c>
    </row>
    <row r="1537" spans="1:8">
      <c r="A1537" s="79" t="str">
        <f>LeaveData[[#This Row],[ EMP ID]]&amp;LeaveData[[#This Row],[Date]]</f>
        <v>20250100845800</v>
      </c>
      <c r="B1537" s="79">
        <v>202501008</v>
      </c>
      <c r="C1537" s="79" t="s">
        <v>1368</v>
      </c>
      <c r="D1537" s="80">
        <v>45800</v>
      </c>
      <c r="E1537" s="79" t="s">
        <v>199</v>
      </c>
      <c r="F1537" s="79" t="s">
        <v>104</v>
      </c>
      <c r="G1537" s="79"/>
      <c r="H1537" s="79" t="s">
        <v>200</v>
      </c>
    </row>
    <row r="1538" spans="1:8">
      <c r="A1538" s="79" t="str">
        <f>LeaveData[[#This Row],[ EMP ID]]&amp;LeaveData[[#This Row],[Date]]</f>
        <v>20250100945748</v>
      </c>
      <c r="B1538" s="79">
        <v>202501009</v>
      </c>
      <c r="C1538" s="79" t="s">
        <v>1369</v>
      </c>
      <c r="D1538" s="80">
        <v>45748</v>
      </c>
      <c r="E1538" s="79" t="s">
        <v>199</v>
      </c>
      <c r="F1538" s="79" t="s">
        <v>235</v>
      </c>
      <c r="G1538" s="79"/>
      <c r="H1538" s="79" t="s">
        <v>200</v>
      </c>
    </row>
    <row r="1539" spans="1:8">
      <c r="A1539" s="79" t="str">
        <f>LeaveData[[#This Row],[ EMP ID]]&amp;LeaveData[[#This Row],[Date]]</f>
        <v>20231801945789</v>
      </c>
      <c r="B1539" s="92">
        <v>202318019</v>
      </c>
      <c r="C1539" s="92" t="s">
        <v>89</v>
      </c>
      <c r="D1539" s="80">
        <v>45789</v>
      </c>
      <c r="E1539" s="79" t="s">
        <v>16</v>
      </c>
      <c r="F1539" s="79" t="s">
        <v>45</v>
      </c>
      <c r="G1539" s="79"/>
      <c r="H1539" s="79" t="s">
        <v>140</v>
      </c>
    </row>
    <row r="1540" spans="1:8">
      <c r="A1540" s="79" t="str">
        <f>LeaveData[[#This Row],[ EMP ID]]&amp;LeaveData[[#This Row],[Date]]</f>
        <v>20251804545790</v>
      </c>
      <c r="B1540" s="92">
        <v>202518045</v>
      </c>
      <c r="C1540" s="92" t="s">
        <v>87</v>
      </c>
      <c r="D1540" s="80">
        <v>45790</v>
      </c>
      <c r="E1540" s="79" t="s">
        <v>12</v>
      </c>
      <c r="F1540" s="79" t="s">
        <v>104</v>
      </c>
      <c r="G1540" s="79"/>
      <c r="H1540" s="79" t="s">
        <v>140</v>
      </c>
    </row>
    <row r="1541" spans="1:8">
      <c r="A1541" s="79" t="str">
        <f>LeaveData[[#This Row],[ EMP ID]]&amp;LeaveData[[#This Row],[Date]]</f>
        <v>20252101445791</v>
      </c>
      <c r="B1541" s="92">
        <v>202521014</v>
      </c>
      <c r="C1541" s="92" t="s">
        <v>441</v>
      </c>
      <c r="D1541" s="80">
        <v>45791</v>
      </c>
      <c r="E1541" s="79" t="s">
        <v>13</v>
      </c>
      <c r="F1541" s="79" t="s">
        <v>206</v>
      </c>
      <c r="G1541" s="79"/>
      <c r="H1541" s="79" t="s">
        <v>116</v>
      </c>
    </row>
    <row r="1542" spans="1:8">
      <c r="A1542" s="79" t="str">
        <f>LeaveData[[#This Row],[ EMP ID]]&amp;LeaveData[[#This Row],[Date]]</f>
        <v>20221801145799</v>
      </c>
      <c r="B1542" s="79">
        <v>202218011</v>
      </c>
      <c r="C1542" s="79" t="s">
        <v>28</v>
      </c>
      <c r="D1542" s="80">
        <v>45799</v>
      </c>
      <c r="E1542" s="79" t="s">
        <v>13</v>
      </c>
      <c r="F1542" s="79" t="s">
        <v>235</v>
      </c>
      <c r="G1542" s="79"/>
      <c r="H1542" s="79" t="s">
        <v>168</v>
      </c>
    </row>
    <row r="1543" spans="1:8">
      <c r="A1543" s="79" t="str">
        <f>LeaveData[[#This Row],[ EMP ID]]&amp;LeaveData[[#This Row],[Date]]</f>
        <v>20221801145800</v>
      </c>
      <c r="B1543" s="79">
        <v>202218011</v>
      </c>
      <c r="C1543" s="79" t="s">
        <v>28</v>
      </c>
      <c r="D1543" s="80">
        <v>45800</v>
      </c>
      <c r="E1543" s="79" t="s">
        <v>13</v>
      </c>
      <c r="F1543" s="79" t="s">
        <v>235</v>
      </c>
      <c r="G1543" s="79"/>
      <c r="H1543" s="79" t="s">
        <v>168</v>
      </c>
    </row>
    <row r="1544" spans="1:8">
      <c r="A1544" s="79" t="str">
        <f>LeaveData[[#This Row],[ EMP ID]]&amp;LeaveData[[#This Row],[Date]]</f>
        <v>20221801145801</v>
      </c>
      <c r="B1544" s="79">
        <v>202218011</v>
      </c>
      <c r="C1544" s="79" t="s">
        <v>28</v>
      </c>
      <c r="D1544" s="80">
        <v>45801</v>
      </c>
      <c r="E1544" s="79" t="s">
        <v>13</v>
      </c>
      <c r="F1544" s="79" t="s">
        <v>235</v>
      </c>
      <c r="G1544" s="79"/>
      <c r="H1544" s="79" t="s">
        <v>168</v>
      </c>
    </row>
    <row r="1545" spans="1:8">
      <c r="A1545" s="79" t="str">
        <f>LeaveData[[#This Row],[ EMP ID]]&amp;LeaveData[[#This Row],[Date]]</f>
        <v>20221801145803</v>
      </c>
      <c r="B1545" s="79">
        <v>202218011</v>
      </c>
      <c r="C1545" s="79" t="s">
        <v>28</v>
      </c>
      <c r="D1545" s="80">
        <v>45803</v>
      </c>
      <c r="E1545" s="79" t="s">
        <v>13</v>
      </c>
      <c r="F1545" s="79" t="s">
        <v>235</v>
      </c>
      <c r="G1545" s="79"/>
      <c r="H1545" s="79" t="s">
        <v>168</v>
      </c>
    </row>
    <row r="1546" spans="1:8">
      <c r="A1546" s="79" t="str">
        <f>LeaveData[[#This Row],[ EMP ID]]&amp;LeaveData[[#This Row],[Date]]</f>
        <v>20241803845792</v>
      </c>
      <c r="B1546" s="79">
        <v>202418038</v>
      </c>
      <c r="C1546" s="79" t="s">
        <v>246</v>
      </c>
      <c r="D1546" s="80">
        <v>45792</v>
      </c>
      <c r="E1546" s="79" t="s">
        <v>12</v>
      </c>
      <c r="F1546" s="79" t="s">
        <v>125</v>
      </c>
      <c r="G1546" s="79"/>
      <c r="H1546" s="79" t="s">
        <v>452</v>
      </c>
    </row>
    <row r="1547" spans="1:8">
      <c r="A1547" s="79" t="str">
        <f>LeaveData[[#This Row],[ EMP ID]]&amp;LeaveData[[#This Row],[Date]]</f>
        <v>20242001545787</v>
      </c>
      <c r="B1547" s="120">
        <v>202420015</v>
      </c>
      <c r="C1547" s="79" t="s">
        <v>64</v>
      </c>
      <c r="D1547" s="80">
        <v>45787</v>
      </c>
      <c r="E1547" s="79" t="s">
        <v>154</v>
      </c>
      <c r="F1547" s="79" t="s">
        <v>125</v>
      </c>
      <c r="G1547" s="79"/>
      <c r="H1547" s="79" t="s">
        <v>155</v>
      </c>
    </row>
    <row r="1548" spans="1:8">
      <c r="A1548" s="79" t="str">
        <f>LeaveData[[#This Row],[ EMP ID]]&amp;LeaveData[[#This Row],[Date]]</f>
        <v>20231801945794</v>
      </c>
      <c r="B1548" s="79">
        <v>202318019</v>
      </c>
      <c r="C1548" s="79" t="s">
        <v>89</v>
      </c>
      <c r="D1548" s="80">
        <v>45794</v>
      </c>
      <c r="E1548" s="79" t="s">
        <v>13</v>
      </c>
      <c r="F1548" s="79" t="s">
        <v>45</v>
      </c>
      <c r="G1548" s="79"/>
      <c r="H1548" s="79" t="s">
        <v>116</v>
      </c>
    </row>
    <row r="1549" spans="1:8">
      <c r="A1549" s="79" t="str">
        <f>LeaveData[[#This Row],[ EMP ID]]&amp;LeaveData[[#This Row],[Date]]</f>
        <v>20231801945781</v>
      </c>
      <c r="B1549" s="79">
        <v>202318019</v>
      </c>
      <c r="C1549" s="79" t="s">
        <v>89</v>
      </c>
      <c r="D1549" s="80">
        <v>45781</v>
      </c>
      <c r="E1549" s="79" t="s">
        <v>154</v>
      </c>
      <c r="F1549" s="79" t="s">
        <v>45</v>
      </c>
      <c r="G1549" s="79"/>
      <c r="H1549" s="79" t="s">
        <v>155</v>
      </c>
    </row>
    <row r="1550" spans="1:8">
      <c r="A1550" s="79" t="str">
        <f>LeaveData[[#This Row],[ EMP ID]]&amp;LeaveData[[#This Row],[Date]]</f>
        <v>20231801945787</v>
      </c>
      <c r="B1550" s="79">
        <v>202318019</v>
      </c>
      <c r="C1550" s="79" t="s">
        <v>89</v>
      </c>
      <c r="D1550" s="80">
        <v>45787</v>
      </c>
      <c r="E1550" s="79" t="s">
        <v>154</v>
      </c>
      <c r="F1550" s="79" t="s">
        <v>45</v>
      </c>
      <c r="G1550" s="79"/>
      <c r="H1550" s="79" t="s">
        <v>155</v>
      </c>
    </row>
    <row r="1551" spans="1:8">
      <c r="A1551" s="79" t="str">
        <f>LeaveData[[#This Row],[ EMP ID]]&amp;LeaveData[[#This Row],[Date]]</f>
        <v>20231801945788</v>
      </c>
      <c r="B1551" s="79">
        <v>202318019</v>
      </c>
      <c r="C1551" s="79" t="s">
        <v>89</v>
      </c>
      <c r="D1551" s="80">
        <v>45788</v>
      </c>
      <c r="E1551" s="79" t="s">
        <v>154</v>
      </c>
      <c r="F1551" s="79" t="s">
        <v>45</v>
      </c>
      <c r="G1551" s="79"/>
      <c r="H1551" s="79" t="s">
        <v>155</v>
      </c>
    </row>
    <row r="1552" spans="1:8">
      <c r="A1552" s="79" t="str">
        <f>LeaveData[[#This Row],[ EMP ID]]&amp;LeaveData[[#This Row],[Date]]</f>
        <v>20181800245793</v>
      </c>
      <c r="B1552" s="79">
        <v>201818002</v>
      </c>
      <c r="C1552" s="79" t="s">
        <v>83</v>
      </c>
      <c r="D1552" s="80">
        <v>45793</v>
      </c>
      <c r="E1552" s="79" t="s">
        <v>16</v>
      </c>
      <c r="F1552" s="79" t="s">
        <v>106</v>
      </c>
      <c r="G1552" s="79"/>
      <c r="H1552" s="79" t="s">
        <v>189</v>
      </c>
    </row>
    <row r="1553" spans="1:8">
      <c r="A1553" s="79" t="str">
        <f>LeaveData[[#This Row],[ EMP ID]]&amp;LeaveData[[#This Row],[Date]]</f>
        <v>20181800245794</v>
      </c>
      <c r="B1553" s="79">
        <v>201818002</v>
      </c>
      <c r="C1553" s="79" t="s">
        <v>83</v>
      </c>
      <c r="D1553" s="80">
        <v>45794</v>
      </c>
      <c r="E1553" s="79" t="s">
        <v>16</v>
      </c>
      <c r="F1553" s="79" t="s">
        <v>106</v>
      </c>
      <c r="G1553" s="79"/>
      <c r="H1553" s="79" t="s">
        <v>189</v>
      </c>
    </row>
    <row r="1554" spans="1:8">
      <c r="A1554" s="79" t="str">
        <f>LeaveData[[#This Row],[ EMP ID]]&amp;LeaveData[[#This Row],[Date]]</f>
        <v>20241803545794</v>
      </c>
      <c r="B1554" s="79">
        <v>202418035</v>
      </c>
      <c r="C1554" s="79" t="s">
        <v>96</v>
      </c>
      <c r="D1554" s="80">
        <v>45794</v>
      </c>
      <c r="E1554" s="79" t="s">
        <v>13</v>
      </c>
      <c r="F1554" s="79"/>
      <c r="G1554" s="79"/>
      <c r="H1554" s="79" t="s">
        <v>189</v>
      </c>
    </row>
    <row r="1555" spans="1:8">
      <c r="A1555" s="79" t="str">
        <f>LeaveData[[#This Row],[ EMP ID]]&amp;LeaveData[[#This Row],[Date]]</f>
        <v>20231802545794</v>
      </c>
      <c r="B1555" s="79">
        <v>202318025</v>
      </c>
      <c r="C1555" s="79" t="s">
        <v>122</v>
      </c>
      <c r="D1555" s="80">
        <v>45794</v>
      </c>
      <c r="E1555" s="79" t="s">
        <v>14</v>
      </c>
      <c r="F1555" s="79" t="s">
        <v>1365</v>
      </c>
      <c r="G1555" s="79"/>
      <c r="H1555" s="79" t="s">
        <v>116</v>
      </c>
    </row>
    <row r="1556" spans="1:8">
      <c r="A1556" s="79" t="str">
        <f>LeaveData[[#This Row],[ EMP ID]]&amp;LeaveData[[#This Row],[Date]]</f>
        <v>20231802245795</v>
      </c>
      <c r="B1556" s="79">
        <v>202318022</v>
      </c>
      <c r="C1556" s="79" t="s">
        <v>45</v>
      </c>
      <c r="D1556" s="80">
        <v>45795</v>
      </c>
      <c r="E1556" s="79" t="s">
        <v>154</v>
      </c>
      <c r="F1556" s="79" t="s">
        <v>1365</v>
      </c>
      <c r="G1556" s="79"/>
      <c r="H1556" s="79" t="s">
        <v>155</v>
      </c>
    </row>
    <row r="1557" spans="1:8">
      <c r="A1557" s="79" t="str">
        <f>LeaveData[[#This Row],[ EMP ID]]&amp;LeaveData[[#This Row],[Date]]</f>
        <v>20231802045795</v>
      </c>
      <c r="B1557" s="79">
        <v>202318020</v>
      </c>
      <c r="C1557" s="79" t="s">
        <v>43</v>
      </c>
      <c r="D1557" s="80">
        <v>45795</v>
      </c>
      <c r="E1557" s="79" t="s">
        <v>154</v>
      </c>
      <c r="F1557" s="79"/>
      <c r="G1557" s="79"/>
      <c r="H1557" s="79" t="s">
        <v>155</v>
      </c>
    </row>
    <row r="1558" spans="1:8">
      <c r="A1558" s="79" t="str">
        <f>LeaveData[[#This Row],[ EMP ID]]&amp;LeaveData[[#This Row],[Date]]</f>
        <v>20231801845781</v>
      </c>
      <c r="B1558" s="79">
        <v>202318018</v>
      </c>
      <c r="C1558" s="79" t="s">
        <v>40</v>
      </c>
      <c r="D1558" s="80">
        <v>45781</v>
      </c>
      <c r="E1558" s="79" t="s">
        <v>154</v>
      </c>
      <c r="F1558" s="79"/>
      <c r="G1558" s="79"/>
      <c r="H1558" s="79" t="s">
        <v>155</v>
      </c>
    </row>
    <row r="1559" spans="1:8">
      <c r="A1559" s="79" t="str">
        <f>LeaveData[[#This Row],[ EMP ID]]&amp;LeaveData[[#This Row],[Date]]</f>
        <v>20231801845787</v>
      </c>
      <c r="B1559" s="79">
        <v>202318018</v>
      </c>
      <c r="C1559" s="79" t="s">
        <v>40</v>
      </c>
      <c r="D1559" s="80">
        <v>45787</v>
      </c>
      <c r="E1559" s="79" t="s">
        <v>154</v>
      </c>
      <c r="F1559" s="79"/>
      <c r="G1559" s="79"/>
      <c r="H1559" s="79" t="s">
        <v>155</v>
      </c>
    </row>
    <row r="1560" spans="1:8">
      <c r="A1560" s="79" t="str">
        <f>LeaveData[[#This Row],[ EMP ID]]&amp;LeaveData[[#This Row],[Date]]</f>
        <v>20231801845788</v>
      </c>
      <c r="B1560" s="79">
        <v>202318018</v>
      </c>
      <c r="C1560" s="79" t="s">
        <v>40</v>
      </c>
      <c r="D1560" s="80">
        <v>45788</v>
      </c>
      <c r="E1560" s="79" t="s">
        <v>154</v>
      </c>
      <c r="F1560" s="79"/>
      <c r="G1560" s="79"/>
      <c r="H1560" s="79" t="s">
        <v>155</v>
      </c>
    </row>
    <row r="1561" spans="1:8">
      <c r="A1561" s="79" t="str">
        <f>LeaveData[[#This Row],[ EMP ID]]&amp;LeaveData[[#This Row],[Date]]</f>
        <v>20231801845796</v>
      </c>
      <c r="B1561" s="79">
        <v>202318018</v>
      </c>
      <c r="C1561" s="79" t="s">
        <v>40</v>
      </c>
      <c r="D1561" s="80">
        <v>45796</v>
      </c>
      <c r="E1561" s="79" t="s">
        <v>13</v>
      </c>
      <c r="F1561" s="79"/>
      <c r="G1561" s="79"/>
      <c r="H1561" s="79" t="s">
        <v>1370</v>
      </c>
    </row>
    <row r="1562" spans="1:8">
      <c r="A1562" s="79" t="str">
        <f>LeaveData[[#This Row],[ EMP ID]]&amp;LeaveData[[#This Row],[Date]]</f>
        <v>20251804345795</v>
      </c>
      <c r="B1562" s="79">
        <v>202518043</v>
      </c>
      <c r="C1562" s="79" t="s">
        <v>403</v>
      </c>
      <c r="D1562" s="80">
        <v>45795</v>
      </c>
      <c r="E1562" s="79" t="s">
        <v>840</v>
      </c>
      <c r="F1562" s="79"/>
      <c r="G1562" s="79"/>
      <c r="H1562" s="79" t="s">
        <v>1371</v>
      </c>
    </row>
    <row r="1563" spans="1:8">
      <c r="A1563" s="79" t="str">
        <f>LeaveData[[#This Row],[ EMP ID]]&amp;LeaveData[[#This Row],[Date]]</f>
        <v>20171800145798</v>
      </c>
      <c r="B1563" s="79">
        <v>201718001</v>
      </c>
      <c r="C1563" s="79" t="s">
        <v>17</v>
      </c>
      <c r="D1563" s="80">
        <v>45798</v>
      </c>
      <c r="E1563" s="79" t="s">
        <v>13</v>
      </c>
      <c r="F1563" s="79" t="s">
        <v>106</v>
      </c>
      <c r="G1563" s="79"/>
      <c r="H1563" s="79" t="s">
        <v>1372</v>
      </c>
    </row>
    <row r="1564" spans="1:8">
      <c r="A1564" s="79" t="str">
        <f>LeaveData[[#This Row],[ EMP ID]]&amp;LeaveData[[#This Row],[Date]]</f>
        <v>20171800145799</v>
      </c>
      <c r="B1564" s="79">
        <v>201718001</v>
      </c>
      <c r="C1564" s="79" t="s">
        <v>17</v>
      </c>
      <c r="D1564" s="80">
        <v>45799</v>
      </c>
      <c r="E1564" s="79" t="s">
        <v>13</v>
      </c>
      <c r="F1564" s="79" t="s">
        <v>106</v>
      </c>
      <c r="G1564" s="79"/>
      <c r="H1564" s="79" t="s">
        <v>1372</v>
      </c>
    </row>
    <row r="1565" spans="1:8">
      <c r="A1565" s="79" t="str">
        <f>LeaveData[[#This Row],[ EMP ID]]&amp;LeaveData[[#This Row],[Date]]</f>
        <v>20240100145780</v>
      </c>
      <c r="B1565" s="79">
        <v>202401001</v>
      </c>
      <c r="C1565" s="79" t="s">
        <v>61</v>
      </c>
      <c r="D1565" s="80">
        <v>45780</v>
      </c>
      <c r="E1565" s="79" t="s">
        <v>154</v>
      </c>
      <c r="F1565" s="79"/>
      <c r="G1565" s="79"/>
      <c r="H1565" s="79" t="s">
        <v>188</v>
      </c>
    </row>
    <row r="1566" spans="1:8">
      <c r="A1566" s="79" t="str">
        <f>LeaveData[[#This Row],[ EMP ID]]&amp;LeaveData[[#This Row],[Date]]</f>
        <v>20240100145795</v>
      </c>
      <c r="B1566" s="79">
        <v>202401001</v>
      </c>
      <c r="C1566" s="79" t="s">
        <v>61</v>
      </c>
      <c r="D1566" s="80">
        <v>45795</v>
      </c>
      <c r="E1566" s="79" t="s">
        <v>154</v>
      </c>
      <c r="F1566" s="79"/>
      <c r="G1566" s="79"/>
      <c r="H1566" s="79" t="s">
        <v>188</v>
      </c>
    </row>
    <row r="1567" spans="1:8">
      <c r="A1567" s="79" t="str">
        <f>LeaveData[[#This Row],[ EMP ID]]&amp;LeaveData[[#This Row],[Date]]</f>
        <v>20242001545797</v>
      </c>
      <c r="B1567" s="120">
        <v>202420015</v>
      </c>
      <c r="C1567" s="79" t="s">
        <v>64</v>
      </c>
      <c r="D1567" s="80">
        <v>45797</v>
      </c>
      <c r="E1567" s="79" t="s">
        <v>13</v>
      </c>
      <c r="F1567" s="79"/>
      <c r="G1567" s="79"/>
      <c r="H1567" s="79" t="s">
        <v>212</v>
      </c>
    </row>
    <row r="1568" spans="1:8">
      <c r="A1568" s="79" t="str">
        <f>LeaveData[[#This Row],[ EMP ID]]&amp;LeaveData[[#This Row],[Date]]</f>
        <v>20251804545797</v>
      </c>
      <c r="B1568" s="92">
        <v>202518045</v>
      </c>
      <c r="C1568" s="92" t="s">
        <v>87</v>
      </c>
      <c r="D1568" s="80">
        <v>45797</v>
      </c>
      <c r="E1568" s="79" t="s">
        <v>13</v>
      </c>
      <c r="F1568" s="79"/>
      <c r="G1568" s="79"/>
      <c r="H1568" s="79" t="s">
        <v>212</v>
      </c>
    </row>
    <row r="1569" spans="1:8">
      <c r="A1569" s="79" t="str">
        <f>LeaveData[[#This Row],[ EMP ID]]&amp;LeaveData[[#This Row],[Date]]</f>
        <v>20221801045800</v>
      </c>
      <c r="B1569" s="79">
        <v>202218010</v>
      </c>
      <c r="C1569" s="79" t="s">
        <v>27</v>
      </c>
      <c r="D1569" s="80">
        <v>45800</v>
      </c>
      <c r="E1569" s="79" t="s">
        <v>13</v>
      </c>
      <c r="F1569" s="79" t="s">
        <v>1365</v>
      </c>
      <c r="G1569" s="79"/>
      <c r="H1569" s="79" t="s">
        <v>1373</v>
      </c>
    </row>
    <row r="1570" spans="1:8">
      <c r="A1570" s="79" t="str">
        <f>LeaveData[[#This Row],[ EMP ID]]&amp;LeaveData[[#This Row],[Date]]</f>
        <v>20221801045801</v>
      </c>
      <c r="B1570" s="79">
        <v>202218010</v>
      </c>
      <c r="C1570" s="79" t="s">
        <v>27</v>
      </c>
      <c r="D1570" s="80">
        <v>45801</v>
      </c>
      <c r="E1570" s="79" t="s">
        <v>13</v>
      </c>
      <c r="F1570" s="79" t="s">
        <v>1365</v>
      </c>
      <c r="G1570" s="79"/>
      <c r="H1570" s="79" t="s">
        <v>1373</v>
      </c>
    </row>
    <row r="1571" spans="1:8">
      <c r="A1571" s="79" t="str">
        <f>LeaveData[[#This Row],[ EMP ID]]&amp;LeaveData[[#This Row],[Date]]</f>
        <v>20241804145798</v>
      </c>
      <c r="B1571" s="79">
        <v>202418041</v>
      </c>
      <c r="C1571" s="79" t="s">
        <v>376</v>
      </c>
      <c r="D1571" s="80">
        <v>45798</v>
      </c>
      <c r="E1571" s="79" t="s">
        <v>12</v>
      </c>
      <c r="F1571" s="79" t="s">
        <v>235</v>
      </c>
      <c r="G1571" s="79"/>
      <c r="H1571" s="79" t="s">
        <v>140</v>
      </c>
    </row>
    <row r="1572" spans="1:8">
      <c r="A1572" s="79" t="str">
        <f>LeaveData[[#This Row],[ EMP ID]]&amp;LeaveData[[#This Row],[Date]]</f>
        <v>20231802045798</v>
      </c>
      <c r="B1572" s="79">
        <v>202318020</v>
      </c>
      <c r="C1572" s="79" t="s">
        <v>43</v>
      </c>
      <c r="D1572" s="80">
        <v>45798</v>
      </c>
      <c r="E1572" s="79" t="s">
        <v>16</v>
      </c>
      <c r="F1572" s="79" t="s">
        <v>45</v>
      </c>
      <c r="G1572" s="79"/>
      <c r="H1572" s="79" t="s">
        <v>140</v>
      </c>
    </row>
    <row r="1573" spans="1:8">
      <c r="A1573" s="79" t="str">
        <f>LeaveData[[#This Row],[ EMP ID]]&amp;LeaveData[[#This Row],[Date]]</f>
        <v>20241803345798</v>
      </c>
      <c r="B1573" s="79">
        <v>202418033</v>
      </c>
      <c r="C1573" s="79" t="s">
        <v>65</v>
      </c>
      <c r="D1573" s="80">
        <v>45798</v>
      </c>
      <c r="E1573" s="79" t="s">
        <v>12</v>
      </c>
      <c r="F1573" s="79" t="s">
        <v>128</v>
      </c>
      <c r="G1573" s="79"/>
      <c r="H1573" s="79" t="s">
        <v>119</v>
      </c>
    </row>
    <row r="1574" spans="1:8">
      <c r="A1574" s="79" t="str">
        <f>LeaveData[[#This Row],[ EMP ID]]&amp;LeaveData[[#This Row],[Date]]</f>
        <v>20241803345799</v>
      </c>
      <c r="B1574" s="79">
        <v>202418033</v>
      </c>
      <c r="C1574" s="79" t="s">
        <v>65</v>
      </c>
      <c r="D1574" s="80">
        <v>45799</v>
      </c>
      <c r="E1574" s="79" t="s">
        <v>12</v>
      </c>
      <c r="F1574" s="79" t="s">
        <v>128</v>
      </c>
      <c r="G1574" s="79"/>
      <c r="H1574" s="79" t="s">
        <v>119</v>
      </c>
    </row>
    <row r="1575" spans="1:8">
      <c r="A1575" s="79" t="str">
        <f>LeaveData[[#This Row],[ EMP ID]]&amp;LeaveData[[#This Row],[Date]]</f>
        <v>20211800745801</v>
      </c>
      <c r="B1575" s="79">
        <v>202118007</v>
      </c>
      <c r="C1575" s="79" t="s">
        <v>103</v>
      </c>
      <c r="D1575" s="80">
        <v>45801</v>
      </c>
      <c r="E1575" s="79" t="s">
        <v>13</v>
      </c>
      <c r="F1575" s="79" t="s">
        <v>235</v>
      </c>
      <c r="G1575" s="79"/>
      <c r="H1575" s="79" t="s">
        <v>116</v>
      </c>
    </row>
    <row r="1576" spans="1:8">
      <c r="A1576" s="79" t="str">
        <f>LeaveData[[#This Row],[ EMP ID]]&amp;LeaveData[[#This Row],[Date]]</f>
        <v>20231802845799</v>
      </c>
      <c r="B1576" s="79">
        <v>202318028</v>
      </c>
      <c r="C1576" s="79" t="s">
        <v>57</v>
      </c>
      <c r="D1576" s="80">
        <v>45799</v>
      </c>
      <c r="E1576" s="79" t="s">
        <v>12</v>
      </c>
      <c r="F1576" s="79"/>
      <c r="G1576" s="79"/>
      <c r="H1576" s="79" t="s">
        <v>140</v>
      </c>
    </row>
    <row r="1577" spans="1:8">
      <c r="A1577" s="79" t="str">
        <f>LeaveData[[#This Row],[ EMP ID]]&amp;LeaveData[[#This Row],[Date]]</f>
        <v>20231802545800</v>
      </c>
      <c r="B1577" s="79">
        <v>202318025</v>
      </c>
      <c r="C1577" s="79" t="s">
        <v>122</v>
      </c>
      <c r="D1577" s="80">
        <v>45800</v>
      </c>
      <c r="E1577" s="79" t="s">
        <v>15</v>
      </c>
      <c r="F1577" s="79" t="s">
        <v>114</v>
      </c>
      <c r="G1577" s="79"/>
      <c r="H1577" s="79" t="s">
        <v>1374</v>
      </c>
    </row>
    <row r="1578" spans="1:8">
      <c r="A1578" s="79" t="str">
        <f>LeaveData[[#This Row],[ EMP ID]]&amp;LeaveData[[#This Row],[Date]]</f>
        <v>20231802545803</v>
      </c>
      <c r="B1578" s="79">
        <v>202318025</v>
      </c>
      <c r="C1578" s="79" t="s">
        <v>122</v>
      </c>
      <c r="D1578" s="80">
        <v>45803</v>
      </c>
      <c r="E1578" s="79" t="s">
        <v>13</v>
      </c>
      <c r="F1578" s="79" t="s">
        <v>1365</v>
      </c>
      <c r="G1578" s="79"/>
      <c r="H1578" s="79" t="s">
        <v>1375</v>
      </c>
    </row>
    <row r="1579" spans="1:8">
      <c r="A1579" s="79" t="str">
        <f>LeaveData[[#This Row],[ EMP ID]]&amp;LeaveData[[#This Row],[Date]]</f>
        <v>20231802545804</v>
      </c>
      <c r="B1579" s="79">
        <v>202318025</v>
      </c>
      <c r="C1579" s="79" t="s">
        <v>122</v>
      </c>
      <c r="D1579" s="80">
        <v>45804</v>
      </c>
      <c r="E1579" s="79" t="s">
        <v>13</v>
      </c>
      <c r="F1579" s="79" t="s">
        <v>1365</v>
      </c>
      <c r="G1579" s="79"/>
      <c r="H1579" s="79" t="s">
        <v>1375</v>
      </c>
    </row>
    <row r="1580" spans="1:8">
      <c r="A1580" s="79" t="str">
        <f>LeaveData[[#This Row],[ EMP ID]]&amp;LeaveData[[#This Row],[Date]]</f>
        <v>20242100245800</v>
      </c>
      <c r="B1580" s="79">
        <v>202421002</v>
      </c>
      <c r="C1580" s="79" t="s">
        <v>223</v>
      </c>
      <c r="D1580" s="80">
        <v>45800</v>
      </c>
      <c r="E1580" s="79" t="s">
        <v>16</v>
      </c>
      <c r="F1580" s="79" t="s">
        <v>206</v>
      </c>
      <c r="G1580" s="79"/>
      <c r="H1580" s="79" t="s">
        <v>140</v>
      </c>
    </row>
    <row r="1581" spans="1:8">
      <c r="A1581" s="79" t="str">
        <f>LeaveData[[#This Row],[ EMP ID]]&amp;LeaveData[[#This Row],[Date]]</f>
        <v>20221801245801</v>
      </c>
      <c r="B1581" s="79">
        <v>202218012</v>
      </c>
      <c r="C1581" s="79" t="s">
        <v>29</v>
      </c>
      <c r="D1581" s="80">
        <v>45801</v>
      </c>
      <c r="E1581" s="79" t="s">
        <v>12</v>
      </c>
      <c r="F1581" s="79" t="s">
        <v>1366</v>
      </c>
      <c r="G1581" s="79"/>
      <c r="H1581" s="79" t="s">
        <v>140</v>
      </c>
    </row>
    <row r="1582" spans="1:8">
      <c r="A1582" s="79" t="str">
        <f>LeaveData[[#This Row],[ EMP ID]]&amp;LeaveData[[#This Row],[Date]]</f>
        <v>20242100245801</v>
      </c>
      <c r="B1582" s="79">
        <v>202421002</v>
      </c>
      <c r="C1582" s="79" t="s">
        <v>223</v>
      </c>
      <c r="D1582" s="80">
        <v>45801</v>
      </c>
      <c r="E1582" s="79" t="s">
        <v>16</v>
      </c>
      <c r="F1582" s="79" t="s">
        <v>206</v>
      </c>
      <c r="G1582" s="79"/>
      <c r="H1582" s="79" t="s">
        <v>140</v>
      </c>
    </row>
    <row r="1583" spans="1:8">
      <c r="A1583" s="79" t="str">
        <f>LeaveData[[#This Row],[ EMP ID]]&amp;LeaveData[[#This Row],[Date]]</f>
        <v>20242001545800</v>
      </c>
      <c r="B1583" s="120">
        <v>202420015</v>
      </c>
      <c r="C1583" s="79" t="s">
        <v>64</v>
      </c>
      <c r="D1583" s="80">
        <v>45800</v>
      </c>
      <c r="E1583" s="79" t="s">
        <v>13</v>
      </c>
      <c r="F1583" s="79"/>
      <c r="G1583" s="79"/>
      <c r="H1583" s="79" t="s">
        <v>116</v>
      </c>
    </row>
    <row r="1584" spans="1:8">
      <c r="A1584" s="79" t="str">
        <f>LeaveData[[#This Row],[ EMP ID]]&amp;LeaveData[[#This Row],[Date]]</f>
        <v>20241804245802</v>
      </c>
      <c r="B1584" s="79">
        <v>202418042</v>
      </c>
      <c r="C1584" s="79" t="s">
        <v>402</v>
      </c>
      <c r="D1584" s="80">
        <v>45802</v>
      </c>
      <c r="E1584" s="79" t="s">
        <v>154</v>
      </c>
      <c r="F1584" s="79"/>
      <c r="G1584" s="79"/>
      <c r="H1584" s="79" t="s">
        <v>155</v>
      </c>
    </row>
    <row r="1585" spans="1:8">
      <c r="A1585" s="79" t="str">
        <f>LeaveData[[#This Row],[ EMP ID]]&amp;LeaveData[[#This Row],[Date]]</f>
        <v>20241804145802</v>
      </c>
      <c r="B1585" s="79">
        <v>202418041</v>
      </c>
      <c r="C1585" s="79" t="s">
        <v>376</v>
      </c>
      <c r="D1585" s="80">
        <v>45802</v>
      </c>
      <c r="E1585" s="79" t="s">
        <v>154</v>
      </c>
      <c r="F1585" s="79" t="s">
        <v>125</v>
      </c>
      <c r="G1585" s="79"/>
      <c r="H1585" s="79" t="s">
        <v>155</v>
      </c>
    </row>
    <row r="1586" spans="1:8">
      <c r="A1586" s="79" t="str">
        <f>LeaveData[[#This Row],[ EMP ID]]&amp;LeaveData[[#This Row],[Date]]</f>
        <v>20241803845802</v>
      </c>
      <c r="B1586" s="79">
        <v>202418038</v>
      </c>
      <c r="C1586" s="79" t="s">
        <v>246</v>
      </c>
      <c r="D1586" s="80">
        <v>45802</v>
      </c>
      <c r="E1586" s="79" t="s">
        <v>154</v>
      </c>
      <c r="F1586" s="79"/>
      <c r="G1586" s="79"/>
      <c r="H1586" s="79" t="s">
        <v>155</v>
      </c>
    </row>
    <row r="1587" spans="1:8">
      <c r="A1587" s="79" t="str">
        <f>LeaveData[[#This Row],[ EMP ID]]&amp;LeaveData[[#This Row],[Date]]</f>
        <v>20231802645802</v>
      </c>
      <c r="B1587" s="79">
        <v>202318026</v>
      </c>
      <c r="C1587" s="79" t="s">
        <v>53</v>
      </c>
      <c r="D1587" s="80">
        <v>45802</v>
      </c>
      <c r="E1587" s="79" t="s">
        <v>154</v>
      </c>
      <c r="F1587" s="79"/>
      <c r="G1587" s="79"/>
      <c r="H1587" s="79" t="s">
        <v>155</v>
      </c>
    </row>
    <row r="1588" spans="1:8">
      <c r="A1588" s="79" t="str">
        <f>LeaveData[[#This Row],[ EMP ID]]&amp;LeaveData[[#This Row],[Date]]</f>
        <v>20231802245802</v>
      </c>
      <c r="B1588" s="79">
        <v>202318022</v>
      </c>
      <c r="C1588" s="79" t="s">
        <v>45</v>
      </c>
      <c r="D1588" s="80">
        <v>45802</v>
      </c>
      <c r="E1588" s="79" t="s">
        <v>154</v>
      </c>
      <c r="F1588" s="79" t="s">
        <v>106</v>
      </c>
      <c r="G1588" s="79"/>
      <c r="H1588" s="79" t="s">
        <v>155</v>
      </c>
    </row>
    <row r="1589" spans="1:8">
      <c r="A1589" s="79" t="str">
        <f>LeaveData[[#This Row],[ EMP ID]]&amp;LeaveData[[#This Row],[Date]]</f>
        <v>20231802045802</v>
      </c>
      <c r="B1589" s="79">
        <v>202318020</v>
      </c>
      <c r="C1589" s="79" t="s">
        <v>43</v>
      </c>
      <c r="D1589" s="80">
        <v>45802</v>
      </c>
      <c r="E1589" s="79" t="s">
        <v>154</v>
      </c>
      <c r="F1589" s="79"/>
      <c r="G1589" s="79"/>
      <c r="H1589" s="79" t="s">
        <v>155</v>
      </c>
    </row>
    <row r="1590" spans="1:8">
      <c r="A1590" s="79" t="str">
        <f>LeaveData[[#This Row],[ EMP ID]]&amp;LeaveData[[#This Row],[Date]]</f>
        <v>20241804245803</v>
      </c>
      <c r="B1590" s="79">
        <v>202418042</v>
      </c>
      <c r="C1590" s="79" t="s">
        <v>402</v>
      </c>
      <c r="D1590" s="80">
        <v>45803</v>
      </c>
      <c r="E1590" s="79" t="s">
        <v>13</v>
      </c>
      <c r="F1590" s="79"/>
      <c r="G1590" s="79"/>
      <c r="H1590" s="79" t="s">
        <v>116</v>
      </c>
    </row>
    <row r="1591" spans="1:8">
      <c r="A1591" s="79" t="str">
        <f>LeaveData[[#This Row],[ EMP ID]]&amp;LeaveData[[#This Row],[Date]]</f>
        <v>20241804145803</v>
      </c>
      <c r="B1591" s="79">
        <v>202418041</v>
      </c>
      <c r="C1591" s="79" t="s">
        <v>376</v>
      </c>
      <c r="D1591" s="80">
        <v>45803</v>
      </c>
      <c r="E1591" s="79" t="s">
        <v>13</v>
      </c>
      <c r="F1591" s="79" t="s">
        <v>125</v>
      </c>
      <c r="G1591" s="79"/>
      <c r="H1591" s="79" t="s">
        <v>116</v>
      </c>
    </row>
    <row r="1592" spans="1:8">
      <c r="A1592" s="79" t="str">
        <f>LeaveData[[#This Row],[ EMP ID]]&amp;LeaveData[[#This Row],[Date]]</f>
        <v>20242001545802</v>
      </c>
      <c r="B1592" s="120">
        <v>202420015</v>
      </c>
      <c r="C1592" s="79" t="s">
        <v>64</v>
      </c>
      <c r="D1592" s="80">
        <v>45802</v>
      </c>
      <c r="E1592" s="79" t="s">
        <v>154</v>
      </c>
      <c r="F1592" s="79"/>
      <c r="G1592" s="79"/>
      <c r="H1592" s="79" t="s">
        <v>155</v>
      </c>
    </row>
    <row r="1593" spans="1:8">
      <c r="A1593" s="79" t="str">
        <f>LeaveData[[#This Row],[ EMP ID]]&amp;LeaveData[[#This Row],[Date]]</f>
        <v>20231802745802</v>
      </c>
      <c r="B1593" s="79">
        <v>202318027</v>
      </c>
      <c r="C1593" s="79" t="s">
        <v>54</v>
      </c>
      <c r="D1593" s="80">
        <v>45802</v>
      </c>
      <c r="E1593" s="79" t="s">
        <v>154</v>
      </c>
      <c r="F1593" s="79" t="s">
        <v>1365</v>
      </c>
      <c r="G1593" s="79"/>
      <c r="H1593" s="79" t="s">
        <v>155</v>
      </c>
    </row>
    <row r="1594" spans="1:8">
      <c r="A1594" s="79" t="str">
        <f>LeaveData[[#This Row],[ EMP ID]]&amp;LeaveData[[#This Row],[Date]]</f>
        <v>20211800745803</v>
      </c>
      <c r="B1594" s="79">
        <v>202118007</v>
      </c>
      <c r="C1594" s="79" t="s">
        <v>103</v>
      </c>
      <c r="D1594" s="80">
        <v>45803</v>
      </c>
      <c r="E1594" s="79" t="s">
        <v>15</v>
      </c>
      <c r="F1594" s="79"/>
      <c r="G1594" s="79"/>
      <c r="H1594" s="79" t="s">
        <v>140</v>
      </c>
    </row>
    <row r="1595" spans="1:8">
      <c r="A1595" s="79" t="str">
        <f>LeaveData[[#This Row],[ EMP ID]]&amp;LeaveData[[#This Row],[Date]]</f>
        <v>20211800745804</v>
      </c>
      <c r="B1595" s="79">
        <v>202118007</v>
      </c>
      <c r="C1595" s="79" t="s">
        <v>103</v>
      </c>
      <c r="D1595" s="80">
        <v>45804</v>
      </c>
      <c r="E1595" s="79" t="s">
        <v>12</v>
      </c>
      <c r="F1595" s="79"/>
      <c r="G1595" s="79"/>
      <c r="H1595" s="79" t="s">
        <v>140</v>
      </c>
    </row>
    <row r="1596" spans="1:8">
      <c r="A1596" s="79" t="str">
        <f>LeaveData[[#This Row],[ EMP ID]]&amp;LeaveData[[#This Row],[Date]]</f>
        <v>20211800745805</v>
      </c>
      <c r="B1596" s="79">
        <v>202118007</v>
      </c>
      <c r="C1596" s="79" t="s">
        <v>103</v>
      </c>
      <c r="D1596" s="80">
        <v>45805</v>
      </c>
      <c r="E1596" s="79" t="s">
        <v>16</v>
      </c>
      <c r="F1596" s="79"/>
      <c r="G1596" s="79"/>
      <c r="H1596" s="79" t="s">
        <v>140</v>
      </c>
    </row>
    <row r="1597" spans="1:8">
      <c r="A1597" s="79" t="str">
        <f>LeaveData[[#This Row],[ EMP ID]]&amp;LeaveData[[#This Row],[Date]]</f>
        <v>20231801945804</v>
      </c>
      <c r="B1597" s="79">
        <v>202318019</v>
      </c>
      <c r="C1597" s="79" t="s">
        <v>89</v>
      </c>
      <c r="D1597" s="80">
        <v>45804</v>
      </c>
      <c r="E1597" s="79" t="s">
        <v>16</v>
      </c>
      <c r="F1597" s="79"/>
      <c r="G1597" s="79"/>
      <c r="H1597" s="79" t="s">
        <v>140</v>
      </c>
    </row>
    <row r="1598" spans="1:8">
      <c r="A1598" s="79" t="str">
        <f>LeaveData[[#This Row],[ EMP ID]]&amp;LeaveData[[#This Row],[Date]]</f>
        <v>20240100145827</v>
      </c>
      <c r="B1598" s="121">
        <v>202401001</v>
      </c>
      <c r="C1598" s="79" t="s">
        <v>61</v>
      </c>
      <c r="D1598" s="80">
        <v>45827</v>
      </c>
      <c r="E1598" s="79" t="s">
        <v>13</v>
      </c>
      <c r="F1598" s="79"/>
      <c r="G1598" s="79"/>
      <c r="H1598" s="79" t="s">
        <v>168</v>
      </c>
    </row>
    <row r="1599" spans="1:8">
      <c r="A1599" s="79" t="str">
        <f>LeaveData[[#This Row],[ EMP ID]]&amp;LeaveData[[#This Row],[Date]]</f>
        <v>20240100145828</v>
      </c>
      <c r="B1599" s="121">
        <v>202401001</v>
      </c>
      <c r="C1599" s="79" t="s">
        <v>61</v>
      </c>
      <c r="D1599" s="80">
        <v>45828</v>
      </c>
      <c r="E1599" s="79" t="s">
        <v>13</v>
      </c>
      <c r="F1599" s="79"/>
      <c r="G1599" s="79"/>
      <c r="H1599" s="79" t="s">
        <v>168</v>
      </c>
    </row>
    <row r="1600" spans="1:8">
      <c r="A1600" s="79" t="str">
        <f>LeaveData[[#This Row],[ EMP ID]]&amp;LeaveData[[#This Row],[Date]]</f>
        <v>20240100145829</v>
      </c>
      <c r="B1600" s="121">
        <v>202401001</v>
      </c>
      <c r="C1600" s="79" t="s">
        <v>61</v>
      </c>
      <c r="D1600" s="80">
        <v>45829</v>
      </c>
      <c r="E1600" s="79" t="s">
        <v>13</v>
      </c>
      <c r="F1600" s="79"/>
      <c r="G1600" s="79"/>
      <c r="H1600" s="79" t="s">
        <v>168</v>
      </c>
    </row>
    <row r="1601" spans="1:8">
      <c r="A1601" s="79" t="str">
        <f>LeaveData[[#This Row],[ EMP ID]]&amp;LeaveData[[#This Row],[Date]]</f>
        <v>20231802645803</v>
      </c>
      <c r="B1601" s="79">
        <v>202318026</v>
      </c>
      <c r="C1601" s="79" t="s">
        <v>53</v>
      </c>
      <c r="D1601" s="80">
        <v>45803</v>
      </c>
      <c r="E1601" s="79" t="s">
        <v>13</v>
      </c>
      <c r="F1601" s="79"/>
      <c r="G1601" s="79"/>
      <c r="H1601" s="79" t="s">
        <v>1376</v>
      </c>
    </row>
    <row r="1602" spans="1:8">
      <c r="A1602" s="79" t="str">
        <f>LeaveData[[#This Row],[ EMP ID]]&amp;LeaveData[[#This Row],[Date]]</f>
        <v>20231802645804</v>
      </c>
      <c r="B1602" s="79">
        <v>202318026</v>
      </c>
      <c r="C1602" s="79" t="s">
        <v>53</v>
      </c>
      <c r="D1602" s="80">
        <v>45804</v>
      </c>
      <c r="E1602" s="79" t="s">
        <v>13</v>
      </c>
      <c r="F1602" s="79"/>
      <c r="G1602" s="79"/>
      <c r="H1602" s="79" t="s">
        <v>1376</v>
      </c>
    </row>
    <row r="1603" spans="1:8">
      <c r="A1603" s="79" t="str">
        <f>LeaveData[[#This Row],[ EMP ID]]&amp;LeaveData[[#This Row],[Date]]</f>
        <v>20250101045789</v>
      </c>
      <c r="B1603" s="79">
        <v>202501010</v>
      </c>
      <c r="C1603" s="79" t="s">
        <v>1377</v>
      </c>
      <c r="D1603" s="80">
        <v>45789</v>
      </c>
      <c r="E1603" s="79" t="s">
        <v>199</v>
      </c>
      <c r="F1603" s="79" t="s">
        <v>106</v>
      </c>
      <c r="G1603" s="79"/>
      <c r="H1603" s="79" t="s">
        <v>200</v>
      </c>
    </row>
    <row r="1604" spans="1:8">
      <c r="A1604" s="79" t="str">
        <f>LeaveData[[#This Row],[ EMP ID]]&amp;LeaveData[[#This Row],[Date]]</f>
        <v>20231802045805</v>
      </c>
      <c r="B1604" s="79">
        <v>202318020</v>
      </c>
      <c r="C1604" s="79" t="s">
        <v>43</v>
      </c>
      <c r="D1604" s="80">
        <v>45805</v>
      </c>
      <c r="E1604" s="79" t="s">
        <v>16</v>
      </c>
      <c r="F1604" s="79" t="s">
        <v>45</v>
      </c>
      <c r="G1604" s="79"/>
      <c r="H1604" s="79" t="s">
        <v>1378</v>
      </c>
    </row>
    <row r="1605" spans="1:8">
      <c r="A1605" s="79" t="str">
        <f>LeaveData[[#This Row],[ EMP ID]]&amp;LeaveData[[#This Row],[Date]]</f>
        <v>20252101545806</v>
      </c>
      <c r="B1605" s="79">
        <v>202521015</v>
      </c>
      <c r="C1605" s="79" t="s">
        <v>829</v>
      </c>
      <c r="D1605" s="80">
        <v>45806</v>
      </c>
      <c r="E1605" s="79" t="s">
        <v>318</v>
      </c>
      <c r="F1605" s="79" t="s">
        <v>206</v>
      </c>
      <c r="G1605" s="79"/>
      <c r="H1605" s="79" t="s">
        <v>105</v>
      </c>
    </row>
    <row r="1606" spans="1:8">
      <c r="A1606" s="79" t="str">
        <f>LeaveData[[#This Row],[ EMP ID]]&amp;LeaveData[[#This Row],[Date]]</f>
        <v>20242100445805</v>
      </c>
      <c r="B1606" s="79">
        <v>202421004</v>
      </c>
      <c r="C1606" s="79" t="s">
        <v>270</v>
      </c>
      <c r="D1606" s="80">
        <v>45805</v>
      </c>
      <c r="E1606" s="79" t="s">
        <v>12</v>
      </c>
      <c r="F1606" s="79" t="s">
        <v>206</v>
      </c>
      <c r="G1606" s="79"/>
      <c r="H1606" s="79" t="s">
        <v>140</v>
      </c>
    </row>
    <row r="1607" spans="1:8">
      <c r="A1607" s="79" t="str">
        <f>LeaveData[[#This Row],[ EMP ID]]&amp;LeaveData[[#This Row],[Date]]</f>
        <v>20231802845810</v>
      </c>
      <c r="B1607" s="79">
        <v>202318028</v>
      </c>
      <c r="C1607" s="79" t="s">
        <v>57</v>
      </c>
      <c r="D1607" s="80">
        <v>45810</v>
      </c>
      <c r="E1607" s="79" t="s">
        <v>13</v>
      </c>
      <c r="F1607" s="79" t="s">
        <v>104</v>
      </c>
      <c r="G1607" s="79"/>
      <c r="H1607" s="79" t="s">
        <v>168</v>
      </c>
    </row>
    <row r="1608" spans="1:8">
      <c r="A1608" s="79" t="str">
        <f>LeaveData[[#This Row],[ EMP ID]]&amp;LeaveData[[#This Row],[Date]]</f>
        <v>20231802845811</v>
      </c>
      <c r="B1608" s="79">
        <v>202318028</v>
      </c>
      <c r="C1608" s="79" t="s">
        <v>57</v>
      </c>
      <c r="D1608" s="80">
        <v>45811</v>
      </c>
      <c r="E1608" s="79" t="s">
        <v>13</v>
      </c>
      <c r="F1608" s="79" t="s">
        <v>104</v>
      </c>
      <c r="G1608" s="79"/>
      <c r="H1608" s="79" t="s">
        <v>168</v>
      </c>
    </row>
    <row r="1609" spans="1:8">
      <c r="A1609" s="79" t="str">
        <f>LeaveData[[#This Row],[ EMP ID]]&amp;LeaveData[[#This Row],[Date]]</f>
        <v>20242001545806</v>
      </c>
      <c r="B1609" s="79">
        <v>202420015</v>
      </c>
      <c r="C1609" s="79" t="s">
        <v>64</v>
      </c>
      <c r="D1609" s="80">
        <v>45806</v>
      </c>
      <c r="E1609" s="79" t="s">
        <v>13</v>
      </c>
      <c r="F1609" s="79" t="s">
        <v>125</v>
      </c>
      <c r="G1609" s="79"/>
      <c r="H1609" s="79" t="s">
        <v>168</v>
      </c>
    </row>
    <row r="1610" spans="1:8">
      <c r="A1610" s="79" t="str">
        <f>LeaveData[[#This Row],[ EMP ID]]&amp;LeaveData[[#This Row],[Date]]</f>
        <v>20182000145802</v>
      </c>
      <c r="B1610" s="79">
        <v>201820001</v>
      </c>
      <c r="C1610" s="79" t="s">
        <v>18</v>
      </c>
      <c r="D1610" s="80">
        <v>45802</v>
      </c>
      <c r="E1610" s="79" t="s">
        <v>154</v>
      </c>
      <c r="F1610" s="79" t="s">
        <v>118</v>
      </c>
      <c r="G1610" s="79"/>
      <c r="H1610" s="79" t="s">
        <v>155</v>
      </c>
    </row>
    <row r="1611" spans="1:8">
      <c r="A1611" s="79" t="str">
        <f>LeaveData[[#This Row],[ EMP ID]]&amp;LeaveData[[#This Row],[Date]]</f>
        <v>20182000145808</v>
      </c>
      <c r="B1611" s="79">
        <v>201820001</v>
      </c>
      <c r="C1611" s="79" t="s">
        <v>18</v>
      </c>
      <c r="D1611" s="80">
        <v>45808</v>
      </c>
      <c r="E1611" s="79" t="s">
        <v>13</v>
      </c>
      <c r="F1611" s="79" t="s">
        <v>118</v>
      </c>
      <c r="G1611" s="79"/>
      <c r="H1611" s="79" t="s">
        <v>168</v>
      </c>
    </row>
    <row r="1612" spans="1:8">
      <c r="A1612" s="79" t="str">
        <f>LeaveData[[#This Row],[ EMP ID]]&amp;LeaveData[[#This Row],[Date]]</f>
        <v>20241803845810</v>
      </c>
      <c r="B1612" s="79">
        <v>202418038</v>
      </c>
      <c r="C1612" s="79" t="s">
        <v>246</v>
      </c>
      <c r="D1612" s="80">
        <v>45810</v>
      </c>
      <c r="E1612" s="79" t="s">
        <v>13</v>
      </c>
      <c r="F1612" s="79" t="s">
        <v>114</v>
      </c>
      <c r="G1612" s="79"/>
      <c r="H1612" s="79" t="s">
        <v>168</v>
      </c>
    </row>
    <row r="1613" spans="1:8">
      <c r="A1613" s="79" t="str">
        <f>LeaveData[[#This Row],[ EMP ID]]&amp;LeaveData[[#This Row],[Date]]</f>
        <v>20221801045811</v>
      </c>
      <c r="B1613" s="79">
        <v>202218010</v>
      </c>
      <c r="C1613" s="79" t="s">
        <v>27</v>
      </c>
      <c r="D1613" s="80">
        <v>45811</v>
      </c>
      <c r="E1613" s="79" t="s">
        <v>13</v>
      </c>
      <c r="F1613" s="79" t="s">
        <v>1365</v>
      </c>
      <c r="G1613" s="79"/>
      <c r="H1613" s="79" t="s">
        <v>1379</v>
      </c>
    </row>
    <row r="1614" spans="1:8">
      <c r="A1614" s="79" t="str">
        <f>LeaveData[[#This Row],[ EMP ID]]&amp;LeaveData[[#This Row],[Date]]</f>
        <v>20221801045812</v>
      </c>
      <c r="B1614" s="79">
        <v>202218010</v>
      </c>
      <c r="C1614" s="79" t="s">
        <v>27</v>
      </c>
      <c r="D1614" s="80">
        <v>45812</v>
      </c>
      <c r="E1614" s="79" t="s">
        <v>13</v>
      </c>
      <c r="F1614" s="79" t="s">
        <v>1365</v>
      </c>
      <c r="G1614" s="79"/>
      <c r="H1614" s="79" t="s">
        <v>1379</v>
      </c>
    </row>
    <row r="1615" spans="1:8">
      <c r="A1615" s="79" t="str">
        <f>LeaveData[[#This Row],[ EMP ID]]&amp;LeaveData[[#This Row],[Date]]</f>
        <v>20221801045813</v>
      </c>
      <c r="B1615" s="79">
        <v>202218010</v>
      </c>
      <c r="C1615" s="79" t="s">
        <v>27</v>
      </c>
      <c r="D1615" s="80">
        <v>45813</v>
      </c>
      <c r="E1615" s="79" t="s">
        <v>13</v>
      </c>
      <c r="F1615" s="79" t="s">
        <v>1365</v>
      </c>
      <c r="G1615" s="79"/>
      <c r="H1615" s="79" t="s">
        <v>1379</v>
      </c>
    </row>
    <row r="1616" spans="1:8">
      <c r="A1616" s="79" t="str">
        <f>LeaveData[[#This Row],[ EMP ID]]&amp;LeaveData[[#This Row],[Date]]</f>
        <v>20252101445808</v>
      </c>
      <c r="B1616" s="92">
        <v>202521014</v>
      </c>
      <c r="C1616" s="92" t="s">
        <v>441</v>
      </c>
      <c r="D1616" s="80">
        <v>45808</v>
      </c>
      <c r="E1616" s="79" t="s">
        <v>13</v>
      </c>
      <c r="F1616" s="79" t="s">
        <v>206</v>
      </c>
      <c r="G1616" s="79"/>
      <c r="H1616" s="79" t="s">
        <v>168</v>
      </c>
    </row>
    <row r="1617" spans="1:8">
      <c r="A1617" s="79" t="str">
        <f>LeaveData[[#This Row],[ EMP ID]]&amp;LeaveData[[#This Row],[Date]]</f>
        <v>20211800745809</v>
      </c>
      <c r="B1617" s="79">
        <v>202118007</v>
      </c>
      <c r="C1617" s="79" t="s">
        <v>103</v>
      </c>
      <c r="D1617" s="80">
        <v>45809</v>
      </c>
      <c r="E1617" s="79" t="s">
        <v>154</v>
      </c>
      <c r="F1617" s="79" t="s">
        <v>104</v>
      </c>
      <c r="G1617" s="79"/>
      <c r="H1617" s="79" t="s">
        <v>155</v>
      </c>
    </row>
    <row r="1618" spans="1:8">
      <c r="A1618" s="79" t="str">
        <f>LeaveData[[#This Row],[ EMP ID]]&amp;LeaveData[[#This Row],[Date]]</f>
        <v>20211800745449</v>
      </c>
      <c r="B1618" s="79">
        <v>202118007</v>
      </c>
      <c r="C1618" s="79" t="s">
        <v>103</v>
      </c>
      <c r="D1618" s="80">
        <v>45449</v>
      </c>
      <c r="E1618" s="79" t="s">
        <v>13</v>
      </c>
      <c r="F1618" s="79" t="s">
        <v>104</v>
      </c>
      <c r="G1618" s="79"/>
      <c r="H1618" s="79" t="s">
        <v>168</v>
      </c>
    </row>
    <row r="1619" spans="1:8">
      <c r="A1619" s="79" t="str">
        <f>LeaveData[[#This Row],[ EMP ID]]&amp;LeaveData[[#This Row],[Date]]</f>
        <v>20211800745450</v>
      </c>
      <c r="B1619" s="79">
        <v>202118007</v>
      </c>
      <c r="C1619" s="79" t="s">
        <v>103</v>
      </c>
      <c r="D1619" s="80">
        <v>45450</v>
      </c>
      <c r="E1619" s="79" t="s">
        <v>13</v>
      </c>
      <c r="F1619" s="79" t="s">
        <v>104</v>
      </c>
      <c r="G1619" s="79"/>
      <c r="H1619" s="79" t="s">
        <v>168</v>
      </c>
    </row>
    <row r="1620" spans="1:8">
      <c r="A1620" s="79" t="str">
        <f>LeaveData[[#This Row],[ EMP ID]]&amp;LeaveData[[#This Row],[Date]]</f>
        <v>20211800745452</v>
      </c>
      <c r="B1620" s="79">
        <v>202118007</v>
      </c>
      <c r="C1620" s="79" t="s">
        <v>103</v>
      </c>
      <c r="D1620" s="80">
        <v>45452</v>
      </c>
      <c r="E1620" s="79" t="s">
        <v>13</v>
      </c>
      <c r="F1620" s="79" t="s">
        <v>104</v>
      </c>
      <c r="G1620" s="79"/>
      <c r="H1620" s="79" t="s">
        <v>168</v>
      </c>
    </row>
    <row r="1621" spans="1:8">
      <c r="A1621" s="79" t="str">
        <f>LeaveData[[#This Row],[ EMP ID]]&amp;LeaveData[[#This Row],[Date]]</f>
        <v>20242101245800</v>
      </c>
      <c r="B1621" s="79">
        <v>202421012</v>
      </c>
      <c r="C1621" s="79" t="s">
        <v>377</v>
      </c>
      <c r="D1621" s="80">
        <v>45800</v>
      </c>
      <c r="E1621" s="79" t="s">
        <v>13</v>
      </c>
      <c r="F1621" s="79" t="s">
        <v>206</v>
      </c>
      <c r="G1621" s="79"/>
      <c r="H1621" s="79" t="s">
        <v>168</v>
      </c>
    </row>
    <row r="1622" spans="1:8">
      <c r="A1622" s="79" t="str">
        <f>LeaveData[[#This Row],[ EMP ID]]&amp;LeaveData[[#This Row],[Date]]</f>
        <v>20242100745800</v>
      </c>
      <c r="B1622" s="79">
        <v>202421007</v>
      </c>
      <c r="C1622" s="79" t="s">
        <v>273</v>
      </c>
      <c r="D1622" s="80">
        <v>45800</v>
      </c>
      <c r="E1622" s="79" t="s">
        <v>13</v>
      </c>
      <c r="F1622" s="79" t="s">
        <v>206</v>
      </c>
      <c r="G1622" s="79"/>
      <c r="H1622" s="79" t="s">
        <v>168</v>
      </c>
    </row>
    <row r="1623" spans="1:8">
      <c r="A1623" s="79" t="str">
        <f>LeaveData[[#This Row],[ EMP ID]]&amp;LeaveData[[#This Row],[Date]]</f>
        <v>20231802245809</v>
      </c>
      <c r="B1623" s="79">
        <v>202318022</v>
      </c>
      <c r="C1623" s="79" t="s">
        <v>45</v>
      </c>
      <c r="D1623" s="80">
        <v>45809</v>
      </c>
      <c r="E1623" s="79" t="s">
        <v>154</v>
      </c>
      <c r="F1623" s="79" t="s">
        <v>1365</v>
      </c>
      <c r="G1623" s="79"/>
      <c r="H1623" s="79" t="s">
        <v>422</v>
      </c>
    </row>
    <row r="1624" spans="1:8">
      <c r="A1624" s="79" t="str">
        <f>LeaveData[[#This Row],[ EMP ID]]&amp;LeaveData[[#This Row],[Date]]</f>
        <v>20231802045809</v>
      </c>
      <c r="B1624" s="79">
        <v>202318020</v>
      </c>
      <c r="C1624" s="79" t="s">
        <v>43</v>
      </c>
      <c r="D1624" s="80">
        <v>45809</v>
      </c>
      <c r="E1624" s="79" t="s">
        <v>154</v>
      </c>
      <c r="F1624" s="79" t="s">
        <v>45</v>
      </c>
      <c r="G1624" s="79"/>
      <c r="H1624" s="79" t="s">
        <v>422</v>
      </c>
    </row>
    <row r="1625" spans="1:8">
      <c r="A1625" s="79" t="str">
        <f>LeaveData[[#This Row],[ EMP ID]]&amp;LeaveData[[#This Row],[Date]]</f>
        <v>20241804245809</v>
      </c>
      <c r="B1625" s="79">
        <v>202418042</v>
      </c>
      <c r="C1625" s="79" t="s">
        <v>402</v>
      </c>
      <c r="D1625" s="80">
        <v>45809</v>
      </c>
      <c r="E1625" s="79" t="s">
        <v>154</v>
      </c>
      <c r="F1625" s="79" t="s">
        <v>125</v>
      </c>
      <c r="G1625" s="79"/>
      <c r="H1625" s="79" t="s">
        <v>422</v>
      </c>
    </row>
    <row r="1626" spans="1:8">
      <c r="A1626" s="79" t="str">
        <f>LeaveData[[#This Row],[ EMP ID]]&amp;LeaveData[[#This Row],[Date]]</f>
        <v>20242101345811</v>
      </c>
      <c r="B1626" s="79">
        <v>202421013</v>
      </c>
      <c r="C1626" s="79" t="s">
        <v>378</v>
      </c>
      <c r="D1626" s="80">
        <v>45811</v>
      </c>
      <c r="E1626" s="79" t="s">
        <v>16</v>
      </c>
      <c r="F1626" s="79" t="s">
        <v>206</v>
      </c>
      <c r="G1626" s="79"/>
      <c r="H1626" s="79" t="s">
        <v>168</v>
      </c>
    </row>
    <row r="1627" spans="1:8">
      <c r="A1627" s="79" t="str">
        <f>LeaveData[[#This Row],[ EMP ID]]&amp;LeaveData[[#This Row],[Date]]</f>
        <v>20251804545811</v>
      </c>
      <c r="B1627" s="92">
        <v>202518045</v>
      </c>
      <c r="C1627" s="92" t="s">
        <v>87</v>
      </c>
      <c r="D1627" s="80">
        <v>45811</v>
      </c>
      <c r="E1627" s="79" t="s">
        <v>12</v>
      </c>
      <c r="F1627" s="79" t="s">
        <v>104</v>
      </c>
      <c r="G1627" s="79"/>
      <c r="H1627" s="79" t="s">
        <v>416</v>
      </c>
    </row>
    <row r="1628" spans="1:8">
      <c r="A1628" s="79" t="str">
        <f>LeaveData[[#This Row],[ EMP ID]]&amp;LeaveData[[#This Row],[Date]]</f>
        <v>20251804545812</v>
      </c>
      <c r="B1628" s="92">
        <v>202518045</v>
      </c>
      <c r="C1628" s="92" t="s">
        <v>87</v>
      </c>
      <c r="D1628" s="80">
        <v>45812</v>
      </c>
      <c r="E1628" s="79" t="s">
        <v>13</v>
      </c>
      <c r="F1628" s="79" t="s">
        <v>104</v>
      </c>
      <c r="G1628" s="79"/>
      <c r="H1628" s="79" t="s">
        <v>168</v>
      </c>
    </row>
    <row r="1629" spans="1:8">
      <c r="A1629" s="79" t="str">
        <f>LeaveData[[#This Row],[ EMP ID]]&amp;LeaveData[[#This Row],[Date]]</f>
        <v>20182000145812</v>
      </c>
      <c r="B1629" s="79">
        <v>201820001</v>
      </c>
      <c r="C1629" s="79" t="s">
        <v>18</v>
      </c>
      <c r="D1629" s="80">
        <v>45812</v>
      </c>
      <c r="E1629" s="79" t="s">
        <v>13</v>
      </c>
      <c r="F1629" s="79" t="s">
        <v>118</v>
      </c>
      <c r="G1629" s="79"/>
      <c r="H1629" s="79" t="s">
        <v>1347</v>
      </c>
    </row>
    <row r="1630" spans="1:8">
      <c r="A1630" s="79" t="str">
        <f>LeaveData[[#This Row],[ EMP ID]]&amp;LeaveData[[#This Row],[Date]]</f>
        <v>20201800645813</v>
      </c>
      <c r="B1630" s="79">
        <v>202018006</v>
      </c>
      <c r="C1630" s="79" t="s">
        <v>23</v>
      </c>
      <c r="D1630" s="80">
        <v>45813</v>
      </c>
      <c r="E1630" s="79" t="s">
        <v>13</v>
      </c>
      <c r="F1630" s="79" t="s">
        <v>104</v>
      </c>
      <c r="G1630" s="79"/>
      <c r="H1630" s="79" t="s">
        <v>242</v>
      </c>
    </row>
    <row r="1631" spans="1:8">
      <c r="A1631" s="79" t="str">
        <f>LeaveData[[#This Row],[ EMP ID]]&amp;LeaveData[[#This Row],[Date]]</f>
        <v>20201800645814</v>
      </c>
      <c r="B1631" s="79">
        <v>202018006</v>
      </c>
      <c r="C1631" s="79" t="s">
        <v>23</v>
      </c>
      <c r="D1631" s="80">
        <v>45814</v>
      </c>
      <c r="E1631" s="79" t="s">
        <v>13</v>
      </c>
      <c r="F1631" s="79" t="s">
        <v>104</v>
      </c>
      <c r="G1631" s="79"/>
      <c r="H1631" s="79" t="s">
        <v>242</v>
      </c>
    </row>
    <row r="1632" spans="1:8">
      <c r="A1632" s="79" t="str">
        <f>LeaveData[[#This Row],[ EMP ID]]&amp;LeaveData[[#This Row],[Date]]</f>
        <v>20221800945813</v>
      </c>
      <c r="B1632" s="79">
        <v>202218009</v>
      </c>
      <c r="C1632" s="79" t="s">
        <v>26</v>
      </c>
      <c r="D1632" s="80">
        <v>45813</v>
      </c>
      <c r="E1632" s="79" t="s">
        <v>13</v>
      </c>
      <c r="F1632" s="79" t="s">
        <v>128</v>
      </c>
      <c r="G1632" s="79"/>
      <c r="H1632" s="79" t="s">
        <v>168</v>
      </c>
    </row>
    <row r="1633" spans="1:8">
      <c r="A1633" s="79" t="str">
        <f>LeaveData[[#This Row],[ EMP ID]]&amp;LeaveData[[#This Row],[Date]]</f>
        <v>20231802245812</v>
      </c>
      <c r="B1633" s="79">
        <v>202318022</v>
      </c>
      <c r="C1633" s="79" t="s">
        <v>45</v>
      </c>
      <c r="D1633" s="80">
        <v>45812</v>
      </c>
      <c r="E1633" s="79" t="s">
        <v>12</v>
      </c>
      <c r="F1633" s="79" t="s">
        <v>1365</v>
      </c>
      <c r="G1633" s="79"/>
      <c r="H1633" s="79" t="s">
        <v>140</v>
      </c>
    </row>
    <row r="1634" spans="1:8">
      <c r="A1634" s="79" t="str">
        <f>LeaveData[[#This Row],[ EMP ID]]&amp;LeaveData[[#This Row],[Date]]</f>
        <v>20242100445813</v>
      </c>
      <c r="B1634" s="79">
        <v>202421004</v>
      </c>
      <c r="C1634" s="79" t="s">
        <v>270</v>
      </c>
      <c r="D1634" s="80">
        <v>45813</v>
      </c>
      <c r="E1634" s="79" t="s">
        <v>12</v>
      </c>
      <c r="F1634" s="79" t="s">
        <v>206</v>
      </c>
      <c r="G1634" s="79"/>
      <c r="H1634" s="79" t="s">
        <v>140</v>
      </c>
    </row>
    <row r="1635" spans="1:8">
      <c r="A1635" s="79" t="str">
        <f>LeaveData[[#This Row],[ EMP ID]]&amp;LeaveData[[#This Row],[Date]]</f>
        <v>20242100445814</v>
      </c>
      <c r="B1635" s="79">
        <v>202421004</v>
      </c>
      <c r="C1635" s="79" t="s">
        <v>270</v>
      </c>
      <c r="D1635" s="80">
        <v>45814</v>
      </c>
      <c r="E1635" s="79" t="s">
        <v>12</v>
      </c>
      <c r="F1635" s="79" t="s">
        <v>206</v>
      </c>
      <c r="G1635" s="79"/>
      <c r="H1635" s="79" t="s">
        <v>140</v>
      </c>
    </row>
    <row r="1636" spans="1:8">
      <c r="A1636" s="79" t="str">
        <f>LeaveData[[#This Row],[ EMP ID]]&amp;LeaveData[[#This Row],[Date]]</f>
        <v>20241803845813</v>
      </c>
      <c r="B1636" s="79">
        <v>202418038</v>
      </c>
      <c r="C1636" s="79" t="s">
        <v>246</v>
      </c>
      <c r="D1636" s="80">
        <v>45813</v>
      </c>
      <c r="E1636" s="79" t="s">
        <v>12</v>
      </c>
      <c r="F1636" s="79" t="s">
        <v>125</v>
      </c>
      <c r="G1636" s="79"/>
      <c r="H1636" s="79" t="s">
        <v>1381</v>
      </c>
    </row>
    <row r="1637" spans="1:8">
      <c r="A1637" s="79" t="str">
        <f>LeaveData[[#This Row],[ EMP ID]]&amp;LeaveData[[#This Row],[Date]]</f>
        <v>20252101445814</v>
      </c>
      <c r="B1637" s="92">
        <v>202521014</v>
      </c>
      <c r="C1637" s="92" t="s">
        <v>441</v>
      </c>
      <c r="D1637" s="80">
        <v>45814</v>
      </c>
      <c r="E1637" s="79" t="s">
        <v>16</v>
      </c>
      <c r="F1637" s="79" t="s">
        <v>206</v>
      </c>
      <c r="G1637" s="79"/>
      <c r="H1637" s="79" t="s">
        <v>1382</v>
      </c>
    </row>
    <row r="1638" spans="1:8">
      <c r="A1638" s="79" t="str">
        <f>LeaveData[[#This Row],[ EMP ID]]&amp;LeaveData[[#This Row],[Date]]</f>
        <v>20241804145821</v>
      </c>
      <c r="B1638" s="79">
        <v>202418041</v>
      </c>
      <c r="C1638" s="79" t="s">
        <v>376</v>
      </c>
      <c r="D1638" s="80">
        <v>45821</v>
      </c>
      <c r="E1638" s="79" t="s">
        <v>184</v>
      </c>
      <c r="F1638" s="79" t="s">
        <v>125</v>
      </c>
      <c r="G1638" s="79"/>
      <c r="H1638" s="79" t="s">
        <v>168</v>
      </c>
    </row>
    <row r="1639" spans="1:8">
      <c r="A1639" s="79" t="str">
        <f>LeaveData[[#This Row],[ EMP ID]]&amp;LeaveData[[#This Row],[Date]]</f>
        <v>20241804245821</v>
      </c>
      <c r="B1639" s="79">
        <v>202418042</v>
      </c>
      <c r="C1639" s="79" t="s">
        <v>402</v>
      </c>
      <c r="D1639" s="80">
        <v>45821</v>
      </c>
      <c r="E1639" s="79" t="s">
        <v>13</v>
      </c>
      <c r="F1639" s="79" t="s">
        <v>125</v>
      </c>
      <c r="G1639" s="79"/>
      <c r="H1639" s="79" t="s">
        <v>168</v>
      </c>
    </row>
    <row r="1640" spans="1:8">
      <c r="A1640" s="79" t="str">
        <f>LeaveData[[#This Row],[ EMP ID]]&amp;LeaveData[[#This Row],[Date]]</f>
        <v>20231802245816</v>
      </c>
      <c r="B1640" s="79">
        <v>202318022</v>
      </c>
      <c r="C1640" s="79" t="s">
        <v>45</v>
      </c>
      <c r="D1640" s="80">
        <v>45816</v>
      </c>
      <c r="E1640" s="79" t="s">
        <v>154</v>
      </c>
      <c r="F1640" s="79" t="s">
        <v>1365</v>
      </c>
      <c r="G1640" s="79"/>
      <c r="H1640" s="79" t="s">
        <v>1360</v>
      </c>
    </row>
    <row r="1641" spans="1:8">
      <c r="A1641" s="79" t="str">
        <f>LeaveData[[#This Row],[ EMP ID]]&amp;LeaveData[[#This Row],[Date]]</f>
        <v>20231802045817</v>
      </c>
      <c r="B1641" s="79">
        <v>202318020</v>
      </c>
      <c r="C1641" s="79" t="s">
        <v>43</v>
      </c>
      <c r="D1641" s="80">
        <v>45817</v>
      </c>
      <c r="E1641" s="79" t="s">
        <v>12</v>
      </c>
      <c r="F1641" s="79" t="s">
        <v>45</v>
      </c>
      <c r="G1641" s="79"/>
      <c r="H1641" s="79" t="s">
        <v>1381</v>
      </c>
    </row>
    <row r="1642" spans="1:8">
      <c r="A1642" s="79" t="str">
        <f>LeaveData[[#This Row],[ EMP ID]]&amp;LeaveData[[#This Row],[Date]]</f>
        <v>20232000945819</v>
      </c>
      <c r="B1642" s="79">
        <v>202320009</v>
      </c>
      <c r="C1642" s="79" t="s">
        <v>143</v>
      </c>
      <c r="D1642" s="80">
        <v>45819</v>
      </c>
      <c r="E1642" s="79" t="s">
        <v>13</v>
      </c>
      <c r="F1642" s="79" t="s">
        <v>1365</v>
      </c>
      <c r="G1642" s="79"/>
      <c r="H1642" s="79" t="s">
        <v>116</v>
      </c>
    </row>
    <row r="1643" spans="1:8">
      <c r="A1643" s="79" t="str">
        <f>LeaveData[[#This Row],[ EMP ID]]&amp;LeaveData[[#This Row],[Date]]</f>
        <v>20250100745818</v>
      </c>
      <c r="B1643" s="79">
        <v>202501007</v>
      </c>
      <c r="C1643" s="79" t="s">
        <v>1367</v>
      </c>
      <c r="D1643" s="80">
        <v>45818</v>
      </c>
      <c r="E1643" s="79" t="s">
        <v>12</v>
      </c>
      <c r="F1643" s="79" t="s">
        <v>104</v>
      </c>
      <c r="G1643" s="79"/>
      <c r="H1643" s="79" t="s">
        <v>1384</v>
      </c>
    </row>
    <row r="1644" spans="1:8">
      <c r="A1644" s="79" t="str">
        <f>LeaveData[[#This Row],[ EMP ID]]&amp;LeaveData[[#This Row],[Date]]</f>
        <v>20251804545818</v>
      </c>
      <c r="B1644" s="79">
        <v>202518045</v>
      </c>
      <c r="C1644" s="79" t="s">
        <v>87</v>
      </c>
      <c r="D1644" s="80">
        <v>45818</v>
      </c>
      <c r="E1644" s="79" t="s">
        <v>13</v>
      </c>
      <c r="F1644" s="79" t="s">
        <v>104</v>
      </c>
      <c r="G1644" s="79"/>
      <c r="H1644" s="79" t="s">
        <v>1385</v>
      </c>
    </row>
    <row r="1645" spans="1:8">
      <c r="A1645" s="79" t="str">
        <f>LeaveData[[#This Row],[ EMP ID]]&amp;LeaveData[[#This Row],[Date]]</f>
        <v>20221801045835</v>
      </c>
      <c r="B1645" s="79">
        <v>202218010</v>
      </c>
      <c r="C1645" s="79" t="s">
        <v>27</v>
      </c>
      <c r="D1645" s="80">
        <v>45835</v>
      </c>
      <c r="E1645" s="79" t="s">
        <v>13</v>
      </c>
      <c r="F1645" s="79" t="s">
        <v>1365</v>
      </c>
      <c r="G1645" s="79"/>
      <c r="H1645" s="79" t="s">
        <v>1373</v>
      </c>
    </row>
    <row r="1646" spans="1:8">
      <c r="A1646" s="79" t="str">
        <f>LeaveData[[#This Row],[ EMP ID]]&amp;LeaveData[[#This Row],[Date]]</f>
        <v>20221801045836</v>
      </c>
      <c r="B1646" s="79">
        <v>202218010</v>
      </c>
      <c r="C1646" s="79" t="s">
        <v>27</v>
      </c>
      <c r="D1646" s="80">
        <v>45836</v>
      </c>
      <c r="E1646" s="79" t="s">
        <v>13</v>
      </c>
      <c r="F1646" s="79" t="s">
        <v>1365</v>
      </c>
      <c r="G1646" s="79"/>
      <c r="H1646" s="79" t="s">
        <v>1373</v>
      </c>
    </row>
    <row r="1647" spans="1:8">
      <c r="A1647" s="79" t="str">
        <f>LeaveData[[#This Row],[ EMP ID]]&amp;LeaveData[[#This Row],[Date]]</f>
        <v>20221801045838</v>
      </c>
      <c r="B1647" s="79">
        <v>202218010</v>
      </c>
      <c r="C1647" s="79" t="s">
        <v>27</v>
      </c>
      <c r="D1647" s="80">
        <v>45838</v>
      </c>
      <c r="E1647" s="79" t="s">
        <v>13</v>
      </c>
      <c r="F1647" s="79" t="s">
        <v>1365</v>
      </c>
      <c r="G1647" s="79"/>
      <c r="H1647" s="79" t="s">
        <v>1373</v>
      </c>
    </row>
    <row r="1648" spans="1:8">
      <c r="A1648" s="79" t="str">
        <f>LeaveData[[#This Row],[ EMP ID]]&amp;LeaveData[[#This Row],[Date]]</f>
        <v>20251804645821</v>
      </c>
      <c r="B1648" s="79">
        <v>202518046</v>
      </c>
      <c r="C1648" s="79" t="s">
        <v>842</v>
      </c>
      <c r="D1648" s="80">
        <v>45821</v>
      </c>
      <c r="E1648" s="79" t="s">
        <v>13</v>
      </c>
      <c r="F1648" s="79" t="s">
        <v>1366</v>
      </c>
      <c r="G1648" s="79"/>
      <c r="H1648" s="79" t="s">
        <v>1386</v>
      </c>
    </row>
    <row r="1649" spans="1:8">
      <c r="A1649" s="79" t="str">
        <f>LeaveData[[#This Row],[ EMP ID]]&amp;LeaveData[[#This Row],[Date]]</f>
        <v>20250100745819</v>
      </c>
      <c r="B1649" s="79">
        <v>202501007</v>
      </c>
      <c r="C1649" s="79" t="s">
        <v>1367</v>
      </c>
      <c r="D1649" s="80">
        <v>45819</v>
      </c>
      <c r="E1649" s="79" t="s">
        <v>12</v>
      </c>
      <c r="F1649" s="79" t="s">
        <v>104</v>
      </c>
      <c r="G1649" s="79"/>
      <c r="H1649" s="79" t="s">
        <v>1387</v>
      </c>
    </row>
    <row r="1650" spans="1:8">
      <c r="A1650" s="79" t="str">
        <f>LeaveData[[#This Row],[ EMP ID]]&amp;LeaveData[[#This Row],[Date]]</f>
        <v>20231801845809</v>
      </c>
      <c r="B1650" s="79">
        <v>202318018</v>
      </c>
      <c r="C1650" s="79" t="s">
        <v>40</v>
      </c>
      <c r="D1650" s="80">
        <v>45809</v>
      </c>
      <c r="E1650" s="79" t="s">
        <v>154</v>
      </c>
      <c r="F1650" s="79" t="s">
        <v>125</v>
      </c>
      <c r="G1650" s="79"/>
      <c r="H1650" s="79" t="s">
        <v>155</v>
      </c>
    </row>
    <row r="1651" spans="1:8">
      <c r="A1651" s="79" t="str">
        <f>LeaveData[[#This Row],[ EMP ID]]&amp;LeaveData[[#This Row],[Date]]</f>
        <v>20231801845816</v>
      </c>
      <c r="B1651" s="79">
        <v>202318018</v>
      </c>
      <c r="C1651" s="79" t="s">
        <v>40</v>
      </c>
      <c r="D1651" s="80">
        <v>45816</v>
      </c>
      <c r="E1651" s="79" t="s">
        <v>154</v>
      </c>
      <c r="F1651" s="79" t="s">
        <v>125</v>
      </c>
      <c r="G1651" s="79"/>
      <c r="H1651" s="79" t="s">
        <v>155</v>
      </c>
    </row>
    <row r="1652" spans="1:8">
      <c r="A1652" s="79" t="str">
        <f>LeaveData[[#This Row],[ EMP ID]]&amp;LeaveData[[#This Row],[Date]]</f>
        <v>20231801845826</v>
      </c>
      <c r="B1652" s="79">
        <v>202318018</v>
      </c>
      <c r="C1652" s="79" t="s">
        <v>40</v>
      </c>
      <c r="D1652" s="80">
        <v>45826</v>
      </c>
      <c r="E1652" s="79" t="s">
        <v>13</v>
      </c>
      <c r="F1652" s="79" t="s">
        <v>125</v>
      </c>
      <c r="G1652" s="79"/>
      <c r="H1652" s="79" t="s">
        <v>1388</v>
      </c>
    </row>
    <row r="1653" spans="1:8">
      <c r="A1653" s="79" t="str">
        <f>LeaveData[[#This Row],[ EMP ID]]&amp;LeaveData[[#This Row],[Date]]</f>
        <v>20250100745821</v>
      </c>
      <c r="B1653" s="79">
        <v>202501007</v>
      </c>
      <c r="C1653" s="79" t="s">
        <v>1367</v>
      </c>
      <c r="D1653" s="80">
        <v>45821</v>
      </c>
      <c r="E1653" s="79" t="s">
        <v>12</v>
      </c>
      <c r="F1653" s="79" t="s">
        <v>104</v>
      </c>
      <c r="G1653" s="79"/>
      <c r="H1653" s="79" t="s">
        <v>1387</v>
      </c>
    </row>
    <row r="1654" spans="1:8">
      <c r="A1654" s="79" t="str">
        <f>LeaveData[[#This Row],[ EMP ID]]&amp;LeaveData[[#This Row],[Date]]</f>
        <v>20242001545824</v>
      </c>
      <c r="B1654" s="79">
        <v>202420015</v>
      </c>
      <c r="C1654" s="79" t="s">
        <v>64</v>
      </c>
      <c r="D1654" s="80">
        <v>45824</v>
      </c>
      <c r="E1654" s="79" t="s">
        <v>13</v>
      </c>
      <c r="F1654" s="79" t="s">
        <v>125</v>
      </c>
      <c r="G1654" s="79"/>
      <c r="H1654" s="79" t="s">
        <v>1389</v>
      </c>
    </row>
    <row r="1655" spans="1:8">
      <c r="A1655" s="79" t="str">
        <f>LeaveData[[#This Row],[ EMP ID]]&amp;LeaveData[[#This Row],[Date]]</f>
        <v>20231802245822</v>
      </c>
      <c r="B1655" s="79">
        <v>202318022</v>
      </c>
      <c r="C1655" s="79" t="s">
        <v>45</v>
      </c>
      <c r="D1655" s="80">
        <v>45822</v>
      </c>
      <c r="E1655" s="79" t="s">
        <v>154</v>
      </c>
      <c r="F1655" s="79" t="s">
        <v>1365</v>
      </c>
      <c r="G1655" s="79"/>
      <c r="H1655" s="79" t="s">
        <v>155</v>
      </c>
    </row>
    <row r="1656" spans="1:8">
      <c r="A1656" s="79" t="str">
        <f>LeaveData[[#This Row],[ EMP ID]]&amp;LeaveData[[#This Row],[Date]]</f>
        <v>20231802245823</v>
      </c>
      <c r="B1656" s="79">
        <v>202318022</v>
      </c>
      <c r="C1656" s="79" t="s">
        <v>45</v>
      </c>
      <c r="D1656" s="80">
        <v>45823</v>
      </c>
      <c r="E1656" s="79" t="s">
        <v>154</v>
      </c>
      <c r="F1656" s="79" t="s">
        <v>1365</v>
      </c>
      <c r="G1656" s="79"/>
      <c r="H1656" s="79" t="s">
        <v>155</v>
      </c>
    </row>
    <row r="1657" spans="1:8">
      <c r="A1657" s="79" t="str">
        <f>LeaveData[[#This Row],[ EMP ID]]&amp;LeaveData[[#This Row],[Date]]</f>
        <v>20182000145824</v>
      </c>
      <c r="B1657" s="79">
        <v>201820001</v>
      </c>
      <c r="C1657" s="79" t="s">
        <v>18</v>
      </c>
      <c r="D1657" s="80">
        <v>45824</v>
      </c>
      <c r="E1657" s="79" t="s">
        <v>13</v>
      </c>
      <c r="F1657" s="79" t="s">
        <v>118</v>
      </c>
      <c r="G1657" s="79"/>
      <c r="H1657" s="79" t="s">
        <v>168</v>
      </c>
    </row>
    <row r="1658" spans="1:8">
      <c r="A1658" s="79" t="str">
        <f>LeaveData[[#This Row],[ EMP ID]]&amp;LeaveData[[#This Row],[Date]]</f>
        <v>20231802045822</v>
      </c>
      <c r="B1658" s="79">
        <v>202318020</v>
      </c>
      <c r="C1658" s="92" t="s">
        <v>43</v>
      </c>
      <c r="D1658" s="80">
        <v>45822</v>
      </c>
      <c r="E1658" s="79" t="s">
        <v>154</v>
      </c>
      <c r="F1658" s="79" t="s">
        <v>45</v>
      </c>
      <c r="G1658" s="79"/>
      <c r="H1658" s="79" t="s">
        <v>155</v>
      </c>
    </row>
    <row r="1659" spans="1:8">
      <c r="A1659" s="79" t="str">
        <f>LeaveData[[#This Row],[ EMP ID]]&amp;LeaveData[[#This Row],[Date]]</f>
        <v>20231802045823</v>
      </c>
      <c r="B1659" s="79">
        <v>202318020</v>
      </c>
      <c r="C1659" s="92" t="s">
        <v>43</v>
      </c>
      <c r="D1659" s="80">
        <v>45823</v>
      </c>
      <c r="E1659" s="79" t="s">
        <v>154</v>
      </c>
      <c r="F1659" s="79" t="s">
        <v>45</v>
      </c>
      <c r="G1659" s="79"/>
      <c r="H1659" s="79" t="s">
        <v>155</v>
      </c>
    </row>
    <row r="1660" spans="1:8">
      <c r="A1660" s="79" t="str">
        <f>LeaveData[[#This Row],[ EMP ID]]&amp;LeaveData[[#This Row],[Date]]</f>
        <v>20232000745834</v>
      </c>
      <c r="B1660" s="79">
        <v>202320007</v>
      </c>
      <c r="C1660" s="79" t="s">
        <v>183</v>
      </c>
      <c r="D1660" s="80">
        <v>45834</v>
      </c>
      <c r="E1660" s="79" t="s">
        <v>13</v>
      </c>
      <c r="F1660" s="79" t="s">
        <v>125</v>
      </c>
      <c r="G1660" s="79"/>
      <c r="H1660" s="79" t="s">
        <v>1390</v>
      </c>
    </row>
    <row r="1661" spans="1:8">
      <c r="A1661" s="79" t="str">
        <f>LeaveData[[#This Row],[ EMP ID]]&amp;LeaveData[[#This Row],[Date]]</f>
        <v>20232000745835</v>
      </c>
      <c r="B1661" s="79">
        <v>202320007</v>
      </c>
      <c r="C1661" s="79" t="s">
        <v>183</v>
      </c>
      <c r="D1661" s="80">
        <v>45835</v>
      </c>
      <c r="E1661" s="79" t="s">
        <v>13</v>
      </c>
      <c r="F1661" s="79" t="s">
        <v>125</v>
      </c>
      <c r="G1661" s="79"/>
      <c r="H1661" s="79" t="s">
        <v>1390</v>
      </c>
    </row>
    <row r="1662" spans="1:8">
      <c r="A1662" s="79" t="str">
        <f>LeaveData[[#This Row],[ EMP ID]]&amp;LeaveData[[#This Row],[Date]]</f>
        <v>20232000745836</v>
      </c>
      <c r="B1662" s="79">
        <v>202320007</v>
      </c>
      <c r="C1662" s="79" t="s">
        <v>183</v>
      </c>
      <c r="D1662" s="80">
        <v>45836</v>
      </c>
      <c r="E1662" s="79" t="s">
        <v>13</v>
      </c>
      <c r="F1662" s="79" t="s">
        <v>125</v>
      </c>
      <c r="G1662" s="79"/>
      <c r="H1662" s="79" t="s">
        <v>1390</v>
      </c>
    </row>
    <row r="1663" spans="1:8">
      <c r="A1663" s="79" t="str">
        <f>LeaveData[[#This Row],[ EMP ID]]&amp;LeaveData[[#This Row],[Date]]</f>
        <v>20232000745838</v>
      </c>
      <c r="B1663" s="79">
        <v>202320007</v>
      </c>
      <c r="C1663" s="79" t="s">
        <v>183</v>
      </c>
      <c r="D1663" s="80">
        <v>45838</v>
      </c>
      <c r="E1663" s="79" t="s">
        <v>13</v>
      </c>
      <c r="F1663" s="79" t="s">
        <v>125</v>
      </c>
      <c r="G1663" s="79"/>
      <c r="H1663" s="79" t="s">
        <v>1390</v>
      </c>
    </row>
    <row r="1664" spans="1:8">
      <c r="A1664" s="79" t="str">
        <f>LeaveData[[#This Row],[ EMP ID]]&amp;LeaveData[[#This Row],[Date]]</f>
        <v>20252101445825</v>
      </c>
      <c r="B1664" s="92">
        <v>202521014</v>
      </c>
      <c r="C1664" s="92" t="s">
        <v>441</v>
      </c>
      <c r="D1664" s="80">
        <v>45825</v>
      </c>
      <c r="E1664" s="79" t="s">
        <v>184</v>
      </c>
      <c r="F1664" s="79" t="s">
        <v>206</v>
      </c>
      <c r="G1664" s="79"/>
      <c r="H1664" s="79" t="s">
        <v>1391</v>
      </c>
    </row>
    <row r="1665" spans="1:8">
      <c r="A1665" s="79" t="str">
        <f>LeaveData[[#This Row],[ EMP ID]]&amp;LeaveData[[#This Row],[Date]]</f>
        <v>20231802545836</v>
      </c>
      <c r="B1665" s="79">
        <v>202318025</v>
      </c>
      <c r="C1665" s="79" t="s">
        <v>122</v>
      </c>
      <c r="D1665" s="80">
        <v>45836</v>
      </c>
      <c r="E1665" s="79" t="s">
        <v>13</v>
      </c>
      <c r="F1665" s="79" t="s">
        <v>1365</v>
      </c>
      <c r="G1665" s="79"/>
      <c r="H1665" s="79" t="s">
        <v>1392</v>
      </c>
    </row>
    <row r="1666" spans="1:8">
      <c r="A1666" s="79" t="str">
        <f>LeaveData[[#This Row],[ EMP ID]]&amp;LeaveData[[#This Row],[Date]]</f>
        <v>20231802345827</v>
      </c>
      <c r="B1666" s="79">
        <v>202318023</v>
      </c>
      <c r="C1666" s="79" t="s">
        <v>148</v>
      </c>
      <c r="D1666" s="80">
        <v>45827</v>
      </c>
      <c r="E1666" s="79" t="s">
        <v>14</v>
      </c>
      <c r="F1666" s="79" t="s">
        <v>128</v>
      </c>
      <c r="G1666" s="79"/>
      <c r="H1666" s="79" t="s">
        <v>105</v>
      </c>
    </row>
    <row r="1667" spans="1:8">
      <c r="A1667" s="79" t="str">
        <f>LeaveData[[#This Row],[ EMP ID]]&amp;LeaveData[[#This Row],[Date]]</f>
        <v>20251804445831</v>
      </c>
      <c r="B1667" s="79">
        <v>202518044</v>
      </c>
      <c r="C1667" s="79" t="s">
        <v>433</v>
      </c>
      <c r="D1667" s="80">
        <v>45831</v>
      </c>
      <c r="E1667" s="79" t="s">
        <v>13</v>
      </c>
      <c r="F1667" s="79" t="s">
        <v>125</v>
      </c>
      <c r="G1667" s="79"/>
      <c r="H1667" s="79" t="s">
        <v>105</v>
      </c>
    </row>
    <row r="1668" spans="1:8">
      <c r="A1668" s="79" t="str">
        <f>LeaveData[[#This Row],[ EMP ID]]&amp;LeaveData[[#This Row],[Date]]</f>
        <v>20231801745827</v>
      </c>
      <c r="B1668" s="79">
        <v>202318017</v>
      </c>
      <c r="C1668" s="79" t="s">
        <v>37</v>
      </c>
      <c r="D1668" s="80">
        <v>45827</v>
      </c>
      <c r="E1668" s="79" t="s">
        <v>16</v>
      </c>
      <c r="F1668" s="79" t="s">
        <v>1365</v>
      </c>
      <c r="G1668" s="79"/>
      <c r="H1668" s="79" t="s">
        <v>1393</v>
      </c>
    </row>
    <row r="1669" spans="1:8">
      <c r="A1669" s="79" t="str">
        <f>LeaveData[[#This Row],[ EMP ID]]&amp;LeaveData[[#This Row],[Date]]</f>
        <v>20242100145827</v>
      </c>
      <c r="B1669" s="92">
        <v>202421001</v>
      </c>
      <c r="C1669" s="92" t="s">
        <v>221</v>
      </c>
      <c r="D1669" s="80">
        <v>45827</v>
      </c>
      <c r="E1669" s="79" t="s">
        <v>16</v>
      </c>
      <c r="F1669" s="79" t="s">
        <v>206</v>
      </c>
      <c r="G1669" s="79"/>
      <c r="H1669" s="79" t="s">
        <v>263</v>
      </c>
    </row>
    <row r="1670" spans="1:8">
      <c r="A1670" s="79" t="str">
        <f>LeaveData[[#This Row],[ EMP ID]]&amp;LeaveData[[#This Row],[Date]]</f>
        <v>20242100245827</v>
      </c>
      <c r="B1670" s="92">
        <v>202421002</v>
      </c>
      <c r="C1670" s="92" t="s">
        <v>223</v>
      </c>
      <c r="D1670" s="80">
        <v>45827</v>
      </c>
      <c r="E1670" s="79" t="s">
        <v>16</v>
      </c>
      <c r="F1670" s="79" t="s">
        <v>206</v>
      </c>
      <c r="G1670" s="79"/>
      <c r="H1670" s="79" t="s">
        <v>263</v>
      </c>
    </row>
    <row r="1671" spans="1:8">
      <c r="A1671" s="79" t="str">
        <f>LeaveData[[#This Row],[ EMP ID]]&amp;LeaveData[[#This Row],[Date]]</f>
        <v>20242101345827</v>
      </c>
      <c r="B1671" s="79">
        <v>202421013</v>
      </c>
      <c r="C1671" s="79" t="s">
        <v>378</v>
      </c>
      <c r="D1671" s="80">
        <v>45827</v>
      </c>
      <c r="E1671" s="79" t="s">
        <v>16</v>
      </c>
      <c r="F1671" s="79" t="s">
        <v>206</v>
      </c>
      <c r="G1671" s="79"/>
      <c r="H1671" s="79" t="s">
        <v>263</v>
      </c>
    </row>
    <row r="1672" spans="1:8">
      <c r="A1672" s="79" t="str">
        <f>LeaveData[[#This Row],[ EMP ID]]&amp;LeaveData[[#This Row],[Date]]</f>
        <v>20250101245829</v>
      </c>
      <c r="B1672" s="79">
        <v>202501012</v>
      </c>
      <c r="C1672" s="79" t="s">
        <v>1394</v>
      </c>
      <c r="D1672" s="80">
        <v>45829</v>
      </c>
      <c r="E1672" s="79" t="s">
        <v>13</v>
      </c>
      <c r="F1672" s="79" t="s">
        <v>125</v>
      </c>
      <c r="G1672" s="79"/>
      <c r="H1672" s="79" t="s">
        <v>168</v>
      </c>
    </row>
    <row r="1673" spans="1:8">
      <c r="A1673" s="79" t="str">
        <f>LeaveData[[#This Row],[ EMP ID]]&amp;LeaveData[[#This Row],[Date]]</f>
        <v>20241803845830</v>
      </c>
      <c r="B1673" s="79">
        <v>202418038</v>
      </c>
      <c r="C1673" s="79" t="s">
        <v>246</v>
      </c>
      <c r="D1673" s="80">
        <v>45830</v>
      </c>
      <c r="E1673" s="79" t="s">
        <v>154</v>
      </c>
      <c r="F1673" s="79" t="s">
        <v>125</v>
      </c>
      <c r="G1673" s="79"/>
      <c r="H1673" s="79" t="s">
        <v>1397</v>
      </c>
    </row>
    <row r="1674" spans="1:8">
      <c r="A1674" s="79" t="str">
        <f>LeaveData[[#This Row],[ EMP ID]]&amp;LeaveData[[#This Row],[Date]]</f>
        <v>20231802245830</v>
      </c>
      <c r="B1674" s="79">
        <v>202318022</v>
      </c>
      <c r="C1674" s="79" t="s">
        <v>45</v>
      </c>
      <c r="D1674" s="80">
        <v>45830</v>
      </c>
      <c r="E1674" s="79" t="s">
        <v>154</v>
      </c>
      <c r="F1674" s="79" t="s">
        <v>1365</v>
      </c>
      <c r="G1674" s="79"/>
      <c r="H1674" s="79" t="s">
        <v>1397</v>
      </c>
    </row>
    <row r="1675" spans="1:8">
      <c r="A1675" s="79" t="str">
        <f>LeaveData[[#This Row],[ EMP ID]]&amp;LeaveData[[#This Row],[Date]]</f>
        <v>20250100645828</v>
      </c>
      <c r="B1675" s="79">
        <v>202501006</v>
      </c>
      <c r="C1675" s="79" t="s">
        <v>1330</v>
      </c>
      <c r="D1675" s="80">
        <v>45828</v>
      </c>
      <c r="E1675" s="79" t="s">
        <v>15</v>
      </c>
      <c r="F1675" s="79" t="s">
        <v>83</v>
      </c>
      <c r="G1675" s="79"/>
      <c r="H1675" s="79" t="s">
        <v>1398</v>
      </c>
    </row>
    <row r="1676" spans="1:8">
      <c r="A1676" s="79" t="str">
        <f>LeaveData[[#This Row],[ EMP ID]]&amp;LeaveData[[#This Row],[Date]]</f>
        <v>20250100745832</v>
      </c>
      <c r="B1676" s="79">
        <v>202501007</v>
      </c>
      <c r="C1676" s="79" t="s">
        <v>1367</v>
      </c>
      <c r="D1676" s="80">
        <v>45832</v>
      </c>
      <c r="E1676" s="79" t="s">
        <v>16</v>
      </c>
      <c r="F1676" s="79" t="s">
        <v>104</v>
      </c>
      <c r="G1676" s="79"/>
      <c r="H1676" s="79" t="s">
        <v>1399</v>
      </c>
    </row>
    <row r="1677" spans="1:8">
      <c r="A1677" s="79" t="str">
        <f>LeaveData[[#This Row],[ EMP ID]]&amp;LeaveData[[#This Row],[Date]]</f>
        <v>20211800745830</v>
      </c>
      <c r="B1677" s="79">
        <v>202118007</v>
      </c>
      <c r="C1677" s="79" t="s">
        <v>103</v>
      </c>
      <c r="D1677" s="80">
        <v>45830</v>
      </c>
      <c r="E1677" s="79" t="s">
        <v>154</v>
      </c>
      <c r="F1677" s="79" t="s">
        <v>104</v>
      </c>
      <c r="G1677" s="79"/>
      <c r="H1677" s="79" t="s">
        <v>1397</v>
      </c>
    </row>
    <row r="1678" spans="1:8">
      <c r="A1678" s="79" t="str">
        <f>LeaveData[[#This Row],[ EMP ID]]&amp;LeaveData[[#This Row],[Date]]</f>
        <v>20211800745835</v>
      </c>
      <c r="B1678" s="79">
        <v>202118007</v>
      </c>
      <c r="C1678" s="79" t="s">
        <v>103</v>
      </c>
      <c r="D1678" s="80">
        <v>45835</v>
      </c>
      <c r="E1678" s="79" t="s">
        <v>13</v>
      </c>
      <c r="F1678" s="79" t="s">
        <v>104</v>
      </c>
      <c r="G1678" s="79"/>
      <c r="H1678" s="79" t="s">
        <v>168</v>
      </c>
    </row>
    <row r="1679" spans="1:8">
      <c r="A1679" s="79" t="str">
        <f>LeaveData[[#This Row],[ EMP ID]]&amp;LeaveData[[#This Row],[Date]]</f>
        <v>20211800745836</v>
      </c>
      <c r="B1679" s="79">
        <v>202118007</v>
      </c>
      <c r="C1679" s="79" t="s">
        <v>103</v>
      </c>
      <c r="D1679" s="80">
        <v>45836</v>
      </c>
      <c r="E1679" s="79" t="s">
        <v>13</v>
      </c>
      <c r="F1679" s="79" t="s">
        <v>104</v>
      </c>
      <c r="G1679" s="79"/>
      <c r="H1679" s="79" t="s">
        <v>168</v>
      </c>
    </row>
    <row r="1680" spans="1:8">
      <c r="A1680" s="79" t="str">
        <f>LeaveData[[#This Row],[ EMP ID]]&amp;LeaveData[[#This Row],[Date]]</f>
        <v>20251804545832</v>
      </c>
      <c r="B1680" s="79">
        <v>202518045</v>
      </c>
      <c r="C1680" s="79" t="s">
        <v>87</v>
      </c>
      <c r="D1680" s="80">
        <v>45832</v>
      </c>
      <c r="E1680" s="79" t="s">
        <v>12</v>
      </c>
      <c r="F1680" s="79" t="s">
        <v>104</v>
      </c>
      <c r="G1680" s="79"/>
      <c r="H1680" s="79" t="s">
        <v>140</v>
      </c>
    </row>
    <row r="1681" spans="1:8">
      <c r="A1681" s="79" t="str">
        <f>LeaveData[[#This Row],[ EMP ID]]&amp;LeaveData[[#This Row],[Date]]</f>
        <v>20231802045830</v>
      </c>
      <c r="B1681" s="92">
        <v>202318020</v>
      </c>
      <c r="C1681" s="122" t="s">
        <v>43</v>
      </c>
      <c r="D1681" s="107">
        <v>45830</v>
      </c>
      <c r="E1681" s="79" t="s">
        <v>154</v>
      </c>
      <c r="F1681" s="79" t="s">
        <v>45</v>
      </c>
      <c r="G1681" s="79"/>
      <c r="H1681" s="79" t="s">
        <v>1397</v>
      </c>
    </row>
    <row r="1682" spans="1:8">
      <c r="A1682" s="79" t="str">
        <f>LeaveData[[#This Row],[ EMP ID]]&amp;LeaveData[[#This Row],[Date]]</f>
        <v>20231802745833</v>
      </c>
      <c r="B1682" s="79">
        <v>202318027</v>
      </c>
      <c r="C1682" s="79" t="s">
        <v>54</v>
      </c>
      <c r="D1682" s="80">
        <v>45833</v>
      </c>
      <c r="E1682" s="79" t="s">
        <v>13</v>
      </c>
      <c r="F1682" s="79" t="s">
        <v>1365</v>
      </c>
      <c r="G1682" s="79"/>
      <c r="H1682" s="79" t="s">
        <v>1400</v>
      </c>
    </row>
    <row r="1683" spans="1:8">
      <c r="A1683" s="79" t="str">
        <f>LeaveData[[#This Row],[ EMP ID]]&amp;LeaveData[[#This Row],[Date]]</f>
        <v>20231802745830</v>
      </c>
      <c r="B1683" s="79">
        <v>202318027</v>
      </c>
      <c r="C1683" s="79" t="s">
        <v>54</v>
      </c>
      <c r="D1683" s="107">
        <v>45830</v>
      </c>
      <c r="E1683" s="79" t="s">
        <v>154</v>
      </c>
      <c r="F1683" s="79" t="s">
        <v>1365</v>
      </c>
      <c r="G1683" s="79"/>
      <c r="H1683" s="92" t="s">
        <v>1397</v>
      </c>
    </row>
    <row r="1684" spans="1:8">
      <c r="A1684" s="79" t="str">
        <f>LeaveData[[#This Row],[ EMP ID]]&amp;LeaveData[[#This Row],[Date]]</f>
        <v>20241804245833</v>
      </c>
      <c r="B1684" s="79">
        <v>202418042</v>
      </c>
      <c r="C1684" s="79" t="s">
        <v>402</v>
      </c>
      <c r="D1684" s="80">
        <v>45833</v>
      </c>
      <c r="E1684" s="79" t="s">
        <v>12</v>
      </c>
      <c r="F1684" s="79" t="s">
        <v>125</v>
      </c>
      <c r="G1684" s="79"/>
      <c r="H1684" s="79" t="s">
        <v>140</v>
      </c>
    </row>
    <row r="1685" spans="1:8">
      <c r="A1685" s="79" t="str">
        <f>LeaveData[[#This Row],[ EMP ID]]&amp;LeaveData[[#This Row],[Date]]</f>
        <v>20241804145833</v>
      </c>
      <c r="B1685" s="79">
        <v>202418041</v>
      </c>
      <c r="C1685" s="79" t="s">
        <v>376</v>
      </c>
      <c r="D1685" s="80">
        <v>45833</v>
      </c>
      <c r="E1685" s="79" t="s">
        <v>184</v>
      </c>
      <c r="F1685" s="79" t="s">
        <v>125</v>
      </c>
      <c r="G1685" s="79"/>
      <c r="H1685" s="79" t="s">
        <v>140</v>
      </c>
    </row>
    <row r="1686" spans="1:8">
      <c r="A1686" s="79" t="str">
        <f>LeaveData[[#This Row],[ EMP ID]]&amp;LeaveData[[#This Row],[Date]]</f>
        <v>20252101445833</v>
      </c>
      <c r="B1686" s="92">
        <v>202521014</v>
      </c>
      <c r="C1686" s="92" t="s">
        <v>441</v>
      </c>
      <c r="D1686" s="80">
        <v>45833</v>
      </c>
      <c r="E1686" s="79" t="s">
        <v>184</v>
      </c>
      <c r="F1686" s="79" t="s">
        <v>206</v>
      </c>
      <c r="G1686" s="79"/>
      <c r="H1686" s="79" t="s">
        <v>140</v>
      </c>
    </row>
    <row r="1687" spans="1:8">
      <c r="A1687" s="79" t="str">
        <f>LeaveData[[#This Row],[ EMP ID]]&amp;LeaveData[[#This Row],[Date]]</f>
        <v>20231802645830</v>
      </c>
      <c r="B1687" s="79">
        <v>202318026</v>
      </c>
      <c r="C1687" s="79" t="s">
        <v>53</v>
      </c>
      <c r="D1687" s="107">
        <v>45830</v>
      </c>
      <c r="E1687" s="79" t="s">
        <v>154</v>
      </c>
      <c r="F1687" s="79" t="s">
        <v>104</v>
      </c>
      <c r="G1687" s="79"/>
      <c r="H1687" s="92" t="s">
        <v>1397</v>
      </c>
    </row>
    <row r="1688" spans="1:8">
      <c r="A1688" s="79" t="str">
        <f>LeaveData[[#This Row],[ EMP ID]]&amp;LeaveData[[#This Row],[Date]]</f>
        <v>20242001545834</v>
      </c>
      <c r="B1688" s="79">
        <v>202420015</v>
      </c>
      <c r="C1688" s="79" t="s">
        <v>64</v>
      </c>
      <c r="D1688" s="80">
        <v>45834</v>
      </c>
      <c r="E1688" s="79" t="s">
        <v>13</v>
      </c>
      <c r="F1688" s="79" t="s">
        <v>125</v>
      </c>
      <c r="G1688" s="79"/>
      <c r="H1688" s="79" t="s">
        <v>105</v>
      </c>
    </row>
    <row r="1689" spans="1:8">
      <c r="A1689" s="79" t="str">
        <f>LeaveData[[#This Row],[ EMP ID]]&amp;LeaveData[[#This Row],[Date]]</f>
        <v>20251804345830</v>
      </c>
      <c r="B1689" s="79">
        <v>202518043</v>
      </c>
      <c r="C1689" s="79" t="s">
        <v>403</v>
      </c>
      <c r="D1689" s="107">
        <v>45830</v>
      </c>
      <c r="E1689" s="79" t="s">
        <v>154</v>
      </c>
      <c r="F1689" s="79" t="s">
        <v>43</v>
      </c>
      <c r="G1689" s="79"/>
      <c r="H1689" s="92" t="s">
        <v>1397</v>
      </c>
    </row>
    <row r="1690" spans="1:8">
      <c r="A1690" s="79" t="str">
        <f>LeaveData[[#This Row],[ EMP ID]]&amp;LeaveData[[#This Row],[Date]]</f>
        <v>20221800945834</v>
      </c>
      <c r="B1690" s="79">
        <v>202218009</v>
      </c>
      <c r="C1690" s="79" t="s">
        <v>26</v>
      </c>
      <c r="D1690" s="80">
        <v>45834</v>
      </c>
      <c r="E1690" s="79" t="s">
        <v>12</v>
      </c>
      <c r="F1690" s="79" t="s">
        <v>128</v>
      </c>
      <c r="G1690" s="79"/>
      <c r="H1690" s="79" t="s">
        <v>140</v>
      </c>
    </row>
    <row r="1691" spans="1:8">
      <c r="A1691" s="79" t="str">
        <f>LeaveData[[#This Row],[ EMP ID]]&amp;LeaveData[[#This Row],[Date]]</f>
        <v>20221801045834</v>
      </c>
      <c r="B1691" s="79">
        <v>202218010</v>
      </c>
      <c r="C1691" s="79" t="s">
        <v>27</v>
      </c>
      <c r="D1691" s="80">
        <v>45834</v>
      </c>
      <c r="E1691" s="79" t="s">
        <v>14</v>
      </c>
      <c r="F1691" s="79" t="s">
        <v>1365</v>
      </c>
      <c r="G1691" s="79"/>
      <c r="H1691" s="79" t="s">
        <v>1401</v>
      </c>
    </row>
    <row r="1692" spans="1:8">
      <c r="A1692" s="79" t="str">
        <f>LeaveData[[#This Row],[ EMP ID]]&amp;LeaveData[[#This Row],[Date]]</f>
        <v>20241804045824</v>
      </c>
      <c r="B1692" s="79">
        <v>202418040</v>
      </c>
      <c r="C1692" s="79" t="s">
        <v>341</v>
      </c>
      <c r="D1692" s="80">
        <v>45824</v>
      </c>
      <c r="E1692" s="79" t="s">
        <v>195</v>
      </c>
      <c r="F1692" s="79" t="s">
        <v>104</v>
      </c>
      <c r="G1692" s="79"/>
      <c r="H1692" s="79" t="s">
        <v>196</v>
      </c>
    </row>
    <row r="1693" spans="1:8">
      <c r="A1693" s="79" t="str">
        <f>LeaveData[[#This Row],[ EMP ID]]&amp;LeaveData[[#This Row],[Date]]</f>
        <v>20250101045838</v>
      </c>
      <c r="B1693" s="79">
        <v>202501010</v>
      </c>
      <c r="C1693" s="79" t="s">
        <v>1377</v>
      </c>
      <c r="D1693" s="80">
        <v>45838</v>
      </c>
      <c r="E1693" s="79" t="s">
        <v>195</v>
      </c>
      <c r="F1693" s="79" t="s">
        <v>106</v>
      </c>
      <c r="G1693" s="79"/>
      <c r="H1693" s="79" t="s">
        <v>196</v>
      </c>
    </row>
    <row r="1694" spans="1:8">
      <c r="A1694" s="79" t="str">
        <f>LeaveData[[#This Row],[ EMP ID]]&amp;LeaveData[[#This Row],[Date]]</f>
        <v>20250101145831</v>
      </c>
      <c r="B1694" s="79">
        <v>202501011</v>
      </c>
      <c r="C1694" s="79" t="s">
        <v>1383</v>
      </c>
      <c r="D1694" s="80">
        <v>45831</v>
      </c>
      <c r="E1694" s="79" t="s">
        <v>199</v>
      </c>
      <c r="F1694" s="79" t="s">
        <v>104</v>
      </c>
      <c r="G1694" s="79"/>
      <c r="H1694" s="79" t="s">
        <v>200</v>
      </c>
    </row>
    <row r="1695" spans="1:8">
      <c r="A1695" s="79" t="str">
        <f>LeaveData[[#This Row],[ EMP ID]]&amp;LeaveData[[#This Row],[Date]]</f>
        <v>20250101245809</v>
      </c>
      <c r="B1695" s="79">
        <v>202501012</v>
      </c>
      <c r="C1695" s="79" t="s">
        <v>1394</v>
      </c>
      <c r="D1695" s="80">
        <v>45809</v>
      </c>
      <c r="E1695" s="79" t="s">
        <v>199</v>
      </c>
      <c r="F1695" s="79" t="s">
        <v>125</v>
      </c>
      <c r="G1695" s="79"/>
      <c r="H1695" s="79" t="s">
        <v>200</v>
      </c>
    </row>
    <row r="1696" spans="1:8">
      <c r="A1696" s="79" t="str">
        <f>LeaveData[[#This Row],[ EMP ID]]&amp;LeaveData[[#This Row],[Date]]</f>
        <v>20250101345810</v>
      </c>
      <c r="B1696" s="79">
        <v>202501013</v>
      </c>
      <c r="C1696" s="79" t="s">
        <v>1395</v>
      </c>
      <c r="D1696" s="80">
        <v>45810</v>
      </c>
      <c r="E1696" s="79" t="s">
        <v>199</v>
      </c>
      <c r="F1696" s="79" t="s">
        <v>45</v>
      </c>
      <c r="G1696" s="79"/>
      <c r="H1696" s="79" t="s">
        <v>200</v>
      </c>
    </row>
    <row r="1697" spans="1:8">
      <c r="A1697" s="79" t="str">
        <f>LeaveData[[#This Row],[ EMP ID]]&amp;LeaveData[[#This Row],[Date]]</f>
        <v>20250101445810</v>
      </c>
      <c r="B1697" s="79">
        <v>202501014</v>
      </c>
      <c r="C1697" s="79" t="s">
        <v>1396</v>
      </c>
      <c r="D1697" s="80">
        <v>45810</v>
      </c>
      <c r="E1697" s="79" t="s">
        <v>199</v>
      </c>
      <c r="F1697" s="79" t="s">
        <v>45</v>
      </c>
      <c r="G1697" s="79"/>
      <c r="H1697" s="79" t="s">
        <v>200</v>
      </c>
    </row>
    <row r="1698" spans="1:8">
      <c r="A1698" s="79" t="str">
        <f>LeaveData[[#This Row],[ EMP ID]]&amp;LeaveData[[#This Row],[Date]]</f>
        <v>20250101545833</v>
      </c>
      <c r="B1698" s="79">
        <v>202501015</v>
      </c>
      <c r="C1698" s="79" t="s">
        <v>1402</v>
      </c>
      <c r="D1698" s="80">
        <v>45833</v>
      </c>
      <c r="E1698" s="79" t="s">
        <v>199</v>
      </c>
      <c r="F1698" s="79" t="s">
        <v>1365</v>
      </c>
      <c r="G1698" s="79"/>
      <c r="H1698" s="79" t="s">
        <v>200</v>
      </c>
    </row>
    <row r="1699" spans="1:8">
      <c r="A1699" s="79" t="str">
        <f>LeaveData[[#This Row],[ EMP ID]]&amp;LeaveData[[#This Row],[Date]]</f>
        <v>20250100745836</v>
      </c>
      <c r="B1699" s="79">
        <v>202501007</v>
      </c>
      <c r="C1699" s="79" t="s">
        <v>1367</v>
      </c>
      <c r="D1699" s="80">
        <v>45836</v>
      </c>
      <c r="E1699" s="79" t="s">
        <v>318</v>
      </c>
      <c r="F1699" s="79" t="s">
        <v>104</v>
      </c>
      <c r="G1699" s="79"/>
      <c r="H1699" s="79" t="s">
        <v>1403</v>
      </c>
    </row>
    <row r="1700" spans="1:8">
      <c r="A1700" s="79" t="str">
        <f>LeaveData[[#This Row],[ EMP ID]]&amp;LeaveData[[#This Row],[Date]]</f>
        <v>20241804145835</v>
      </c>
      <c r="B1700" s="79">
        <v>202418041</v>
      </c>
      <c r="C1700" s="79" t="s">
        <v>376</v>
      </c>
      <c r="D1700" s="80">
        <v>45835</v>
      </c>
      <c r="E1700" s="79" t="s">
        <v>184</v>
      </c>
      <c r="F1700" s="79" t="s">
        <v>125</v>
      </c>
      <c r="G1700" s="79"/>
      <c r="H1700" s="79" t="s">
        <v>1404</v>
      </c>
    </row>
    <row r="1701" spans="1:8">
      <c r="A1701" s="79" t="str">
        <f>LeaveData[[#This Row],[ EMP ID]]&amp;LeaveData[[#This Row],[Date]]</f>
        <v>20231802645836</v>
      </c>
      <c r="B1701" s="79">
        <v>202318026</v>
      </c>
      <c r="C1701" s="79" t="s">
        <v>53</v>
      </c>
      <c r="D1701" s="80">
        <v>45836</v>
      </c>
      <c r="E1701" s="79" t="s">
        <v>16</v>
      </c>
      <c r="F1701" s="79" t="s">
        <v>104</v>
      </c>
      <c r="G1701" s="79"/>
      <c r="H1701" s="79" t="s">
        <v>1405</v>
      </c>
    </row>
    <row r="1702" spans="1:8">
      <c r="A1702" s="79" t="str">
        <f>LeaveData[[#This Row],[ EMP ID]]&amp;LeaveData[[#This Row],[Date]]</f>
        <v>20252101445824</v>
      </c>
      <c r="B1702" s="92">
        <v>202521014</v>
      </c>
      <c r="C1702" s="92" t="s">
        <v>441</v>
      </c>
      <c r="D1702" s="80">
        <v>45824</v>
      </c>
      <c r="E1702" s="79" t="s">
        <v>318</v>
      </c>
      <c r="F1702" s="79" t="s">
        <v>206</v>
      </c>
      <c r="G1702" s="79"/>
      <c r="H1702" s="79" t="s">
        <v>1406</v>
      </c>
    </row>
    <row r="1703" spans="1:8">
      <c r="A1703" s="79" t="str">
        <f>LeaveData[[#This Row],[ EMP ID]]&amp;LeaveData[[#This Row],[Date]]</f>
        <v>20252101445825</v>
      </c>
      <c r="B1703" s="92">
        <v>202521014</v>
      </c>
      <c r="C1703" s="92" t="s">
        <v>441</v>
      </c>
      <c r="D1703" s="80">
        <v>45825</v>
      </c>
      <c r="E1703" s="79" t="s">
        <v>318</v>
      </c>
      <c r="F1703" s="79" t="s">
        <v>206</v>
      </c>
      <c r="G1703" s="79"/>
      <c r="H1703" s="79" t="s">
        <v>1406</v>
      </c>
    </row>
    <row r="1704" spans="1:8">
      <c r="A1704" s="79" t="str">
        <f>LeaveData[[#This Row],[ EMP ID]]&amp;LeaveData[[#This Row],[Date]]</f>
        <v>20252101445826</v>
      </c>
      <c r="B1704" s="92">
        <v>202521014</v>
      </c>
      <c r="C1704" s="92" t="s">
        <v>441</v>
      </c>
      <c r="D1704" s="80">
        <v>45826</v>
      </c>
      <c r="E1704" s="79" t="s">
        <v>318</v>
      </c>
      <c r="F1704" s="79" t="s">
        <v>206</v>
      </c>
      <c r="G1704" s="79"/>
      <c r="H1704" s="79" t="s">
        <v>1406</v>
      </c>
    </row>
    <row r="1705" spans="1:8">
      <c r="A1705" s="79" t="str">
        <f>LeaveData[[#This Row],[ EMP ID]]&amp;LeaveData[[#This Row],[Date]]</f>
        <v>20252101445827</v>
      </c>
      <c r="B1705" s="92">
        <v>202521014</v>
      </c>
      <c r="C1705" s="92" t="s">
        <v>441</v>
      </c>
      <c r="D1705" s="80">
        <v>45827</v>
      </c>
      <c r="E1705" s="79" t="s">
        <v>318</v>
      </c>
      <c r="F1705" s="79" t="s">
        <v>206</v>
      </c>
      <c r="G1705" s="79"/>
      <c r="H1705" s="79" t="s">
        <v>1406</v>
      </c>
    </row>
    <row r="1706" spans="1:8">
      <c r="A1706" s="79" t="str">
        <f>LeaveData[[#This Row],[ EMP ID]]&amp;LeaveData[[#This Row],[Date]]</f>
        <v>20252101445828</v>
      </c>
      <c r="B1706" s="92">
        <v>202521014</v>
      </c>
      <c r="C1706" s="92" t="s">
        <v>441</v>
      </c>
      <c r="D1706" s="80">
        <v>45828</v>
      </c>
      <c r="E1706" s="79" t="s">
        <v>318</v>
      </c>
      <c r="F1706" s="79" t="s">
        <v>206</v>
      </c>
      <c r="G1706" s="79"/>
      <c r="H1706" s="79" t="s">
        <v>1406</v>
      </c>
    </row>
    <row r="1707" spans="1:8">
      <c r="A1707" s="79" t="str">
        <f>LeaveData[[#This Row],[ EMP ID]]&amp;LeaveData[[#This Row],[Date]]</f>
        <v>20252101445829</v>
      </c>
      <c r="B1707" s="92">
        <v>202521014</v>
      </c>
      <c r="C1707" s="92" t="s">
        <v>441</v>
      </c>
      <c r="D1707" s="80">
        <v>45829</v>
      </c>
      <c r="E1707" s="79" t="s">
        <v>318</v>
      </c>
      <c r="F1707" s="79" t="s">
        <v>206</v>
      </c>
      <c r="G1707" s="79"/>
      <c r="H1707" s="79" t="s">
        <v>1406</v>
      </c>
    </row>
    <row r="1708" spans="1:8">
      <c r="A1708" s="79" t="str">
        <f>LeaveData[[#This Row],[ EMP ID]]&amp;LeaveData[[#This Row],[Date]]</f>
        <v>20250101245817</v>
      </c>
      <c r="B1708" s="79">
        <v>202501012</v>
      </c>
      <c r="C1708" s="79" t="s">
        <v>1394</v>
      </c>
      <c r="D1708" s="80">
        <v>45817</v>
      </c>
      <c r="E1708" s="79" t="s">
        <v>12</v>
      </c>
      <c r="F1708" s="79" t="s">
        <v>235</v>
      </c>
      <c r="G1708" s="79"/>
      <c r="H1708" s="79" t="s">
        <v>416</v>
      </c>
    </row>
    <row r="1709" spans="1:8">
      <c r="A1709" s="79" t="str">
        <f>LeaveData[[#This Row],[ EMP ID]]&amp;LeaveData[[#This Row],[Date]]</f>
        <v>20250101245819</v>
      </c>
      <c r="B1709" s="79">
        <v>202501012</v>
      </c>
      <c r="C1709" s="79" t="s">
        <v>1394</v>
      </c>
      <c r="D1709" s="80">
        <v>45819</v>
      </c>
      <c r="E1709" s="79" t="s">
        <v>12</v>
      </c>
      <c r="F1709" s="79" t="s">
        <v>235</v>
      </c>
      <c r="G1709" s="79"/>
      <c r="H1709" s="79" t="s">
        <v>416</v>
      </c>
    </row>
    <row r="1710" spans="1:8">
      <c r="A1710" s="79" t="str">
        <f>LeaveData[[#This Row],[ EMP ID]]&amp;LeaveData[[#This Row],[Date]]</f>
        <v>20252101445838</v>
      </c>
      <c r="B1710" s="92">
        <v>202521014</v>
      </c>
      <c r="C1710" s="92" t="s">
        <v>441</v>
      </c>
      <c r="D1710" s="80">
        <v>45838</v>
      </c>
      <c r="E1710" s="79" t="s">
        <v>318</v>
      </c>
      <c r="F1710" s="79" t="s">
        <v>206</v>
      </c>
      <c r="G1710" s="79"/>
      <c r="H1710" s="79" t="s">
        <v>1407</v>
      </c>
    </row>
    <row r="1711" spans="1:8">
      <c r="A1711" s="79" t="str">
        <f>LeaveData[[#This Row],[ EMP ID]]&amp;LeaveData[[#This Row],[Date]]</f>
        <v>20242101345838</v>
      </c>
      <c r="B1711" s="79">
        <v>202421013</v>
      </c>
      <c r="C1711" s="79" t="s">
        <v>378</v>
      </c>
      <c r="D1711" s="80">
        <v>45838</v>
      </c>
      <c r="E1711" s="79" t="s">
        <v>16</v>
      </c>
      <c r="F1711" s="79" t="s">
        <v>206</v>
      </c>
      <c r="G1711" s="79"/>
      <c r="H1711" s="79" t="s">
        <v>1408</v>
      </c>
    </row>
    <row r="1712" spans="1:8">
      <c r="A1712" s="79" t="str">
        <f>LeaveData[[#This Row],[ EMP ID]]&amp;LeaveData[[#This Row],[Date]]</f>
        <v>20242100745820</v>
      </c>
      <c r="B1712" s="79">
        <v>202421007</v>
      </c>
      <c r="C1712" s="79" t="s">
        <v>273</v>
      </c>
      <c r="D1712" s="80">
        <v>45820</v>
      </c>
      <c r="E1712" s="79" t="s">
        <v>13</v>
      </c>
      <c r="F1712" s="79" t="s">
        <v>206</v>
      </c>
      <c r="G1712" s="79"/>
      <c r="H1712" s="79" t="s">
        <v>168</v>
      </c>
    </row>
    <row r="1713" spans="1:8">
      <c r="A1713" s="79" t="str">
        <f>LeaveData[[#This Row],[ EMP ID]]&amp;LeaveData[[#This Row],[Date]]</f>
        <v>20242101245820</v>
      </c>
      <c r="B1713" s="79">
        <v>202421012</v>
      </c>
      <c r="C1713" s="79" t="s">
        <v>377</v>
      </c>
      <c r="D1713" s="80">
        <v>45820</v>
      </c>
      <c r="E1713" s="79" t="s">
        <v>13</v>
      </c>
      <c r="F1713" s="79" t="s">
        <v>206</v>
      </c>
      <c r="G1713" s="79"/>
      <c r="H1713" s="79" t="s">
        <v>168</v>
      </c>
    </row>
    <row r="1714" spans="1:8">
      <c r="A1714" s="79" t="str">
        <f>LeaveData[[#This Row],[ EMP ID]]&amp;LeaveData[[#This Row],[Date]]</f>
        <v>20232000445812</v>
      </c>
      <c r="B1714" s="79">
        <v>202320004</v>
      </c>
      <c r="C1714" s="79" t="s">
        <v>712</v>
      </c>
      <c r="D1714" s="80">
        <v>45812</v>
      </c>
      <c r="E1714" s="79" t="s">
        <v>195</v>
      </c>
      <c r="F1714" s="79" t="s">
        <v>118</v>
      </c>
      <c r="G1714" s="79"/>
      <c r="H1714" s="79" t="s">
        <v>1409</v>
      </c>
    </row>
    <row r="1715" spans="1:8">
      <c r="A1715" s="79" t="str">
        <f>LeaveData[[#This Row],[ EMP ID]]&amp;LeaveData[[#This Row],[Date]]</f>
        <v>20241804145824</v>
      </c>
      <c r="B1715" s="79">
        <v>202418041</v>
      </c>
      <c r="C1715" s="79" t="s">
        <v>376</v>
      </c>
      <c r="D1715" s="80">
        <v>45824</v>
      </c>
      <c r="E1715" s="79" t="s">
        <v>13</v>
      </c>
      <c r="F1715" s="79" t="s">
        <v>125</v>
      </c>
      <c r="G1715" s="79"/>
      <c r="H1715" s="79" t="s">
        <v>168</v>
      </c>
    </row>
    <row r="1716" spans="1:8">
      <c r="A1716" s="79" t="str">
        <f>LeaveData[[#This Row],[ EMP ID]]&amp;LeaveData[[#This Row],[Date]]</f>
        <v>20241804145825</v>
      </c>
      <c r="B1716" s="79">
        <v>202418041</v>
      </c>
      <c r="C1716" s="79" t="s">
        <v>376</v>
      </c>
      <c r="D1716" s="80">
        <v>45825</v>
      </c>
      <c r="E1716" s="79" t="s">
        <v>13</v>
      </c>
      <c r="F1716" s="79" t="s">
        <v>125</v>
      </c>
      <c r="G1716" s="79"/>
      <c r="H1716" s="79" t="s">
        <v>168</v>
      </c>
    </row>
    <row r="1717" spans="1:8">
      <c r="A1717" s="79" t="str">
        <f>LeaveData[[#This Row],[ EMP ID]]&amp;LeaveData[[#This Row],[Date]]</f>
        <v>20241804245824</v>
      </c>
      <c r="B1717" s="79">
        <v>202418042</v>
      </c>
      <c r="C1717" s="79" t="s">
        <v>402</v>
      </c>
      <c r="D1717" s="80">
        <v>45824</v>
      </c>
      <c r="E1717" s="79" t="s">
        <v>13</v>
      </c>
      <c r="F1717" s="79" t="s">
        <v>125</v>
      </c>
      <c r="G1717" s="79"/>
      <c r="H1717" s="79" t="s">
        <v>168</v>
      </c>
    </row>
    <row r="1718" spans="1:8">
      <c r="A1718" s="79" t="str">
        <f>LeaveData[[#This Row],[ EMP ID]]&amp;LeaveData[[#This Row],[Date]]</f>
        <v>20241804245825</v>
      </c>
      <c r="B1718" s="79">
        <v>202418042</v>
      </c>
      <c r="C1718" s="79" t="s">
        <v>402</v>
      </c>
      <c r="D1718" s="80">
        <v>45825</v>
      </c>
      <c r="E1718" s="79" t="s">
        <v>13</v>
      </c>
      <c r="F1718" s="79" t="s">
        <v>125</v>
      </c>
      <c r="G1718" s="79"/>
      <c r="H1718" s="79" t="s">
        <v>168</v>
      </c>
    </row>
    <row r="1719" spans="1:8">
      <c r="A1719" s="79" t="str">
        <f>LeaveData[[#This Row],[ EMP ID]]&amp;LeaveData[[#This Row],[Date]]</f>
        <v>20181800245830</v>
      </c>
      <c r="B1719" s="79">
        <v>201818002</v>
      </c>
      <c r="C1719" s="79" t="s">
        <v>83</v>
      </c>
      <c r="D1719" s="80">
        <v>45830</v>
      </c>
      <c r="E1719" s="79" t="s">
        <v>154</v>
      </c>
      <c r="F1719" s="79" t="s">
        <v>1365</v>
      </c>
      <c r="G1719" s="79"/>
      <c r="H1719" s="79" t="s">
        <v>422</v>
      </c>
    </row>
    <row r="1720" spans="1:8">
      <c r="A1720" s="79" t="str">
        <f>LeaveData[[#This Row],[ EMP ID]]&amp;LeaveData[[#This Row],[Date]]</f>
        <v>20182000145830</v>
      </c>
      <c r="B1720" s="92">
        <v>201820001</v>
      </c>
      <c r="C1720" s="79" t="s">
        <v>18</v>
      </c>
      <c r="D1720" s="80">
        <v>45830</v>
      </c>
      <c r="E1720" s="79" t="s">
        <v>154</v>
      </c>
      <c r="F1720" s="79" t="s">
        <v>1365</v>
      </c>
      <c r="G1720" s="79"/>
      <c r="H1720" s="79" t="s">
        <v>422</v>
      </c>
    </row>
    <row r="1721" spans="1:8">
      <c r="A1721" s="79" t="str">
        <f>LeaveData[[#This Row],[ EMP ID]]&amp;LeaveData[[#This Row],[Date]]</f>
        <v>20221801145830</v>
      </c>
      <c r="B1721" s="92">
        <v>202218011</v>
      </c>
      <c r="C1721" s="79" t="s">
        <v>28</v>
      </c>
      <c r="D1721" s="80">
        <v>45830</v>
      </c>
      <c r="E1721" s="79" t="s">
        <v>154</v>
      </c>
      <c r="F1721" s="79" t="s">
        <v>125</v>
      </c>
      <c r="G1721" s="79"/>
      <c r="H1721" s="79" t="s">
        <v>422</v>
      </c>
    </row>
    <row r="1722" spans="1:8">
      <c r="A1722" s="79" t="str">
        <f>LeaveData[[#This Row],[ EMP ID]]&amp;LeaveData[[#This Row],[Date]]</f>
        <v>20221801245830</v>
      </c>
      <c r="B1722" s="79">
        <v>202218012</v>
      </c>
      <c r="C1722" s="79" t="s">
        <v>29</v>
      </c>
      <c r="D1722" s="80">
        <v>45830</v>
      </c>
      <c r="E1722" s="79" t="s">
        <v>154</v>
      </c>
      <c r="F1722" s="79" t="s">
        <v>1366</v>
      </c>
      <c r="G1722" s="79"/>
      <c r="H1722" s="79" t="s">
        <v>422</v>
      </c>
    </row>
    <row r="1723" spans="1:8">
      <c r="A1723" s="79" t="str">
        <f>LeaveData[[#This Row],[ EMP ID]]&amp;LeaveData[[#This Row],[Date]]</f>
        <v>20231801845830</v>
      </c>
      <c r="B1723" s="79">
        <v>202318018</v>
      </c>
      <c r="C1723" s="79" t="s">
        <v>40</v>
      </c>
      <c r="D1723" s="80">
        <v>45830</v>
      </c>
      <c r="E1723" s="79" t="s">
        <v>154</v>
      </c>
      <c r="F1723" s="79" t="s">
        <v>125</v>
      </c>
      <c r="G1723" s="79"/>
      <c r="H1723" s="79" t="s">
        <v>422</v>
      </c>
    </row>
    <row r="1724" spans="1:8">
      <c r="A1724" s="79" t="str">
        <f>LeaveData[[#This Row],[ EMP ID]]&amp;LeaveData[[#This Row],[Date]]</f>
        <v>20231801945830</v>
      </c>
      <c r="B1724" s="79">
        <v>202318019</v>
      </c>
      <c r="C1724" s="79" t="s">
        <v>89</v>
      </c>
      <c r="D1724" s="80">
        <v>45830</v>
      </c>
      <c r="E1724" s="79" t="s">
        <v>154</v>
      </c>
      <c r="F1724" s="79" t="s">
        <v>45</v>
      </c>
      <c r="G1724" s="79"/>
      <c r="H1724" s="79" t="s">
        <v>422</v>
      </c>
    </row>
    <row r="1725" spans="1:8">
      <c r="A1725" s="79" t="str">
        <f>LeaveData[[#This Row],[ EMP ID]]&amp;LeaveData[[#This Row],[Date]]</f>
        <v>20231802845830</v>
      </c>
      <c r="B1725" s="79">
        <v>202318028</v>
      </c>
      <c r="C1725" s="79" t="s">
        <v>57</v>
      </c>
      <c r="D1725" s="80">
        <v>45830</v>
      </c>
      <c r="E1725" s="79" t="s">
        <v>154</v>
      </c>
      <c r="F1725" s="79" t="s">
        <v>125</v>
      </c>
      <c r="G1725" s="79"/>
      <c r="H1725" s="79" t="s">
        <v>422</v>
      </c>
    </row>
    <row r="1726" spans="1:8">
      <c r="A1726" s="79" t="str">
        <f>LeaveData[[#This Row],[ EMP ID]]&amp;LeaveData[[#This Row],[Date]]</f>
        <v>20241804145830</v>
      </c>
      <c r="B1726" s="79">
        <v>202418041</v>
      </c>
      <c r="C1726" s="79" t="s">
        <v>376</v>
      </c>
      <c r="D1726" s="80">
        <v>45830</v>
      </c>
      <c r="E1726" s="79" t="s">
        <v>154</v>
      </c>
      <c r="F1726" s="79" t="s">
        <v>125</v>
      </c>
      <c r="G1726" s="79"/>
      <c r="H1726" s="79" t="s">
        <v>422</v>
      </c>
    </row>
    <row r="1727" spans="1:8">
      <c r="A1727" s="79" t="str">
        <f>LeaveData[[#This Row],[ EMP ID]]&amp;LeaveData[[#This Row],[Date]]</f>
        <v>20241804245830</v>
      </c>
      <c r="B1727" s="79">
        <v>202418042</v>
      </c>
      <c r="C1727" s="79" t="s">
        <v>402</v>
      </c>
      <c r="D1727" s="80">
        <v>45830</v>
      </c>
      <c r="E1727" s="79" t="s">
        <v>154</v>
      </c>
      <c r="F1727" s="79" t="s">
        <v>125</v>
      </c>
      <c r="G1727" s="79"/>
      <c r="H1727" s="79" t="s">
        <v>422</v>
      </c>
    </row>
    <row r="1728" spans="1:8">
      <c r="A1728" s="79" t="str">
        <f>LeaveData[[#This Row],[ EMP ID]]&amp;LeaveData[[#This Row],[Date]]</f>
        <v>20250100845830</v>
      </c>
      <c r="B1728" s="79">
        <v>202501008</v>
      </c>
      <c r="C1728" s="79" t="s">
        <v>1368</v>
      </c>
      <c r="D1728" s="80">
        <v>45830</v>
      </c>
      <c r="E1728" s="79" t="s">
        <v>154</v>
      </c>
      <c r="F1728" s="79" t="s">
        <v>125</v>
      </c>
      <c r="G1728" s="79"/>
      <c r="H1728" s="79" t="s">
        <v>422</v>
      </c>
    </row>
    <row r="1729" spans="1:8">
      <c r="A1729" s="79" t="str">
        <f>LeaveData[[#This Row],[ EMP ID]]&amp;LeaveData[[#This Row],[Date]]</f>
        <v>20242100945808</v>
      </c>
      <c r="B1729" s="79">
        <v>202421009</v>
      </c>
      <c r="C1729" s="79" t="s">
        <v>279</v>
      </c>
      <c r="D1729" s="80">
        <v>45808</v>
      </c>
      <c r="E1729" s="79" t="s">
        <v>195</v>
      </c>
      <c r="F1729" s="79" t="s">
        <v>206</v>
      </c>
      <c r="G1729" s="79"/>
      <c r="H1729" s="79" t="s">
        <v>1410</v>
      </c>
    </row>
    <row r="1730" spans="1:8">
      <c r="A1730" s="79" t="str">
        <f>LeaveData[[#This Row],[ EMP ID]]&amp;LeaveData[[#This Row],[Date]]</f>
        <v>20241803145829</v>
      </c>
      <c r="B1730" s="79">
        <v>202418031</v>
      </c>
      <c r="C1730" s="79" t="s">
        <v>62</v>
      </c>
      <c r="D1730" s="80">
        <v>45829</v>
      </c>
      <c r="E1730" s="79" t="s">
        <v>12</v>
      </c>
      <c r="F1730" s="79" t="s">
        <v>118</v>
      </c>
      <c r="G1730" s="79"/>
      <c r="H1730" s="79" t="s">
        <v>1411</v>
      </c>
    </row>
    <row r="1731" spans="1:8">
      <c r="A1731" s="79" t="str">
        <f>LeaveData[[#This Row],[ EMP ID]]&amp;LeaveData[[#This Row],[Date]]</f>
        <v>20232000745839</v>
      </c>
      <c r="B1731" s="79">
        <v>202320007</v>
      </c>
      <c r="C1731" s="79" t="s">
        <v>183</v>
      </c>
      <c r="D1731" s="80">
        <v>45839</v>
      </c>
      <c r="E1731" s="79" t="s">
        <v>12</v>
      </c>
      <c r="F1731" s="79" t="s">
        <v>104</v>
      </c>
      <c r="G1731" s="79"/>
      <c r="H1731" s="79" t="s">
        <v>140</v>
      </c>
    </row>
    <row r="1732" spans="1:8">
      <c r="A1732" s="79" t="str">
        <f>LeaveData[[#This Row],[ EMP ID]]&amp;LeaveData[[#This Row],[Date]]</f>
        <v>20251804345839</v>
      </c>
      <c r="B1732" s="79">
        <v>202518043</v>
      </c>
      <c r="C1732" s="79" t="s">
        <v>403</v>
      </c>
      <c r="D1732" s="80">
        <v>45839</v>
      </c>
      <c r="E1732" s="79" t="s">
        <v>16</v>
      </c>
      <c r="F1732" s="79" t="s">
        <v>43</v>
      </c>
      <c r="G1732" s="79"/>
      <c r="H1732" s="79" t="s">
        <v>140</v>
      </c>
    </row>
    <row r="1733" spans="1:8">
      <c r="A1733" s="79" t="str">
        <f>LeaveData[[#This Row],[ EMP ID]]&amp;LeaveData[[#This Row],[Date]]</f>
        <v>20231802845841</v>
      </c>
      <c r="B1733" s="79">
        <v>202318028</v>
      </c>
      <c r="C1733" s="79" t="s">
        <v>57</v>
      </c>
      <c r="D1733" s="80">
        <v>45841</v>
      </c>
      <c r="E1733" s="79" t="s">
        <v>14</v>
      </c>
      <c r="F1733" s="79" t="s">
        <v>104</v>
      </c>
      <c r="G1733" s="79"/>
      <c r="H1733" s="79" t="s">
        <v>1412</v>
      </c>
    </row>
    <row r="1734" spans="1:8">
      <c r="A1734" s="79" t="str">
        <f>LeaveData[[#This Row],[ EMP ID]]&amp;LeaveData[[#This Row],[Date]]</f>
        <v>20231802545846</v>
      </c>
      <c r="B1734" s="79">
        <v>202318025</v>
      </c>
      <c r="C1734" s="79" t="s">
        <v>122</v>
      </c>
      <c r="D1734" s="80">
        <v>45846</v>
      </c>
      <c r="E1734" s="79" t="s">
        <v>15</v>
      </c>
      <c r="F1734" s="79" t="s">
        <v>1365</v>
      </c>
      <c r="G1734" s="79"/>
      <c r="H1734" s="79" t="s">
        <v>1374</v>
      </c>
    </row>
    <row r="1735" spans="1:8">
      <c r="A1735" s="79" t="str">
        <f>LeaveData[[#This Row],[ EMP ID]]&amp;LeaveData[[#This Row],[Date]]</f>
        <v>20251804445843</v>
      </c>
      <c r="B1735" s="79">
        <v>202518044</v>
      </c>
      <c r="C1735" s="79" t="s">
        <v>433</v>
      </c>
      <c r="D1735" s="80">
        <v>45843</v>
      </c>
      <c r="E1735" s="79" t="s">
        <v>13</v>
      </c>
      <c r="F1735" s="79" t="s">
        <v>125</v>
      </c>
      <c r="G1735" s="79"/>
      <c r="H1735" s="79" t="s">
        <v>105</v>
      </c>
    </row>
    <row r="1736" spans="1:8">
      <c r="A1736" s="79" t="str">
        <f>LeaveData[[#This Row],[ EMP ID]]&amp;LeaveData[[#This Row],[Date]]</f>
        <v>20241804145842</v>
      </c>
      <c r="B1736" s="79">
        <v>202418041</v>
      </c>
      <c r="C1736" s="79" t="s">
        <v>376</v>
      </c>
      <c r="D1736" s="80">
        <v>45842</v>
      </c>
      <c r="E1736" s="79" t="s">
        <v>184</v>
      </c>
      <c r="F1736" s="79" t="s">
        <v>125</v>
      </c>
      <c r="G1736" s="79"/>
      <c r="H1736" s="79" t="s">
        <v>116</v>
      </c>
    </row>
    <row r="1737" spans="1:8">
      <c r="A1737" s="79" t="str">
        <f>LeaveData[[#This Row],[ EMP ID]]&amp;LeaveData[[#This Row],[Date]]</f>
        <v>20241803845843</v>
      </c>
      <c r="B1737" s="79">
        <v>202418038</v>
      </c>
      <c r="C1737" s="79" t="s">
        <v>246</v>
      </c>
      <c r="D1737" s="80">
        <v>45843</v>
      </c>
      <c r="E1737" s="79" t="s">
        <v>13</v>
      </c>
      <c r="F1737" s="79" t="s">
        <v>125</v>
      </c>
      <c r="G1737" s="79"/>
      <c r="H1737" s="79" t="s">
        <v>116</v>
      </c>
    </row>
    <row r="1738" spans="1:8">
      <c r="A1738" s="79" t="str">
        <f>LeaveData[[#This Row],[ EMP ID]]&amp;LeaveData[[#This Row],[Date]]</f>
        <v>20250100745843</v>
      </c>
      <c r="B1738" s="79">
        <v>202501007</v>
      </c>
      <c r="C1738" s="79" t="s">
        <v>1367</v>
      </c>
      <c r="D1738" s="80">
        <v>45843</v>
      </c>
      <c r="E1738" s="79" t="s">
        <v>13</v>
      </c>
      <c r="F1738" s="79" t="s">
        <v>104</v>
      </c>
      <c r="G1738" s="79"/>
      <c r="H1738" s="123" t="s">
        <v>1413</v>
      </c>
    </row>
    <row r="1739" spans="1:8">
      <c r="A1739" s="79" t="str">
        <f>LeaveData[[#This Row],[ EMP ID]]&amp;LeaveData[[#This Row],[Date]]</f>
        <v>20240100145816</v>
      </c>
      <c r="B1739" s="79">
        <v>202401001</v>
      </c>
      <c r="C1739" s="79" t="s">
        <v>61</v>
      </c>
      <c r="D1739" s="80">
        <v>45816</v>
      </c>
      <c r="E1739" s="79" t="s">
        <v>154</v>
      </c>
      <c r="F1739" s="79" t="s">
        <v>43</v>
      </c>
      <c r="G1739" s="79"/>
      <c r="H1739" s="79" t="s">
        <v>155</v>
      </c>
    </row>
    <row r="1740" spans="1:8">
      <c r="A1740" s="79" t="str">
        <f>LeaveData[[#This Row],[ EMP ID]]&amp;LeaveData[[#This Row],[Date]]</f>
        <v>20240100145822</v>
      </c>
      <c r="B1740" s="79">
        <v>202401001</v>
      </c>
      <c r="C1740" s="79" t="s">
        <v>61</v>
      </c>
      <c r="D1740" s="80">
        <v>45822</v>
      </c>
      <c r="E1740" s="79" t="s">
        <v>154</v>
      </c>
      <c r="F1740" s="79" t="s">
        <v>43</v>
      </c>
      <c r="G1740" s="79"/>
      <c r="H1740" s="79" t="s">
        <v>155</v>
      </c>
    </row>
    <row r="1741" spans="1:8">
      <c r="A1741" s="79" t="str">
        <f>LeaveData[[#This Row],[ EMP ID]]&amp;LeaveData[[#This Row],[Date]]</f>
        <v>20240100145823</v>
      </c>
      <c r="B1741" s="79">
        <v>202401001</v>
      </c>
      <c r="C1741" s="79" t="s">
        <v>61</v>
      </c>
      <c r="D1741" s="80">
        <v>45823</v>
      </c>
      <c r="E1741" s="79" t="s">
        <v>154</v>
      </c>
      <c r="F1741" s="79" t="s">
        <v>43</v>
      </c>
      <c r="G1741" s="79"/>
      <c r="H1741" s="79" t="s">
        <v>155</v>
      </c>
    </row>
    <row r="1742" spans="1:8">
      <c r="A1742" s="79" t="str">
        <f>LeaveData[[#This Row],[ EMP ID]]&amp;LeaveData[[#This Row],[Date]]</f>
        <v>20231802345849</v>
      </c>
      <c r="B1742" s="79">
        <v>202318023</v>
      </c>
      <c r="C1742" s="79" t="s">
        <v>148</v>
      </c>
      <c r="D1742" s="80">
        <v>45849</v>
      </c>
      <c r="E1742" s="79" t="s">
        <v>13</v>
      </c>
      <c r="F1742" s="79" t="s">
        <v>128</v>
      </c>
      <c r="G1742" s="79"/>
      <c r="H1742" s="79" t="s">
        <v>1414</v>
      </c>
    </row>
    <row r="1743" spans="1:8">
      <c r="A1743" s="79" t="str">
        <f>LeaveData[[#This Row],[ EMP ID]]&amp;LeaveData[[#This Row],[Date]]</f>
        <v>20231802345852</v>
      </c>
      <c r="B1743" s="79">
        <v>202318023</v>
      </c>
      <c r="C1743" s="79" t="s">
        <v>148</v>
      </c>
      <c r="D1743" s="80">
        <v>45852</v>
      </c>
      <c r="E1743" s="79" t="s">
        <v>14</v>
      </c>
      <c r="F1743" s="79" t="s">
        <v>128</v>
      </c>
      <c r="G1743" s="79"/>
      <c r="H1743" s="79" t="s">
        <v>168</v>
      </c>
    </row>
    <row r="1744" spans="1:8">
      <c r="A1744" s="79" t="str">
        <f>LeaveData[[#This Row],[ EMP ID]]&amp;LeaveData[[#This Row],[Date]]</f>
        <v>20240100145855</v>
      </c>
      <c r="B1744" s="79">
        <v>202401001</v>
      </c>
      <c r="C1744" s="79" t="s">
        <v>61</v>
      </c>
      <c r="D1744" s="80">
        <v>45855</v>
      </c>
      <c r="E1744" s="79" t="s">
        <v>13</v>
      </c>
      <c r="F1744" s="79" t="s">
        <v>43</v>
      </c>
      <c r="G1744" s="79"/>
      <c r="H1744" s="79" t="s">
        <v>168</v>
      </c>
    </row>
    <row r="1745" spans="1:8">
      <c r="A1745" s="79" t="str">
        <f>LeaveData[[#This Row],[ EMP ID]]&amp;LeaveData[[#This Row],[Date]]</f>
        <v>20240100145856</v>
      </c>
      <c r="B1745" s="79">
        <v>202401001</v>
      </c>
      <c r="C1745" s="79" t="s">
        <v>61</v>
      </c>
      <c r="D1745" s="80">
        <v>45856</v>
      </c>
      <c r="E1745" s="79" t="s">
        <v>13</v>
      </c>
      <c r="F1745" s="79" t="s">
        <v>43</v>
      </c>
      <c r="G1745" s="79"/>
      <c r="H1745" s="79" t="s">
        <v>168</v>
      </c>
    </row>
    <row r="1746" spans="1:8">
      <c r="A1746" s="79" t="str">
        <f>LeaveData[[#This Row],[ EMP ID]]&amp;LeaveData[[#This Row],[Date]]</f>
        <v>20240100145858</v>
      </c>
      <c r="B1746" s="79">
        <v>202401001</v>
      </c>
      <c r="C1746" s="79" t="s">
        <v>61</v>
      </c>
      <c r="D1746" s="80">
        <v>45858</v>
      </c>
      <c r="E1746" s="79" t="s">
        <v>13</v>
      </c>
      <c r="F1746" s="79" t="s">
        <v>43</v>
      </c>
      <c r="G1746" s="79"/>
      <c r="H1746" s="79" t="s">
        <v>168</v>
      </c>
    </row>
    <row r="1747" spans="1:8">
      <c r="A1747" s="79" t="str">
        <f>LeaveData[[#This Row],[ EMP ID]]&amp;LeaveData[[#This Row],[Date]]</f>
        <v>20240100145859</v>
      </c>
      <c r="B1747" s="79">
        <v>202401001</v>
      </c>
      <c r="C1747" s="79" t="s">
        <v>61</v>
      </c>
      <c r="D1747" s="80">
        <v>45859</v>
      </c>
      <c r="E1747" s="79" t="s">
        <v>13</v>
      </c>
      <c r="F1747" s="79" t="s">
        <v>43</v>
      </c>
      <c r="G1747" s="79"/>
      <c r="H1747" s="79" t="s">
        <v>168</v>
      </c>
    </row>
    <row r="1748" spans="1:8">
      <c r="A1748" s="79" t="str">
        <f>LeaveData[[#This Row],[ EMP ID]]&amp;LeaveData[[#This Row],[Date]]</f>
        <v>20240100145860</v>
      </c>
      <c r="B1748" s="79">
        <v>202401001</v>
      </c>
      <c r="C1748" s="79" t="s">
        <v>61</v>
      </c>
      <c r="D1748" s="80">
        <v>45860</v>
      </c>
      <c r="E1748" s="79" t="s">
        <v>13</v>
      </c>
      <c r="F1748" s="79" t="s">
        <v>43</v>
      </c>
      <c r="G1748" s="79"/>
      <c r="H1748" s="79" t="s">
        <v>168</v>
      </c>
    </row>
    <row r="1749" spans="1:8">
      <c r="A1749" s="79" t="str">
        <f>LeaveData[[#This Row],[ EMP ID]]&amp;LeaveData[[#This Row],[Date]]</f>
        <v>20240100145861</v>
      </c>
      <c r="B1749" s="79">
        <v>202401001</v>
      </c>
      <c r="C1749" s="79" t="s">
        <v>61</v>
      </c>
      <c r="D1749" s="80">
        <v>45861</v>
      </c>
      <c r="E1749" s="79" t="s">
        <v>13</v>
      </c>
      <c r="F1749" s="79" t="s">
        <v>43</v>
      </c>
      <c r="G1749" s="79"/>
      <c r="H1749" s="79" t="s">
        <v>168</v>
      </c>
    </row>
    <row r="1750" spans="1:8">
      <c r="A1750" s="79" t="str">
        <f>LeaveData[[#This Row],[ EMP ID]]&amp;LeaveData[[#This Row],[Date]]</f>
        <v>20240100145862</v>
      </c>
      <c r="B1750" s="79">
        <v>202401001</v>
      </c>
      <c r="C1750" s="79" t="s">
        <v>61</v>
      </c>
      <c r="D1750" s="80">
        <v>45862</v>
      </c>
      <c r="E1750" s="79" t="s">
        <v>13</v>
      </c>
      <c r="F1750" s="79" t="s">
        <v>43</v>
      </c>
      <c r="G1750" s="79"/>
      <c r="H1750" s="79" t="s">
        <v>168</v>
      </c>
    </row>
    <row r="1751" spans="1:8">
      <c r="A1751" s="79" t="str">
        <f>LeaveData[[#This Row],[ EMP ID]]&amp;LeaveData[[#This Row],[Date]]</f>
        <v>20240100145863</v>
      </c>
      <c r="B1751" s="79">
        <v>202401001</v>
      </c>
      <c r="C1751" s="79" t="s">
        <v>61</v>
      </c>
      <c r="D1751" s="80">
        <v>45863</v>
      </c>
      <c r="E1751" s="79" t="s">
        <v>13</v>
      </c>
      <c r="F1751" s="79" t="s">
        <v>43</v>
      </c>
      <c r="G1751" s="79"/>
      <c r="H1751" s="79" t="s">
        <v>168</v>
      </c>
    </row>
    <row r="1752" spans="1:8">
      <c r="A1752" s="79" t="str">
        <f>LeaveData[[#This Row],[ EMP ID]]&amp;LeaveData[[#This Row],[Date]]</f>
        <v>20240100145865</v>
      </c>
      <c r="B1752" s="79">
        <v>202401001</v>
      </c>
      <c r="C1752" s="79" t="s">
        <v>61</v>
      </c>
      <c r="D1752" s="80">
        <v>45865</v>
      </c>
      <c r="E1752" s="79" t="s">
        <v>13</v>
      </c>
      <c r="F1752" s="79" t="s">
        <v>43</v>
      </c>
      <c r="G1752" s="79"/>
      <c r="H1752" s="79" t="s">
        <v>168</v>
      </c>
    </row>
    <row r="1753" spans="1:8">
      <c r="A1753" s="79" t="str">
        <f>LeaveData[[#This Row],[ EMP ID]]&amp;LeaveData[[#This Row],[Date]]</f>
        <v>20240100145866</v>
      </c>
      <c r="B1753" s="79">
        <v>202401001</v>
      </c>
      <c r="C1753" s="79" t="s">
        <v>61</v>
      </c>
      <c r="D1753" s="80">
        <v>45866</v>
      </c>
      <c r="E1753" s="79" t="s">
        <v>13</v>
      </c>
      <c r="F1753" s="79" t="s">
        <v>43</v>
      </c>
      <c r="G1753" s="79"/>
      <c r="H1753" s="79" t="s">
        <v>168</v>
      </c>
    </row>
    <row r="1754" spans="1:8">
      <c r="A1754" s="79" t="str">
        <f>LeaveData[[#This Row],[ EMP ID]]&amp;LeaveData[[#This Row],[Date]]</f>
        <v>20240100145867</v>
      </c>
      <c r="B1754" s="79">
        <v>202401001</v>
      </c>
      <c r="C1754" s="79" t="s">
        <v>61</v>
      </c>
      <c r="D1754" s="80">
        <v>45867</v>
      </c>
      <c r="E1754" s="79" t="s">
        <v>13</v>
      </c>
      <c r="F1754" s="79" t="s">
        <v>43</v>
      </c>
      <c r="G1754" s="79"/>
      <c r="H1754" s="79" t="s">
        <v>168</v>
      </c>
    </row>
    <row r="1755" spans="1:8">
      <c r="A1755" s="79" t="str">
        <f>LeaveData[[#This Row],[ EMP ID]]&amp;LeaveData[[#This Row],[Date]]</f>
        <v>20251804345844</v>
      </c>
      <c r="B1755" s="79">
        <v>202518043</v>
      </c>
      <c r="C1755" s="79" t="s">
        <v>403</v>
      </c>
      <c r="D1755" s="80">
        <v>45844</v>
      </c>
      <c r="E1755" s="79" t="s">
        <v>154</v>
      </c>
      <c r="F1755" s="79" t="s">
        <v>43</v>
      </c>
      <c r="G1755" s="79"/>
      <c r="H1755" s="79" t="s">
        <v>155</v>
      </c>
    </row>
    <row r="1756" spans="1:8">
      <c r="A1756" s="79" t="str">
        <f>LeaveData[[#This Row],[ EMP ID]]&amp;LeaveData[[#This Row],[Date]]</f>
        <v>20211800745844</v>
      </c>
      <c r="B1756" s="79">
        <v>202118007</v>
      </c>
      <c r="C1756" s="79" t="s">
        <v>103</v>
      </c>
      <c r="D1756" s="80">
        <v>45844</v>
      </c>
      <c r="E1756" s="79" t="s">
        <v>154</v>
      </c>
      <c r="F1756" s="79" t="s">
        <v>114</v>
      </c>
      <c r="G1756" s="79"/>
      <c r="H1756" s="79" t="s">
        <v>155</v>
      </c>
    </row>
    <row r="1757" spans="1:8">
      <c r="A1757" s="79" t="str">
        <f>LeaveData[[#This Row],[ EMP ID]]&amp;LeaveData[[#This Row],[Date]]</f>
        <v>20231801845857</v>
      </c>
      <c r="B1757" s="79">
        <v>202318018</v>
      </c>
      <c r="C1757" s="79" t="s">
        <v>40</v>
      </c>
      <c r="D1757" s="80">
        <v>45857</v>
      </c>
      <c r="E1757" s="79" t="s">
        <v>13</v>
      </c>
      <c r="F1757" s="79" t="s">
        <v>125</v>
      </c>
      <c r="G1757" s="79"/>
      <c r="H1757" s="79" t="s">
        <v>1415</v>
      </c>
    </row>
    <row r="1758" spans="1:8">
      <c r="A1758" s="79" t="str">
        <f>LeaveData[[#This Row],[ EMP ID]]&amp;LeaveData[[#This Row],[Date]]</f>
        <v>20231801845859</v>
      </c>
      <c r="B1758" s="79">
        <v>202318018</v>
      </c>
      <c r="C1758" s="79" t="s">
        <v>40</v>
      </c>
      <c r="D1758" s="80">
        <v>45859</v>
      </c>
      <c r="E1758" s="79" t="s">
        <v>13</v>
      </c>
      <c r="F1758" s="79" t="s">
        <v>125</v>
      </c>
      <c r="G1758" s="79"/>
      <c r="H1758" s="79" t="s">
        <v>1415</v>
      </c>
    </row>
    <row r="1759" spans="1:8">
      <c r="A1759" s="79" t="str">
        <f>LeaveData[[#This Row],[ EMP ID]]&amp;LeaveData[[#This Row],[Date]]</f>
        <v>20231802645844</v>
      </c>
      <c r="B1759" s="79">
        <v>202318026</v>
      </c>
      <c r="C1759" s="79" t="s">
        <v>53</v>
      </c>
      <c r="D1759" s="80">
        <v>45844</v>
      </c>
      <c r="E1759" s="79" t="s">
        <v>154</v>
      </c>
      <c r="F1759" s="79" t="s">
        <v>104</v>
      </c>
      <c r="G1759" s="79"/>
      <c r="H1759" s="79" t="s">
        <v>155</v>
      </c>
    </row>
    <row r="1760" spans="1:8">
      <c r="A1760" s="79" t="str">
        <f>LeaveData[[#This Row],[ EMP ID]]&amp;LeaveData[[#This Row],[Date]]</f>
        <v>20242101345845</v>
      </c>
      <c r="B1760" s="79">
        <v>202421013</v>
      </c>
      <c r="C1760" s="79" t="s">
        <v>378</v>
      </c>
      <c r="D1760" s="80">
        <v>45845</v>
      </c>
      <c r="E1760" s="79" t="s">
        <v>16</v>
      </c>
      <c r="F1760" s="79"/>
      <c r="G1760" s="79"/>
      <c r="H1760" s="79" t="s">
        <v>452</v>
      </c>
    </row>
    <row r="1761" spans="1:8">
      <c r="A1761" s="79" t="str">
        <f>LeaveData[[#This Row],[ EMP ID]]&amp;LeaveData[[#This Row],[Date]]</f>
        <v>20241804245844</v>
      </c>
      <c r="B1761" s="79">
        <v>202418042</v>
      </c>
      <c r="C1761" s="79" t="s">
        <v>402</v>
      </c>
      <c r="D1761" s="80">
        <v>45844</v>
      </c>
      <c r="E1761" s="79" t="s">
        <v>154</v>
      </c>
      <c r="F1761" s="79" t="s">
        <v>235</v>
      </c>
      <c r="G1761" s="79"/>
      <c r="H1761" s="79" t="s">
        <v>155</v>
      </c>
    </row>
    <row r="1762" spans="1:8">
      <c r="A1762" s="79" t="str">
        <f>LeaveData[[#This Row],[ EMP ID]]&amp;LeaveData[[#This Row],[Date]]</f>
        <v>20250101545845</v>
      </c>
      <c r="B1762" s="79">
        <v>202501015</v>
      </c>
      <c r="C1762" s="79" t="s">
        <v>1402</v>
      </c>
      <c r="D1762" s="80">
        <v>45845</v>
      </c>
      <c r="E1762" s="79" t="s">
        <v>12</v>
      </c>
      <c r="F1762" s="79" t="s">
        <v>1365</v>
      </c>
      <c r="G1762" s="79"/>
      <c r="H1762" s="79" t="s">
        <v>132</v>
      </c>
    </row>
    <row r="1763" spans="1:8">
      <c r="A1763" s="79" t="str">
        <f>LeaveData[[#This Row],[ EMP ID]]&amp;LeaveData[[#This Row],[Date]]</f>
        <v>20250100845844</v>
      </c>
      <c r="B1763" s="79">
        <v>202501008</v>
      </c>
      <c r="C1763" s="79" t="s">
        <v>1368</v>
      </c>
      <c r="D1763" s="80">
        <v>45844</v>
      </c>
      <c r="E1763" s="79" t="s">
        <v>154</v>
      </c>
      <c r="F1763" s="79" t="s">
        <v>104</v>
      </c>
      <c r="G1763" s="79"/>
      <c r="H1763" s="79" t="s">
        <v>155</v>
      </c>
    </row>
    <row r="1764" spans="1:8">
      <c r="A1764" s="79" t="str">
        <f>LeaveData[[#This Row],[ EMP ID]]&amp;LeaveData[[#This Row],[Date]]</f>
        <v>20232000945848</v>
      </c>
      <c r="B1764" s="79">
        <v>202320009</v>
      </c>
      <c r="C1764" s="79" t="s">
        <v>143</v>
      </c>
      <c r="D1764" s="80">
        <v>45848</v>
      </c>
      <c r="E1764" s="79" t="s">
        <v>13</v>
      </c>
      <c r="F1764" s="79" t="s">
        <v>1365</v>
      </c>
      <c r="G1764" s="79"/>
      <c r="H1764" s="79" t="s">
        <v>116</v>
      </c>
    </row>
    <row r="1765" spans="1:8">
      <c r="A1765" s="79" t="str">
        <f>LeaveData[[#This Row],[ EMP ID]]&amp;LeaveData[[#This Row],[Date]]</f>
        <v>20241803845846</v>
      </c>
      <c r="B1765" s="79">
        <v>202418038</v>
      </c>
      <c r="C1765" s="79" t="s">
        <v>246</v>
      </c>
      <c r="D1765" s="80">
        <v>45846</v>
      </c>
      <c r="E1765" s="79" t="s">
        <v>12</v>
      </c>
      <c r="F1765" s="79" t="s">
        <v>125</v>
      </c>
      <c r="G1765" s="79"/>
      <c r="H1765" s="79" t="s">
        <v>1387</v>
      </c>
    </row>
    <row r="1766" spans="1:8">
      <c r="A1766" s="79" t="str">
        <f>LeaveData[[#This Row],[ EMP ID]]&amp;LeaveData[[#This Row],[Date]]</f>
        <v>20250100745847</v>
      </c>
      <c r="B1766" s="79">
        <v>202501007</v>
      </c>
      <c r="C1766" s="79" t="s">
        <v>1367</v>
      </c>
      <c r="D1766" s="80">
        <v>45847</v>
      </c>
      <c r="E1766" s="79" t="s">
        <v>13</v>
      </c>
      <c r="F1766" s="79" t="s">
        <v>104</v>
      </c>
      <c r="G1766" s="79"/>
      <c r="H1766" s="79" t="s">
        <v>1416</v>
      </c>
    </row>
    <row r="1767" spans="1:8">
      <c r="A1767" s="79" t="str">
        <f>LeaveData[[#This Row],[ EMP ID]]&amp;LeaveData[[#This Row],[Date]]</f>
        <v>20241803845846</v>
      </c>
      <c r="B1767" s="79">
        <v>202418038</v>
      </c>
      <c r="C1767" s="79" t="s">
        <v>246</v>
      </c>
      <c r="D1767" s="80">
        <v>45846</v>
      </c>
      <c r="E1767" s="79" t="s">
        <v>12</v>
      </c>
      <c r="F1767" s="79" t="s">
        <v>125</v>
      </c>
      <c r="G1767" s="79"/>
      <c r="H1767" s="79" t="s">
        <v>1417</v>
      </c>
    </row>
    <row r="1768" spans="1:8">
      <c r="A1768" s="79" t="str">
        <f>LeaveData[[#This Row],[ EMP ID]]&amp;LeaveData[[#This Row],[Date]]</f>
        <v>20231802245849</v>
      </c>
      <c r="B1768" s="79">
        <v>202318022</v>
      </c>
      <c r="C1768" s="79" t="s">
        <v>45</v>
      </c>
      <c r="D1768" s="80">
        <v>45849</v>
      </c>
      <c r="E1768" s="79" t="s">
        <v>13</v>
      </c>
      <c r="F1768" s="79" t="s">
        <v>1365</v>
      </c>
      <c r="G1768" s="79"/>
      <c r="H1768" s="79"/>
    </row>
    <row r="1769" spans="1:8">
      <c r="A1769" s="79" t="str">
        <f>LeaveData[[#This Row],[ EMP ID]]&amp;LeaveData[[#This Row],[Date]]</f>
        <v>20231802045849</v>
      </c>
      <c r="B1769" s="79">
        <v>202318020</v>
      </c>
      <c r="C1769" s="79" t="s">
        <v>43</v>
      </c>
      <c r="D1769" s="80">
        <v>45849</v>
      </c>
      <c r="E1769" s="79" t="s">
        <v>13</v>
      </c>
      <c r="F1769" s="79" t="s">
        <v>45</v>
      </c>
      <c r="G1769" s="79"/>
      <c r="H1769" s="79" t="s">
        <v>1418</v>
      </c>
    </row>
    <row r="1770" spans="1:8">
      <c r="A1770" s="79" t="str">
        <f>LeaveData[[#This Row],[ EMP ID]]&amp;LeaveData[[#This Row],[Date]]</f>
        <v>20250100645846</v>
      </c>
      <c r="B1770" s="79">
        <v>202501006</v>
      </c>
      <c r="C1770" s="79" t="s">
        <v>1330</v>
      </c>
      <c r="D1770" s="80">
        <v>45846</v>
      </c>
      <c r="E1770" s="79" t="s">
        <v>13</v>
      </c>
      <c r="F1770" s="79" t="s">
        <v>83</v>
      </c>
      <c r="G1770" s="79"/>
      <c r="H1770" s="79" t="s">
        <v>1419</v>
      </c>
    </row>
    <row r="1771" spans="1:8">
      <c r="A1771" s="79" t="str">
        <f>LeaveData[[#This Row],[ EMP ID]]&amp;LeaveData[[#This Row],[Date]]</f>
        <v>20250100645847</v>
      </c>
      <c r="B1771" s="79">
        <v>202501006</v>
      </c>
      <c r="C1771" s="79" t="s">
        <v>1330</v>
      </c>
      <c r="D1771" s="80">
        <v>45847</v>
      </c>
      <c r="E1771" s="79" t="s">
        <v>13</v>
      </c>
      <c r="F1771" s="79" t="s">
        <v>83</v>
      </c>
      <c r="G1771" s="79"/>
      <c r="H1771" s="79" t="s">
        <v>1419</v>
      </c>
    </row>
    <row r="1772" spans="1:8">
      <c r="A1772" s="79" t="str">
        <f>LeaveData[[#This Row],[ EMP ID]]&amp;LeaveData[[#This Row],[Date]]</f>
        <v>20221800945849</v>
      </c>
      <c r="B1772" s="79">
        <v>202218009</v>
      </c>
      <c r="C1772" s="79" t="s">
        <v>26</v>
      </c>
      <c r="D1772" s="80">
        <v>45849</v>
      </c>
      <c r="E1772" s="79" t="s">
        <v>12</v>
      </c>
      <c r="F1772" s="79" t="s">
        <v>128</v>
      </c>
      <c r="G1772" s="79"/>
      <c r="H1772" s="79" t="s">
        <v>1420</v>
      </c>
    </row>
    <row r="1773" spans="1:8">
      <c r="A1773" s="79" t="str">
        <f>LeaveData[[#This Row],[ EMP ID]]&amp;LeaveData[[#This Row],[Date]]</f>
        <v>20231802845866</v>
      </c>
      <c r="B1773" s="79">
        <v>202318028</v>
      </c>
      <c r="C1773" s="79" t="s">
        <v>57</v>
      </c>
      <c r="D1773" s="80">
        <v>45866</v>
      </c>
      <c r="E1773" s="79" t="s">
        <v>13</v>
      </c>
      <c r="F1773" s="79" t="s">
        <v>104</v>
      </c>
      <c r="G1773" s="79"/>
      <c r="H1773" s="79" t="s">
        <v>168</v>
      </c>
    </row>
    <row r="1774" spans="1:8">
      <c r="A1774" s="79" t="str">
        <f>LeaveData[[#This Row],[ EMP ID]]&amp;LeaveData[[#This Row],[Date]]</f>
        <v>20231802845867</v>
      </c>
      <c r="B1774" s="79">
        <v>202318028</v>
      </c>
      <c r="C1774" s="79" t="s">
        <v>57</v>
      </c>
      <c r="D1774" s="80">
        <v>45867</v>
      </c>
      <c r="E1774" s="79" t="s">
        <v>13</v>
      </c>
      <c r="F1774" s="79" t="s">
        <v>104</v>
      </c>
      <c r="G1774" s="79"/>
      <c r="H1774" s="79" t="s">
        <v>168</v>
      </c>
    </row>
    <row r="1775" spans="1:8">
      <c r="A1775" s="79" t="str">
        <f>LeaveData[[#This Row],[ EMP ID]]&amp;LeaveData[[#This Row],[Date]]</f>
        <v>20231802845868</v>
      </c>
      <c r="B1775" s="79">
        <v>202318028</v>
      </c>
      <c r="C1775" s="79" t="s">
        <v>57</v>
      </c>
      <c r="D1775" s="80">
        <v>45868</v>
      </c>
      <c r="E1775" s="79" t="s">
        <v>13</v>
      </c>
      <c r="F1775" s="79" t="s">
        <v>104</v>
      </c>
      <c r="G1775" s="79"/>
      <c r="H1775" s="79" t="s">
        <v>168</v>
      </c>
    </row>
    <row r="1776" spans="1:8">
      <c r="A1776" s="79" t="str">
        <f>LeaveData[[#This Row],[ EMP ID]]&amp;LeaveData[[#This Row],[Date]]</f>
        <v>20231802845869</v>
      </c>
      <c r="B1776" s="79">
        <v>202318028</v>
      </c>
      <c r="C1776" s="79" t="s">
        <v>57</v>
      </c>
      <c r="D1776" s="80">
        <v>45869</v>
      </c>
      <c r="E1776" s="79" t="s">
        <v>13</v>
      </c>
      <c r="F1776" s="79" t="s">
        <v>104</v>
      </c>
      <c r="G1776" s="79"/>
      <c r="H1776" s="79" t="s">
        <v>168</v>
      </c>
    </row>
    <row r="1777" spans="1:8">
      <c r="A1777" s="79" t="str">
        <f>LeaveData[[#This Row],[ EMP ID]]&amp;LeaveData[[#This Row],[Date]]</f>
        <v>20250101145853</v>
      </c>
      <c r="B1777" s="79">
        <v>202501011</v>
      </c>
      <c r="C1777" s="79" t="s">
        <v>1383</v>
      </c>
      <c r="D1777" s="80">
        <v>45853</v>
      </c>
      <c r="E1777" s="79" t="s">
        <v>195</v>
      </c>
      <c r="F1777" s="79" t="s">
        <v>104</v>
      </c>
      <c r="G1777" s="79"/>
      <c r="H1777" s="79" t="s">
        <v>1421</v>
      </c>
    </row>
    <row r="1778" spans="1:8">
      <c r="A1778" s="79" t="str">
        <f>LeaveData[[#This Row],[ EMP ID]]&amp;LeaveData[[#This Row],[Date]]</f>
        <v>20250100645854</v>
      </c>
      <c r="B1778" s="79">
        <v>202501006</v>
      </c>
      <c r="C1778" s="79" t="s">
        <v>1330</v>
      </c>
      <c r="D1778" s="80">
        <v>45854</v>
      </c>
      <c r="E1778" s="79" t="s">
        <v>13</v>
      </c>
      <c r="F1778" s="79" t="s">
        <v>83</v>
      </c>
      <c r="G1778" s="79"/>
      <c r="H1778" s="79" t="s">
        <v>1422</v>
      </c>
    </row>
    <row r="1779" spans="1:8">
      <c r="A1779" s="79" t="str">
        <f>LeaveData[[#This Row],[ EMP ID]]&amp;LeaveData[[#This Row],[Date]]</f>
        <v>20250100645856</v>
      </c>
      <c r="B1779" s="79">
        <v>202501006</v>
      </c>
      <c r="C1779" s="79" t="s">
        <v>1330</v>
      </c>
      <c r="D1779" s="80">
        <v>45856</v>
      </c>
      <c r="E1779" s="79" t="s">
        <v>13</v>
      </c>
      <c r="F1779" s="79" t="s">
        <v>83</v>
      </c>
      <c r="G1779" s="79"/>
      <c r="H1779" s="79" t="s">
        <v>1422</v>
      </c>
    </row>
    <row r="1780" spans="1:8">
      <c r="A1780" s="79" t="str">
        <f>LeaveData[[#This Row],[ EMP ID]]&amp;LeaveData[[#This Row],[Date]]</f>
        <v>20250100645857</v>
      </c>
      <c r="B1780" s="79">
        <v>202501006</v>
      </c>
      <c r="C1780" s="79" t="s">
        <v>1330</v>
      </c>
      <c r="D1780" s="80">
        <v>45857</v>
      </c>
      <c r="E1780" s="79" t="s">
        <v>13</v>
      </c>
      <c r="F1780" s="79" t="s">
        <v>83</v>
      </c>
      <c r="G1780" s="79"/>
      <c r="H1780" s="79" t="s">
        <v>1422</v>
      </c>
    </row>
    <row r="1781" spans="1:8">
      <c r="A1781" s="79" t="str">
        <f>LeaveData[[#This Row],[ EMP ID]]&amp;LeaveData[[#This Row],[Date]]</f>
        <v>20250100645858</v>
      </c>
      <c r="B1781" s="79">
        <v>202501006</v>
      </c>
      <c r="C1781" s="79" t="s">
        <v>1330</v>
      </c>
      <c r="D1781" s="80">
        <v>45858</v>
      </c>
      <c r="E1781" s="79" t="s">
        <v>13</v>
      </c>
      <c r="F1781" s="79" t="s">
        <v>83</v>
      </c>
      <c r="G1781" s="79"/>
      <c r="H1781" s="79" t="s">
        <v>1422</v>
      </c>
    </row>
    <row r="1782" spans="1:8">
      <c r="A1782" s="79" t="str">
        <f>LeaveData[[#This Row],[ EMP ID]]&amp;LeaveData[[#This Row],[Date]]</f>
        <v>20250100645859</v>
      </c>
      <c r="B1782" s="79">
        <v>202501006</v>
      </c>
      <c r="C1782" s="79" t="s">
        <v>1330</v>
      </c>
      <c r="D1782" s="80">
        <v>45859</v>
      </c>
      <c r="E1782" s="79" t="s">
        <v>13</v>
      </c>
      <c r="F1782" s="79" t="s">
        <v>83</v>
      </c>
      <c r="G1782" s="79"/>
      <c r="H1782" s="79" t="s">
        <v>1422</v>
      </c>
    </row>
    <row r="1783" spans="1:8">
      <c r="A1783" s="79" t="str">
        <f>LeaveData[[#This Row],[ EMP ID]]&amp;LeaveData[[#This Row],[Date]]</f>
        <v>20250101545849</v>
      </c>
      <c r="B1783" s="79">
        <v>202501015</v>
      </c>
      <c r="C1783" s="79" t="s">
        <v>1402</v>
      </c>
      <c r="D1783" s="80">
        <v>45849</v>
      </c>
      <c r="E1783" s="79" t="s">
        <v>12</v>
      </c>
      <c r="F1783" s="79" t="s">
        <v>1365</v>
      </c>
      <c r="G1783" s="79"/>
      <c r="H1783" s="79" t="s">
        <v>140</v>
      </c>
    </row>
    <row r="1784" spans="1:8">
      <c r="A1784" s="79" t="str">
        <f>LeaveData[[#This Row],[ EMP ID]]&amp;LeaveData[[#This Row],[Date]]</f>
        <v>20251804345850</v>
      </c>
      <c r="B1784" s="79">
        <v>202518043</v>
      </c>
      <c r="C1784" s="79" t="s">
        <v>403</v>
      </c>
      <c r="D1784" s="80">
        <v>45850</v>
      </c>
      <c r="E1784" s="79" t="s">
        <v>154</v>
      </c>
      <c r="F1784" s="79" t="s">
        <v>114</v>
      </c>
      <c r="G1784" s="79"/>
      <c r="H1784" s="79" t="s">
        <v>1423</v>
      </c>
    </row>
    <row r="1785" spans="1:8">
      <c r="A1785" s="79" t="str">
        <f>LeaveData[[#This Row],[ EMP ID]]&amp;LeaveData[[#This Row],[Date]]</f>
        <v>20251804345851</v>
      </c>
      <c r="B1785" s="79">
        <v>202518043</v>
      </c>
      <c r="C1785" s="79" t="s">
        <v>403</v>
      </c>
      <c r="D1785" s="80">
        <v>45851</v>
      </c>
      <c r="E1785" s="79" t="s">
        <v>154</v>
      </c>
      <c r="F1785" s="79" t="s">
        <v>114</v>
      </c>
      <c r="G1785" s="79"/>
      <c r="H1785" s="79" t="s">
        <v>422</v>
      </c>
    </row>
    <row r="1786" spans="1:8">
      <c r="A1786" s="79" t="str">
        <f>LeaveData[[#This Row],[ EMP ID]]&amp;LeaveData[[#This Row],[Date]]</f>
        <v>20231802045844</v>
      </c>
      <c r="B1786" s="79">
        <v>202318020</v>
      </c>
      <c r="C1786" s="92" t="s">
        <v>43</v>
      </c>
      <c r="D1786" s="80">
        <v>45844</v>
      </c>
      <c r="E1786" s="79" t="s">
        <v>154</v>
      </c>
      <c r="F1786" s="79" t="s">
        <v>45</v>
      </c>
      <c r="G1786" s="79"/>
      <c r="H1786" s="79" t="s">
        <v>422</v>
      </c>
    </row>
    <row r="1787" spans="1:8">
      <c r="A1787" s="79" t="str">
        <f>LeaveData[[#This Row],[ EMP ID]]&amp;LeaveData[[#This Row],[Date]]</f>
        <v>20221801145857</v>
      </c>
      <c r="B1787" s="79">
        <v>202218011</v>
      </c>
      <c r="C1787" s="79" t="s">
        <v>28</v>
      </c>
      <c r="D1787" s="80">
        <v>45857</v>
      </c>
      <c r="E1787" s="79" t="s">
        <v>13</v>
      </c>
      <c r="F1787" s="79" t="s">
        <v>235</v>
      </c>
      <c r="G1787" s="79"/>
      <c r="H1787" s="79" t="s">
        <v>116</v>
      </c>
    </row>
    <row r="1788" spans="1:8">
      <c r="A1788" s="79" t="str">
        <f>LeaveData[[#This Row],[ EMP ID]]&amp;LeaveData[[#This Row],[Date]]</f>
        <v>20250101245857</v>
      </c>
      <c r="B1788" s="79">
        <v>202501012</v>
      </c>
      <c r="C1788" s="79" t="s">
        <v>1394</v>
      </c>
      <c r="D1788" s="80">
        <v>45857</v>
      </c>
      <c r="E1788" s="79" t="s">
        <v>14</v>
      </c>
      <c r="F1788" s="79" t="s">
        <v>125</v>
      </c>
      <c r="G1788" s="79"/>
      <c r="H1788" s="79" t="s">
        <v>116</v>
      </c>
    </row>
    <row r="1789" spans="1:8">
      <c r="A1789" s="79" t="str">
        <f>LeaveData[[#This Row],[ EMP ID]]&amp;LeaveData[[#This Row],[Date]]</f>
        <v>20231801945856</v>
      </c>
      <c r="B1789" s="79">
        <v>202318019</v>
      </c>
      <c r="C1789" s="79" t="s">
        <v>89</v>
      </c>
      <c r="D1789" s="80">
        <v>45856</v>
      </c>
      <c r="E1789" s="79" t="s">
        <v>16</v>
      </c>
      <c r="F1789" s="79" t="s">
        <v>45</v>
      </c>
      <c r="G1789" s="79"/>
      <c r="H1789" s="79" t="s">
        <v>140</v>
      </c>
    </row>
    <row r="1790" spans="1:8">
      <c r="A1790" s="79" t="str">
        <f>LeaveData[[#This Row],[ EMP ID]]&amp;LeaveData[[#This Row],[Date]]</f>
        <v>20231802245857</v>
      </c>
      <c r="B1790" s="79">
        <v>202318022</v>
      </c>
      <c r="C1790" s="79" t="s">
        <v>45</v>
      </c>
      <c r="D1790" s="80">
        <v>45857</v>
      </c>
      <c r="E1790" s="79" t="s">
        <v>13</v>
      </c>
      <c r="F1790" s="79" t="s">
        <v>1365</v>
      </c>
      <c r="G1790" s="79"/>
      <c r="H1790" s="79" t="s">
        <v>116</v>
      </c>
    </row>
    <row r="1791" spans="1:8">
      <c r="A1791" s="79" t="str">
        <f>LeaveData[[#This Row],[ EMP ID]]&amp;LeaveData[[#This Row],[Date]]</f>
        <v>20221800945855</v>
      </c>
      <c r="B1791" s="79">
        <v>202218009</v>
      </c>
      <c r="C1791" s="79" t="s">
        <v>26</v>
      </c>
      <c r="D1791" s="80">
        <v>45855</v>
      </c>
      <c r="E1791" s="79" t="s">
        <v>13</v>
      </c>
      <c r="F1791" s="79" t="s">
        <v>128</v>
      </c>
      <c r="G1791" s="79"/>
      <c r="H1791" s="79" t="s">
        <v>116</v>
      </c>
    </row>
    <row r="1792" spans="1:8">
      <c r="A1792" s="79" t="str">
        <f>LeaveData[[#This Row],[ EMP ID]]&amp;LeaveData[[#This Row],[Date]]</f>
        <v>20251804345857</v>
      </c>
      <c r="B1792" s="79">
        <v>202518043</v>
      </c>
      <c r="C1792" s="79" t="s">
        <v>403</v>
      </c>
      <c r="D1792" s="80">
        <v>45857</v>
      </c>
      <c r="E1792" s="79" t="s">
        <v>16</v>
      </c>
      <c r="F1792" s="79" t="s">
        <v>43</v>
      </c>
      <c r="G1792" s="79"/>
      <c r="H1792" s="79" t="s">
        <v>140</v>
      </c>
    </row>
    <row r="1793" spans="1:8">
      <c r="A1793" s="79" t="str">
        <f>LeaveData[[#This Row],[ EMP ID]]&amp;LeaveData[[#This Row],[Date]]</f>
        <v>20242100145857</v>
      </c>
      <c r="B1793" s="79">
        <v>202421001</v>
      </c>
      <c r="C1793" s="79" t="s">
        <v>221</v>
      </c>
      <c r="D1793" s="80">
        <v>45857</v>
      </c>
      <c r="E1793" s="79" t="s">
        <v>16</v>
      </c>
      <c r="F1793" s="79" t="s">
        <v>29</v>
      </c>
      <c r="G1793" s="79"/>
      <c r="H1793" s="79" t="s">
        <v>140</v>
      </c>
    </row>
    <row r="1794" spans="1:8">
      <c r="A1794" s="79" t="str">
        <f>LeaveData[[#This Row],[ EMP ID]]&amp;LeaveData[[#This Row],[Date]]</f>
        <v>20231802845857</v>
      </c>
      <c r="B1794" s="79">
        <v>202318028</v>
      </c>
      <c r="C1794" s="79" t="s">
        <v>57</v>
      </c>
      <c r="D1794" s="80">
        <v>45857</v>
      </c>
      <c r="E1794" s="79" t="s">
        <v>12</v>
      </c>
      <c r="F1794" s="79" t="s">
        <v>104</v>
      </c>
      <c r="G1794" s="79"/>
      <c r="H1794" s="79" t="s">
        <v>338</v>
      </c>
    </row>
    <row r="1795" spans="1:8">
      <c r="A1795" s="79" t="str">
        <f>LeaveData[[#This Row],[ EMP ID]]&amp;LeaveData[[#This Row],[Date]]</f>
        <v>20241804245859</v>
      </c>
      <c r="B1795" s="79">
        <v>202418042</v>
      </c>
      <c r="C1795" s="79" t="s">
        <v>402</v>
      </c>
      <c r="D1795" s="80">
        <v>45859</v>
      </c>
      <c r="E1795" s="79" t="s">
        <v>12</v>
      </c>
      <c r="F1795" s="79" t="s">
        <v>235</v>
      </c>
      <c r="G1795" s="79"/>
      <c r="H1795" s="79" t="s">
        <v>140</v>
      </c>
    </row>
    <row r="1796" spans="1:8">
      <c r="A1796" s="79" t="str">
        <f>LeaveData[[#This Row],[ EMP ID]]&amp;LeaveData[[#This Row],[Date]]</f>
        <v>20250100845860</v>
      </c>
      <c r="B1796" s="79">
        <v>202501008</v>
      </c>
      <c r="C1796" s="79" t="s">
        <v>1368</v>
      </c>
      <c r="D1796" s="80">
        <v>45860</v>
      </c>
      <c r="E1796" s="79" t="s">
        <v>12</v>
      </c>
      <c r="F1796" s="79" t="s">
        <v>27</v>
      </c>
      <c r="G1796" s="79"/>
      <c r="H1796" s="79" t="s">
        <v>140</v>
      </c>
    </row>
    <row r="1797" spans="1:8">
      <c r="A1797" s="79" t="str">
        <f>LeaveData[[#This Row],[ EMP ID]]&amp;LeaveData[[#This Row],[Date]]</f>
        <v>20211800745861</v>
      </c>
      <c r="B1797" s="79">
        <v>202118007</v>
      </c>
      <c r="C1797" s="79" t="s">
        <v>103</v>
      </c>
      <c r="D1797" s="80">
        <v>45861</v>
      </c>
      <c r="E1797" s="79" t="s">
        <v>13</v>
      </c>
      <c r="F1797" s="79" t="s">
        <v>114</v>
      </c>
      <c r="G1797" s="79"/>
      <c r="H1797" s="79" t="s">
        <v>116</v>
      </c>
    </row>
    <row r="1798" spans="1:8">
      <c r="A1798" s="79" t="str">
        <f>LeaveData[[#This Row],[ EMP ID]]&amp;LeaveData[[#This Row],[Date]]</f>
        <v>20231801945861</v>
      </c>
      <c r="B1798" s="79">
        <v>202318019</v>
      </c>
      <c r="C1798" s="79" t="s">
        <v>89</v>
      </c>
      <c r="D1798" s="80">
        <v>45861</v>
      </c>
      <c r="E1798" s="79" t="s">
        <v>14</v>
      </c>
      <c r="F1798" s="79" t="s">
        <v>45</v>
      </c>
      <c r="G1798" s="79"/>
      <c r="H1798" s="79" t="s">
        <v>116</v>
      </c>
    </row>
    <row r="1799" spans="1:8">
      <c r="A1799" s="79" t="str">
        <f>LeaveData[[#This Row],[ EMP ID]]&amp;LeaveData[[#This Row],[Date]]</f>
        <v>20241803845848</v>
      </c>
      <c r="B1799" s="79">
        <v>202418038</v>
      </c>
      <c r="C1799" s="79" t="s">
        <v>246</v>
      </c>
      <c r="D1799" s="80">
        <v>45848</v>
      </c>
      <c r="E1799" s="79" t="s">
        <v>12</v>
      </c>
      <c r="F1799" s="79" t="s">
        <v>125</v>
      </c>
      <c r="G1799" s="79"/>
      <c r="H1799" s="79" t="s">
        <v>1523</v>
      </c>
    </row>
    <row r="1800" spans="1:8">
      <c r="A1800" s="79" t="str">
        <f>LeaveData[[#This Row],[ EMP ID]]&amp;LeaveData[[#This Row],[Date]]</f>
        <v>20241803845849</v>
      </c>
      <c r="B1800" s="79">
        <v>202418038</v>
      </c>
      <c r="C1800" s="79" t="s">
        <v>246</v>
      </c>
      <c r="D1800" s="80">
        <v>45849</v>
      </c>
      <c r="E1800" s="79" t="s">
        <v>12</v>
      </c>
      <c r="F1800" s="79" t="s">
        <v>125</v>
      </c>
      <c r="G1800" s="79"/>
      <c r="H1800" s="79" t="s">
        <v>1523</v>
      </c>
    </row>
    <row r="1801" spans="1:8">
      <c r="A1801" s="79" t="str">
        <f>LeaveData[[#This Row],[ EMP ID]]&amp;LeaveData[[#This Row],[Date]]</f>
        <v>20241803845852</v>
      </c>
      <c r="B1801" s="79">
        <v>202418038</v>
      </c>
      <c r="C1801" s="79" t="s">
        <v>246</v>
      </c>
      <c r="D1801" s="80">
        <v>45852</v>
      </c>
      <c r="E1801" s="79" t="s">
        <v>12</v>
      </c>
      <c r="F1801" s="79" t="s">
        <v>125</v>
      </c>
      <c r="G1801" s="79"/>
      <c r="H1801" s="79" t="s">
        <v>1523</v>
      </c>
    </row>
    <row r="1802" spans="1:8">
      <c r="A1802" s="79" t="str">
        <f>LeaveData[[#This Row],[ EMP ID]]&amp;LeaveData[[#This Row],[Date]]</f>
        <v>20241803845853</v>
      </c>
      <c r="B1802" s="79">
        <v>202418038</v>
      </c>
      <c r="C1802" s="79" t="s">
        <v>246</v>
      </c>
      <c r="D1802" s="80">
        <v>45853</v>
      </c>
      <c r="E1802" s="79" t="s">
        <v>12</v>
      </c>
      <c r="F1802" s="79" t="s">
        <v>125</v>
      </c>
      <c r="G1802" s="79"/>
      <c r="H1802" s="79" t="s">
        <v>1523</v>
      </c>
    </row>
    <row r="1803" spans="1:8">
      <c r="A1803" s="79" t="str">
        <f>LeaveData[[#This Row],[ EMP ID]]&amp;LeaveData[[#This Row],[Date]]</f>
        <v>20241803845854</v>
      </c>
      <c r="B1803" s="79">
        <v>202418038</v>
      </c>
      <c r="C1803" s="79" t="s">
        <v>246</v>
      </c>
      <c r="D1803" s="80">
        <v>45854</v>
      </c>
      <c r="E1803" s="79" t="s">
        <v>12</v>
      </c>
      <c r="F1803" s="79" t="s">
        <v>125</v>
      </c>
      <c r="G1803" s="79"/>
      <c r="H1803" s="79" t="s">
        <v>1523</v>
      </c>
    </row>
    <row r="1804" spans="1:8">
      <c r="A1804" s="79" t="str">
        <f>LeaveData[[#This Row],[ EMP ID]]&amp;LeaveData[[#This Row],[Date]]</f>
        <v>20241803845855</v>
      </c>
      <c r="B1804" s="79">
        <v>202418038</v>
      </c>
      <c r="C1804" s="79" t="s">
        <v>246</v>
      </c>
      <c r="D1804" s="80">
        <v>45855</v>
      </c>
      <c r="E1804" s="79" t="s">
        <v>12</v>
      </c>
      <c r="F1804" s="79" t="s">
        <v>125</v>
      </c>
      <c r="G1804" s="79"/>
      <c r="H1804" s="79" t="s">
        <v>1523</v>
      </c>
    </row>
    <row r="1805" spans="1:8">
      <c r="A1805" s="79" t="str">
        <f>LeaveData[[#This Row],[ EMP ID]]&amp;LeaveData[[#This Row],[Date]]</f>
        <v>20241803845856</v>
      </c>
      <c r="B1805" s="79">
        <v>202418038</v>
      </c>
      <c r="C1805" s="79" t="s">
        <v>246</v>
      </c>
      <c r="D1805" s="80">
        <v>45856</v>
      </c>
      <c r="E1805" s="79" t="s">
        <v>13</v>
      </c>
      <c r="F1805" s="79" t="s">
        <v>125</v>
      </c>
      <c r="G1805" s="79"/>
      <c r="H1805" s="79" t="s">
        <v>1523</v>
      </c>
    </row>
    <row r="1806" spans="1:8">
      <c r="A1806" s="79" t="str">
        <f>LeaveData[[#This Row],[ EMP ID]]&amp;LeaveData[[#This Row],[Date]]</f>
        <v>20241803845857</v>
      </c>
      <c r="B1806" s="79">
        <v>202418038</v>
      </c>
      <c r="C1806" s="79" t="s">
        <v>246</v>
      </c>
      <c r="D1806" s="80">
        <v>45857</v>
      </c>
      <c r="E1806" s="79" t="s">
        <v>13</v>
      </c>
      <c r="F1806" s="79" t="s">
        <v>125</v>
      </c>
      <c r="G1806" s="79"/>
      <c r="H1806" s="79" t="s">
        <v>1523</v>
      </c>
    </row>
    <row r="1807" spans="1:8">
      <c r="A1807" s="79" t="str">
        <f>LeaveData[[#This Row],[ EMP ID]]&amp;LeaveData[[#This Row],[Date]]</f>
        <v>20241803845859</v>
      </c>
      <c r="B1807" s="79">
        <v>202418038</v>
      </c>
      <c r="C1807" s="79" t="s">
        <v>246</v>
      </c>
      <c r="D1807" s="80">
        <v>45859</v>
      </c>
      <c r="E1807" s="79" t="s">
        <v>13</v>
      </c>
      <c r="F1807" s="79" t="s">
        <v>125</v>
      </c>
      <c r="G1807" s="79"/>
      <c r="H1807" s="79" t="s">
        <v>1523</v>
      </c>
    </row>
    <row r="1808" spans="1:8">
      <c r="A1808" s="79" t="str">
        <f>LeaveData[[#This Row],[ EMP ID]]&amp;LeaveData[[#This Row],[Date]]</f>
        <v>20241803845860</v>
      </c>
      <c r="B1808" s="79">
        <v>202418038</v>
      </c>
      <c r="C1808" s="79" t="s">
        <v>246</v>
      </c>
      <c r="D1808" s="80">
        <v>45860</v>
      </c>
      <c r="E1808" s="79" t="s">
        <v>13</v>
      </c>
      <c r="F1808" s="79" t="s">
        <v>125</v>
      </c>
      <c r="G1808" s="79"/>
      <c r="H1808" s="79" t="s">
        <v>1523</v>
      </c>
    </row>
    <row r="1809" spans="1:8">
      <c r="A1809" s="79" t="str">
        <f>LeaveData[[#This Row],[ EMP ID]]&amp;LeaveData[[#This Row],[Date]]</f>
        <v>20241803845861</v>
      </c>
      <c r="B1809" s="79">
        <v>202418038</v>
      </c>
      <c r="C1809" s="79" t="s">
        <v>246</v>
      </c>
      <c r="D1809" s="80">
        <v>45861</v>
      </c>
      <c r="E1809" s="79" t="s">
        <v>13</v>
      </c>
      <c r="F1809" s="79" t="s">
        <v>125</v>
      </c>
      <c r="G1809" s="79"/>
      <c r="H1809" s="79" t="s">
        <v>1523</v>
      </c>
    </row>
    <row r="1810" spans="1:8">
      <c r="A1810" s="79" t="str">
        <f>LeaveData[[#This Row],[ EMP ID]]&amp;LeaveData[[#This Row],[Date]]</f>
        <v>20241803845862</v>
      </c>
      <c r="B1810" s="79">
        <v>202418038</v>
      </c>
      <c r="C1810" s="79" t="s">
        <v>246</v>
      </c>
      <c r="D1810" s="80">
        <v>45862</v>
      </c>
      <c r="E1810" s="79" t="s">
        <v>16</v>
      </c>
      <c r="F1810" s="79" t="s">
        <v>125</v>
      </c>
      <c r="G1810" s="79"/>
      <c r="H1810" s="79" t="s">
        <v>1424</v>
      </c>
    </row>
    <row r="1811" spans="1:8">
      <c r="A1811" s="79" t="str">
        <f>LeaveData[[#This Row],[ EMP ID]]&amp;LeaveData[[#This Row],[Date]]</f>
        <v>20241803845863</v>
      </c>
      <c r="B1811" s="79">
        <v>202418038</v>
      </c>
      <c r="C1811" s="79" t="s">
        <v>246</v>
      </c>
      <c r="D1811" s="80">
        <v>45863</v>
      </c>
      <c r="E1811" s="79" t="s">
        <v>16</v>
      </c>
      <c r="F1811" s="79" t="s">
        <v>125</v>
      </c>
      <c r="G1811" s="79"/>
      <c r="H1811" s="79" t="s">
        <v>1424</v>
      </c>
    </row>
    <row r="1812" spans="1:8">
      <c r="A1812" s="79" t="str">
        <f>LeaveData[[#This Row],[ EMP ID]]&amp;LeaveData[[#This Row],[Date]]</f>
        <v>20241803845864</v>
      </c>
      <c r="B1812" s="79">
        <v>202418038</v>
      </c>
      <c r="C1812" s="79" t="s">
        <v>246</v>
      </c>
      <c r="D1812" s="80">
        <v>45864</v>
      </c>
      <c r="E1812" s="79" t="s">
        <v>16</v>
      </c>
      <c r="F1812" s="79" t="s">
        <v>125</v>
      </c>
      <c r="G1812" s="79"/>
      <c r="H1812" s="79" t="s">
        <v>1424</v>
      </c>
    </row>
    <row r="1813" spans="1:8">
      <c r="A1813" s="79" t="str">
        <f>LeaveData[[#This Row],[ EMP ID]]&amp;LeaveData[[#This Row],[Date]]</f>
        <v>20241803845865</v>
      </c>
      <c r="B1813" s="79">
        <v>202418038</v>
      </c>
      <c r="C1813" s="79" t="s">
        <v>246</v>
      </c>
      <c r="D1813" s="80">
        <v>45865</v>
      </c>
      <c r="E1813" s="79" t="s">
        <v>16</v>
      </c>
      <c r="F1813" s="79" t="s">
        <v>125</v>
      </c>
      <c r="G1813" s="79"/>
      <c r="H1813" s="79" t="s">
        <v>1424</v>
      </c>
    </row>
    <row r="1814" spans="1:8">
      <c r="A1814" s="79" t="str">
        <f>LeaveData[[#This Row],[ EMP ID]]&amp;LeaveData[[#This Row],[Date]]</f>
        <v>20241803845866</v>
      </c>
      <c r="B1814" s="79">
        <v>202418038</v>
      </c>
      <c r="C1814" s="79" t="s">
        <v>246</v>
      </c>
      <c r="D1814" s="80">
        <v>45866</v>
      </c>
      <c r="E1814" s="79" t="s">
        <v>16</v>
      </c>
      <c r="F1814" s="79" t="s">
        <v>125</v>
      </c>
      <c r="G1814" s="79"/>
      <c r="H1814" s="79" t="s">
        <v>1424</v>
      </c>
    </row>
    <row r="1815" spans="1:8">
      <c r="A1815" s="79" t="str">
        <f>LeaveData[[#This Row],[ EMP ID]]&amp;LeaveData[[#This Row],[Date]]</f>
        <v>20241803845867</v>
      </c>
      <c r="B1815" s="79">
        <v>202418038</v>
      </c>
      <c r="C1815" s="79" t="s">
        <v>246</v>
      </c>
      <c r="D1815" s="80">
        <v>45867</v>
      </c>
      <c r="E1815" s="79" t="s">
        <v>16</v>
      </c>
      <c r="F1815" s="79" t="s">
        <v>125</v>
      </c>
      <c r="G1815" s="79"/>
      <c r="H1815" s="79" t="s">
        <v>1424</v>
      </c>
    </row>
    <row r="1816" spans="1:8">
      <c r="A1816" s="79" t="str">
        <f>LeaveData[[#This Row],[ EMP ID]]&amp;LeaveData[[#This Row],[Date]]</f>
        <v>20241803845868</v>
      </c>
      <c r="B1816" s="79">
        <v>202418038</v>
      </c>
      <c r="C1816" s="79" t="s">
        <v>246</v>
      </c>
      <c r="D1816" s="80">
        <v>45868</v>
      </c>
      <c r="E1816" s="79" t="s">
        <v>16</v>
      </c>
      <c r="F1816" s="79" t="s">
        <v>125</v>
      </c>
      <c r="G1816" s="79"/>
      <c r="H1816" s="79" t="s">
        <v>1424</v>
      </c>
    </row>
    <row r="1817" spans="1:8">
      <c r="A1817" s="79" t="str">
        <f>LeaveData[[#This Row],[ EMP ID]]&amp;LeaveData[[#This Row],[Date]]</f>
        <v>20241803845869</v>
      </c>
      <c r="B1817" s="79">
        <v>202418038</v>
      </c>
      <c r="C1817" s="79" t="s">
        <v>246</v>
      </c>
      <c r="D1817" s="80">
        <v>45869</v>
      </c>
      <c r="E1817" s="79" t="s">
        <v>16</v>
      </c>
      <c r="F1817" s="79" t="s">
        <v>125</v>
      </c>
      <c r="G1817" s="79"/>
      <c r="H1817" s="79" t="s">
        <v>1424</v>
      </c>
    </row>
    <row r="1818" spans="1:8">
      <c r="A1818" s="79" t="str">
        <f>LeaveData[[#This Row],[ EMP ID]]&amp;LeaveData[[#This Row],[Date]]</f>
        <v>20241803845870</v>
      </c>
      <c r="B1818" s="79">
        <v>202418038</v>
      </c>
      <c r="C1818" s="79" t="s">
        <v>246</v>
      </c>
      <c r="D1818" s="80">
        <v>45870</v>
      </c>
      <c r="E1818" s="79" t="s">
        <v>16</v>
      </c>
      <c r="F1818" s="79" t="s">
        <v>125</v>
      </c>
      <c r="G1818" s="79"/>
      <c r="H1818" s="79" t="s">
        <v>1424</v>
      </c>
    </row>
    <row r="1819" spans="1:8">
      <c r="A1819" s="79" t="str">
        <f>LeaveData[[#This Row],[ EMP ID]]&amp;LeaveData[[#This Row],[Date]]</f>
        <v>20241803845871</v>
      </c>
      <c r="B1819" s="79">
        <v>202418038</v>
      </c>
      <c r="C1819" s="79" t="s">
        <v>246</v>
      </c>
      <c r="D1819" s="80">
        <v>45871</v>
      </c>
      <c r="E1819" s="79" t="s">
        <v>16</v>
      </c>
      <c r="F1819" s="79" t="s">
        <v>125</v>
      </c>
      <c r="G1819" s="79"/>
      <c r="H1819" s="79" t="s">
        <v>1424</v>
      </c>
    </row>
    <row r="1820" spans="1:8">
      <c r="A1820" s="79" t="str">
        <f>LeaveData[[#This Row],[ EMP ID]]&amp;LeaveData[[#This Row],[Date]]</f>
        <v>20241803845872</v>
      </c>
      <c r="B1820" s="79">
        <v>202418038</v>
      </c>
      <c r="C1820" s="79" t="s">
        <v>246</v>
      </c>
      <c r="D1820" s="80">
        <v>45872</v>
      </c>
      <c r="E1820" s="79" t="s">
        <v>16</v>
      </c>
      <c r="F1820" s="79" t="s">
        <v>125</v>
      </c>
      <c r="G1820" s="79"/>
      <c r="H1820" s="79" t="s">
        <v>1424</v>
      </c>
    </row>
    <row r="1821" spans="1:8">
      <c r="A1821" s="79" t="str">
        <f>LeaveData[[#This Row],[ EMP ID]]&amp;LeaveData[[#This Row],[Date]]</f>
        <v>20241803845873</v>
      </c>
      <c r="B1821" s="79">
        <v>202418038</v>
      </c>
      <c r="C1821" s="79" t="s">
        <v>246</v>
      </c>
      <c r="D1821" s="80">
        <v>45873</v>
      </c>
      <c r="E1821" s="79" t="s">
        <v>16</v>
      </c>
      <c r="F1821" s="79" t="s">
        <v>125</v>
      </c>
      <c r="G1821" s="79"/>
      <c r="H1821" s="79" t="s">
        <v>1424</v>
      </c>
    </row>
    <row r="1822" spans="1:8">
      <c r="A1822" s="79" t="str">
        <f>LeaveData[[#This Row],[ EMP ID]]&amp;LeaveData[[#This Row],[Date]]</f>
        <v>20241803845874</v>
      </c>
      <c r="B1822" s="79">
        <v>202418038</v>
      </c>
      <c r="C1822" s="79" t="s">
        <v>246</v>
      </c>
      <c r="D1822" s="80">
        <v>45874</v>
      </c>
      <c r="E1822" s="79" t="s">
        <v>16</v>
      </c>
      <c r="F1822" s="79" t="s">
        <v>125</v>
      </c>
      <c r="G1822" s="79"/>
      <c r="H1822" s="79" t="s">
        <v>1424</v>
      </c>
    </row>
    <row r="1823" spans="1:8">
      <c r="A1823" s="79" t="str">
        <f>LeaveData[[#This Row],[ EMP ID]]&amp;LeaveData[[#This Row],[Date]]</f>
        <v>20241803845875</v>
      </c>
      <c r="B1823" s="79">
        <v>202418038</v>
      </c>
      <c r="C1823" s="79" t="s">
        <v>246</v>
      </c>
      <c r="D1823" s="80">
        <v>45875</v>
      </c>
      <c r="E1823" s="79" t="s">
        <v>16</v>
      </c>
      <c r="F1823" s="79" t="s">
        <v>125</v>
      </c>
      <c r="G1823" s="79"/>
      <c r="H1823" s="79" t="s">
        <v>1424</v>
      </c>
    </row>
    <row r="1824" spans="1:8">
      <c r="A1824" s="79" t="str">
        <f>LeaveData[[#This Row],[ EMP ID]]&amp;LeaveData[[#This Row],[Date]]</f>
        <v>20241803845876</v>
      </c>
      <c r="B1824" s="79">
        <v>202418038</v>
      </c>
      <c r="C1824" s="79" t="s">
        <v>246</v>
      </c>
      <c r="D1824" s="80">
        <v>45876</v>
      </c>
      <c r="E1824" s="79" t="s">
        <v>16</v>
      </c>
      <c r="F1824" s="79" t="s">
        <v>125</v>
      </c>
      <c r="G1824" s="79"/>
      <c r="H1824" s="79" t="s">
        <v>1424</v>
      </c>
    </row>
    <row r="1825" spans="1:8">
      <c r="A1825" s="79" t="str">
        <f>LeaveData[[#This Row],[ EMP ID]]&amp;LeaveData[[#This Row],[Date]]</f>
        <v>20241803845877</v>
      </c>
      <c r="B1825" s="79">
        <v>202418038</v>
      </c>
      <c r="C1825" s="79" t="s">
        <v>246</v>
      </c>
      <c r="D1825" s="80">
        <v>45877</v>
      </c>
      <c r="E1825" s="79" t="s">
        <v>16</v>
      </c>
      <c r="F1825" s="79" t="s">
        <v>125</v>
      </c>
      <c r="G1825" s="79"/>
      <c r="H1825" s="79" t="s">
        <v>1424</v>
      </c>
    </row>
    <row r="1826" spans="1:8">
      <c r="A1826" s="79" t="str">
        <f>LeaveData[[#This Row],[ EMP ID]]&amp;LeaveData[[#This Row],[Date]]</f>
        <v>20231802645862</v>
      </c>
      <c r="B1826" s="79">
        <v>202318026</v>
      </c>
      <c r="C1826" s="79" t="s">
        <v>53</v>
      </c>
      <c r="D1826" s="80">
        <v>45862</v>
      </c>
      <c r="E1826" s="79" t="s">
        <v>13</v>
      </c>
      <c r="F1826" s="79" t="s">
        <v>104</v>
      </c>
      <c r="G1826" s="79"/>
      <c r="H1826" s="79" t="s">
        <v>1425</v>
      </c>
    </row>
    <row r="1827" spans="1:8">
      <c r="A1827" s="79" t="str">
        <f>LeaveData[[#This Row],[ EMP ID]]&amp;LeaveData[[#This Row],[Date]]</f>
        <v>20231802245863</v>
      </c>
      <c r="B1827" s="79">
        <v>202318022</v>
      </c>
      <c r="C1827" s="79" t="s">
        <v>45</v>
      </c>
      <c r="D1827" s="80">
        <v>45863</v>
      </c>
      <c r="E1827" s="79" t="s">
        <v>13</v>
      </c>
      <c r="F1827" s="79" t="s">
        <v>1365</v>
      </c>
      <c r="G1827" s="79"/>
      <c r="H1827" s="79" t="s">
        <v>105</v>
      </c>
    </row>
    <row r="1828" spans="1:8">
      <c r="A1828" s="79" t="str">
        <f>LeaveData[[#This Row],[ EMP ID]]&amp;LeaveData[[#This Row],[Date]]</f>
        <v>20231802245863</v>
      </c>
      <c r="B1828" s="79">
        <v>202318022</v>
      </c>
      <c r="C1828" s="79" t="s">
        <v>45</v>
      </c>
      <c r="D1828" s="80">
        <v>45863</v>
      </c>
      <c r="E1828" s="79" t="s">
        <v>13</v>
      </c>
      <c r="F1828" s="79" t="s">
        <v>1365</v>
      </c>
      <c r="G1828" s="79"/>
      <c r="H1828" s="79" t="s">
        <v>105</v>
      </c>
    </row>
    <row r="1829" spans="1:8">
      <c r="A1829" s="79" t="str">
        <f>LeaveData[[#This Row],[ EMP ID]]&amp;LeaveData[[#This Row],[Date]]</f>
        <v>20251804345880</v>
      </c>
      <c r="B1829" s="79">
        <v>202518043</v>
      </c>
      <c r="C1829" s="79" t="s">
        <v>403</v>
      </c>
      <c r="D1829" s="80">
        <v>45880</v>
      </c>
      <c r="E1829" s="79" t="s">
        <v>13</v>
      </c>
      <c r="F1829" s="79" t="s">
        <v>43</v>
      </c>
      <c r="G1829" s="79"/>
      <c r="H1829" s="79" t="s">
        <v>1386</v>
      </c>
    </row>
    <row r="1830" spans="1:8">
      <c r="A1830" s="79" t="str">
        <f>LeaveData[[#This Row],[ EMP ID]]&amp;LeaveData[[#This Row],[Date]]</f>
        <v>20251804345881</v>
      </c>
      <c r="B1830" s="79">
        <v>202518043</v>
      </c>
      <c r="C1830" s="79" t="s">
        <v>403</v>
      </c>
      <c r="D1830" s="80">
        <v>45881</v>
      </c>
      <c r="E1830" s="79" t="s">
        <v>13</v>
      </c>
      <c r="F1830" s="79" t="s">
        <v>43</v>
      </c>
      <c r="G1830" s="79"/>
      <c r="H1830" s="79" t="s">
        <v>1386</v>
      </c>
    </row>
    <row r="1831" spans="1:8">
      <c r="A1831" s="79" t="str">
        <f>LeaveData[[#This Row],[ EMP ID]]&amp;LeaveData[[#This Row],[Date]]</f>
        <v>20251804345882</v>
      </c>
      <c r="B1831" s="79">
        <v>202518043</v>
      </c>
      <c r="C1831" s="79" t="s">
        <v>403</v>
      </c>
      <c r="D1831" s="80">
        <v>45882</v>
      </c>
      <c r="E1831" s="79" t="s">
        <v>13</v>
      </c>
      <c r="F1831" s="79" t="s">
        <v>43</v>
      </c>
      <c r="G1831" s="79"/>
      <c r="H1831" s="79" t="s">
        <v>1386</v>
      </c>
    </row>
    <row r="1832" spans="1:8">
      <c r="A1832" s="79" t="str">
        <f>LeaveData[[#This Row],[ EMP ID]]&amp;LeaveData[[#This Row],[Date]]</f>
        <v>20251804345883</v>
      </c>
      <c r="B1832" s="79">
        <v>202518043</v>
      </c>
      <c r="C1832" s="79" t="s">
        <v>403</v>
      </c>
      <c r="D1832" s="80">
        <v>45883</v>
      </c>
      <c r="E1832" s="79" t="s">
        <v>13</v>
      </c>
      <c r="F1832" s="79" t="s">
        <v>43</v>
      </c>
      <c r="G1832" s="79"/>
      <c r="H1832" s="79" t="s">
        <v>1386</v>
      </c>
    </row>
    <row r="1833" spans="1:8">
      <c r="A1833" s="79" t="str">
        <f>LeaveData[[#This Row],[ EMP ID]]&amp;LeaveData[[#This Row],[Date]]</f>
        <v>20250100845863</v>
      </c>
      <c r="B1833" s="79">
        <v>202501008</v>
      </c>
      <c r="C1833" s="79" t="s">
        <v>1368</v>
      </c>
      <c r="D1833" s="80">
        <v>45863</v>
      </c>
      <c r="E1833" s="79" t="s">
        <v>16</v>
      </c>
      <c r="F1833" s="79" t="s">
        <v>27</v>
      </c>
      <c r="G1833" s="79"/>
      <c r="H1833" s="79" t="s">
        <v>140</v>
      </c>
    </row>
    <row r="1834" spans="1:8">
      <c r="A1834" s="79" t="str">
        <f>LeaveData[[#This Row],[ EMP ID]]&amp;LeaveData[[#This Row],[Date]]</f>
        <v>20242101345864</v>
      </c>
      <c r="B1834" s="79">
        <v>202421013</v>
      </c>
      <c r="C1834" s="79" t="s">
        <v>378</v>
      </c>
      <c r="D1834" s="80">
        <v>45864</v>
      </c>
      <c r="E1834" s="79" t="s">
        <v>16</v>
      </c>
      <c r="F1834" s="79" t="s">
        <v>29</v>
      </c>
      <c r="G1834" s="79"/>
      <c r="H1834" s="79" t="s">
        <v>1426</v>
      </c>
    </row>
    <row r="1835" spans="1:8">
      <c r="A1835" s="79" t="str">
        <f>LeaveData[[#This Row],[ EMP ID]]&amp;LeaveData[[#This Row],[Date]]</f>
        <v>20231801945864</v>
      </c>
      <c r="B1835" s="79">
        <v>202318019</v>
      </c>
      <c r="C1835" s="79" t="s">
        <v>89</v>
      </c>
      <c r="D1835" s="80">
        <v>45864</v>
      </c>
      <c r="E1835" s="79" t="s">
        <v>16</v>
      </c>
      <c r="F1835" s="79" t="s">
        <v>45</v>
      </c>
      <c r="G1835" s="79"/>
      <c r="H1835" s="79" t="s">
        <v>1427</v>
      </c>
    </row>
    <row r="1836" spans="1:8">
      <c r="A1836" s="79" t="str">
        <f>LeaveData[[#This Row],[ EMP ID]]&amp;LeaveData[[#This Row],[Date]]</f>
        <v>20251804345866</v>
      </c>
      <c r="B1836" s="79">
        <v>202518043</v>
      </c>
      <c r="C1836" s="79" t="s">
        <v>403</v>
      </c>
      <c r="D1836" s="80">
        <v>45866</v>
      </c>
      <c r="E1836" s="79" t="s">
        <v>16</v>
      </c>
      <c r="F1836" s="79" t="s">
        <v>43</v>
      </c>
      <c r="G1836" s="79"/>
      <c r="H1836" s="79" t="s">
        <v>259</v>
      </c>
    </row>
    <row r="1837" spans="1:8">
      <c r="A1837" s="79" t="str">
        <f>LeaveData[[#This Row],[ EMP ID]]&amp;LeaveData[[#This Row],[Date]]</f>
        <v>20250101445866</v>
      </c>
      <c r="B1837" s="79">
        <v>202501014</v>
      </c>
      <c r="C1837" s="79" t="s">
        <v>1396</v>
      </c>
      <c r="D1837" s="80">
        <v>45866</v>
      </c>
      <c r="E1837" s="79" t="s">
        <v>12</v>
      </c>
      <c r="F1837" s="79" t="s">
        <v>43</v>
      </c>
      <c r="G1837" s="79"/>
      <c r="H1837" s="79" t="s">
        <v>140</v>
      </c>
    </row>
    <row r="1838" spans="1:8">
      <c r="A1838" s="79" t="str">
        <f>LeaveData[[#This Row],[ EMP ID]]&amp;LeaveData[[#This Row],[Date]]</f>
        <v>20242100745850</v>
      </c>
      <c r="B1838" s="79">
        <v>202421007</v>
      </c>
      <c r="C1838" s="79" t="s">
        <v>273</v>
      </c>
      <c r="D1838" s="80">
        <v>45850</v>
      </c>
      <c r="E1838" s="79" t="s">
        <v>195</v>
      </c>
      <c r="F1838" s="79" t="s">
        <v>206</v>
      </c>
      <c r="G1838" s="79"/>
      <c r="H1838" s="79" t="s">
        <v>1428</v>
      </c>
    </row>
    <row r="1839" spans="1:8">
      <c r="A1839" s="79" t="str">
        <f>LeaveData[[#This Row],[ EMP ID]]&amp;LeaveData[[#This Row],[Date]]</f>
        <v>20242100845850</v>
      </c>
      <c r="B1839" s="79">
        <v>202421008</v>
      </c>
      <c r="C1839" s="79" t="s">
        <v>274</v>
      </c>
      <c r="D1839" s="80">
        <v>45850</v>
      </c>
      <c r="E1839" s="79" t="s">
        <v>195</v>
      </c>
      <c r="F1839" s="79" t="s">
        <v>206</v>
      </c>
      <c r="G1839" s="79"/>
      <c r="H1839" s="79" t="s">
        <v>1428</v>
      </c>
    </row>
    <row r="1840" spans="1:8">
      <c r="A1840" s="79" t="str">
        <f>LeaveData[[#This Row],[ EMP ID]]&amp;LeaveData[[#This Row],[Date]]</f>
        <v>20242101245850</v>
      </c>
      <c r="B1840" s="79">
        <v>202421012</v>
      </c>
      <c r="C1840" s="79" t="s">
        <v>377</v>
      </c>
      <c r="D1840" s="80">
        <v>45850</v>
      </c>
      <c r="E1840" s="79" t="s">
        <v>195</v>
      </c>
      <c r="F1840" s="79" t="s">
        <v>206</v>
      </c>
      <c r="G1840" s="79"/>
      <c r="H1840" s="79" t="s">
        <v>1428</v>
      </c>
    </row>
    <row r="1841" spans="1:8">
      <c r="A1841" s="79" t="str">
        <f>LeaveData[[#This Row],[ EMP ID]]&amp;LeaveData[[#This Row],[Date]]</f>
        <v>20252101545850</v>
      </c>
      <c r="B1841" s="79">
        <v>202521015</v>
      </c>
      <c r="C1841" s="79" t="s">
        <v>829</v>
      </c>
      <c r="D1841" s="80">
        <v>45850</v>
      </c>
      <c r="E1841" s="79" t="s">
        <v>195</v>
      </c>
      <c r="F1841" s="79" t="s">
        <v>206</v>
      </c>
      <c r="G1841" s="79"/>
      <c r="H1841" s="79" t="s">
        <v>1428</v>
      </c>
    </row>
    <row r="1842" spans="1:8">
      <c r="A1842" s="79" t="str">
        <f>LeaveData[[#This Row],[ EMP ID]]&amp;LeaveData[[#This Row],[Date]]</f>
        <v>20231802245867</v>
      </c>
      <c r="B1842" s="79">
        <v>202318022</v>
      </c>
      <c r="C1842" s="79" t="s">
        <v>45</v>
      </c>
      <c r="D1842" s="80">
        <v>45867</v>
      </c>
      <c r="E1842" s="79" t="s">
        <v>12</v>
      </c>
      <c r="F1842" s="79" t="s">
        <v>1365</v>
      </c>
      <c r="G1842" s="79"/>
      <c r="H1842" s="79" t="s">
        <v>140</v>
      </c>
    </row>
    <row r="1843" spans="1:8">
      <c r="A1843" s="79" t="str">
        <f>LeaveData[[#This Row],[ EMP ID]]&amp;LeaveData[[#This Row],[Date]]</f>
        <v>20231802245868</v>
      </c>
      <c r="B1843" s="79">
        <v>202318022</v>
      </c>
      <c r="C1843" s="79" t="s">
        <v>45</v>
      </c>
      <c r="D1843" s="80">
        <v>45868</v>
      </c>
      <c r="E1843" s="79" t="s">
        <v>12</v>
      </c>
      <c r="F1843" s="79" t="s">
        <v>1365</v>
      </c>
      <c r="G1843" s="79"/>
      <c r="H1843" s="79" t="s">
        <v>140</v>
      </c>
    </row>
    <row r="1844" spans="1:8">
      <c r="A1844" s="79" t="str">
        <f>LeaveData[[#This Row],[ EMP ID]]&amp;LeaveData[[#This Row],[Date]]</f>
        <v>20242001545869</v>
      </c>
      <c r="B1844" s="79">
        <v>202420015</v>
      </c>
      <c r="C1844" s="79" t="s">
        <v>64</v>
      </c>
      <c r="D1844" s="80">
        <v>45869</v>
      </c>
      <c r="E1844" s="79" t="s">
        <v>13</v>
      </c>
      <c r="F1844" s="79" t="s">
        <v>125</v>
      </c>
      <c r="G1844" s="79"/>
      <c r="H1844" s="79" t="s">
        <v>116</v>
      </c>
    </row>
    <row r="1845" spans="1:8">
      <c r="A1845" s="79" t="str">
        <f>LeaveData[[#This Row],[ EMP ID]]&amp;LeaveData[[#This Row],[Date]]</f>
        <v>20251804645870</v>
      </c>
      <c r="B1845" s="79">
        <v>202518046</v>
      </c>
      <c r="C1845" s="79" t="s">
        <v>842</v>
      </c>
      <c r="D1845" s="80">
        <v>45870</v>
      </c>
      <c r="E1845" s="79" t="s">
        <v>13</v>
      </c>
      <c r="F1845" s="79" t="s">
        <v>1366</v>
      </c>
      <c r="G1845" s="79"/>
      <c r="H1845" s="79" t="s">
        <v>1429</v>
      </c>
    </row>
    <row r="1846" spans="1:8">
      <c r="A1846" s="79" t="str">
        <f>LeaveData[[#This Row],[ EMP ID]]&amp;LeaveData[[#This Row],[Date]]</f>
        <v>20241803545869</v>
      </c>
      <c r="B1846" s="79">
        <v>202418035</v>
      </c>
      <c r="C1846" s="79" t="s">
        <v>96</v>
      </c>
      <c r="D1846" s="80">
        <v>45869</v>
      </c>
      <c r="E1846" s="79" t="s">
        <v>14</v>
      </c>
      <c r="F1846" s="79" t="s">
        <v>118</v>
      </c>
      <c r="G1846" s="79"/>
      <c r="H1846" s="79" t="s">
        <v>113</v>
      </c>
    </row>
    <row r="1847" spans="1:8">
      <c r="A1847" s="79" t="str">
        <f>LeaveData[[#This Row],[ EMP ID]]&amp;LeaveData[[#This Row],[Date]]</f>
        <v>20241803545870</v>
      </c>
      <c r="B1847" s="79">
        <v>202418035</v>
      </c>
      <c r="C1847" s="79" t="s">
        <v>96</v>
      </c>
      <c r="D1847" s="80">
        <v>45870</v>
      </c>
      <c r="E1847" s="79" t="s">
        <v>13</v>
      </c>
      <c r="F1847" s="79" t="s">
        <v>118</v>
      </c>
      <c r="G1847" s="79"/>
      <c r="H1847" s="79" t="s">
        <v>113</v>
      </c>
    </row>
    <row r="1848" spans="1:8">
      <c r="A1848" s="79" t="str">
        <f>LeaveData[[#This Row],[ EMP ID]]&amp;LeaveData[[#This Row],[Date]]</f>
        <v>20250101545868</v>
      </c>
      <c r="B1848" s="79">
        <v>202501015</v>
      </c>
      <c r="C1848" s="79" t="s">
        <v>1402</v>
      </c>
      <c r="D1848" s="80">
        <v>45868</v>
      </c>
      <c r="E1848" s="79" t="s">
        <v>15</v>
      </c>
      <c r="F1848" s="79" t="s">
        <v>1365</v>
      </c>
      <c r="G1848" s="79"/>
      <c r="H1848" s="79" t="s">
        <v>140</v>
      </c>
    </row>
    <row r="1849" spans="1:8">
      <c r="A1849" s="79" t="str">
        <f>LeaveData[[#This Row],[ EMP ID]]&amp;LeaveData[[#This Row],[Date]]</f>
        <v>20250101545869</v>
      </c>
      <c r="B1849" s="79">
        <v>202501015</v>
      </c>
      <c r="C1849" s="79" t="s">
        <v>1402</v>
      </c>
      <c r="D1849" s="80">
        <v>45869</v>
      </c>
      <c r="E1849" s="79" t="s">
        <v>15</v>
      </c>
      <c r="F1849" s="79" t="s">
        <v>1365</v>
      </c>
      <c r="G1849" s="79"/>
      <c r="H1849" s="79" t="s">
        <v>140</v>
      </c>
    </row>
    <row r="1850" spans="1:8">
      <c r="A1850" s="79" t="str">
        <f>LeaveData[[#This Row],[ EMP ID]]&amp;LeaveData[[#This Row],[Date]]</f>
        <v>20231801945848</v>
      </c>
      <c r="B1850" s="79">
        <v>202318019</v>
      </c>
      <c r="C1850" s="79" t="s">
        <v>89</v>
      </c>
      <c r="D1850" s="80">
        <v>45848</v>
      </c>
      <c r="E1850" s="79" t="s">
        <v>16</v>
      </c>
      <c r="F1850" s="79" t="s">
        <v>45</v>
      </c>
      <c r="G1850" s="79"/>
      <c r="H1850" s="79" t="s">
        <v>116</v>
      </c>
    </row>
    <row r="1851" spans="1:8">
      <c r="A1851" s="79" t="str">
        <f>LeaveData[[#This Row],[ EMP ID]]&amp;LeaveData[[#This Row],[Date]]</f>
        <v>20231801945849</v>
      </c>
      <c r="B1851" s="79">
        <v>202318019</v>
      </c>
      <c r="C1851" s="79" t="s">
        <v>89</v>
      </c>
      <c r="D1851" s="80">
        <v>45849</v>
      </c>
      <c r="E1851" s="79" t="s">
        <v>13</v>
      </c>
      <c r="F1851" s="79" t="s">
        <v>45</v>
      </c>
      <c r="G1851" s="79"/>
      <c r="H1851" s="79" t="s">
        <v>1373</v>
      </c>
    </row>
    <row r="1852" spans="1:8">
      <c r="A1852" s="79" t="str">
        <f>LeaveData[[#This Row],[ EMP ID]]&amp;LeaveData[[#This Row],[Date]]</f>
        <v>20231801945852</v>
      </c>
      <c r="B1852" s="79">
        <v>202318019</v>
      </c>
      <c r="C1852" s="79" t="s">
        <v>89</v>
      </c>
      <c r="D1852" s="80">
        <v>45852</v>
      </c>
      <c r="E1852" s="79" t="s">
        <v>15</v>
      </c>
      <c r="F1852" s="79" t="s">
        <v>45</v>
      </c>
      <c r="G1852" s="79"/>
      <c r="H1852" s="79" t="s">
        <v>140</v>
      </c>
    </row>
    <row r="1853" spans="1:8">
      <c r="A1853" s="79" t="str">
        <f>LeaveData[[#This Row],[ EMP ID]]&amp;LeaveData[[#This Row],[Date]]</f>
        <v>20231801945844</v>
      </c>
      <c r="B1853" s="79">
        <v>202318019</v>
      </c>
      <c r="C1853" s="79" t="s">
        <v>89</v>
      </c>
      <c r="D1853" s="80">
        <v>45844</v>
      </c>
      <c r="E1853" s="79" t="s">
        <v>154</v>
      </c>
      <c r="F1853" s="79" t="s">
        <v>45</v>
      </c>
      <c r="G1853" s="79"/>
      <c r="H1853" s="79" t="s">
        <v>422</v>
      </c>
    </row>
    <row r="1854" spans="1:8">
      <c r="A1854" s="79" t="str">
        <f>LeaveData[[#This Row],[ EMP ID]]&amp;LeaveData[[#This Row],[Date]]</f>
        <v>20231801945858</v>
      </c>
      <c r="B1854" s="79">
        <v>202318019</v>
      </c>
      <c r="C1854" s="79" t="s">
        <v>89</v>
      </c>
      <c r="D1854" s="80">
        <v>45858</v>
      </c>
      <c r="E1854" s="79" t="s">
        <v>154</v>
      </c>
      <c r="F1854" s="79" t="s">
        <v>45</v>
      </c>
      <c r="G1854" s="79"/>
      <c r="H1854" s="79" t="s">
        <v>422</v>
      </c>
    </row>
    <row r="1855" spans="1:8">
      <c r="A1855" s="79" t="str">
        <f>LeaveData[[#This Row],[ EMP ID]]&amp;LeaveData[[#This Row],[Date]]</f>
        <v>20242100145876</v>
      </c>
      <c r="B1855" s="92">
        <v>202421001</v>
      </c>
      <c r="C1855" s="122" t="s">
        <v>221</v>
      </c>
      <c r="D1855" s="80">
        <v>45876</v>
      </c>
      <c r="E1855" s="79" t="s">
        <v>16</v>
      </c>
      <c r="F1855" s="79" t="s">
        <v>29</v>
      </c>
      <c r="G1855" s="79"/>
      <c r="H1855" s="79" t="s">
        <v>187</v>
      </c>
    </row>
    <row r="1856" spans="1:8">
      <c r="A1856" s="79" t="str">
        <f>LeaveData[[#This Row],[ EMP ID]]&amp;LeaveData[[#This Row],[Date]]</f>
        <v>20242100145877</v>
      </c>
      <c r="B1856" s="92">
        <v>202421001</v>
      </c>
      <c r="C1856" s="122" t="s">
        <v>221</v>
      </c>
      <c r="D1856" s="80">
        <v>45877</v>
      </c>
      <c r="E1856" s="79" t="s">
        <v>16</v>
      </c>
      <c r="F1856" s="79" t="s">
        <v>29</v>
      </c>
      <c r="G1856" s="79"/>
      <c r="H1856" s="79" t="s">
        <v>187</v>
      </c>
    </row>
    <row r="1857" spans="1:8">
      <c r="A1857" s="79" t="str">
        <f>LeaveData[[#This Row],[ EMP ID]]&amp;LeaveData[[#This Row],[Date]]</f>
        <v>20242100145880</v>
      </c>
      <c r="B1857" s="92">
        <v>202421001</v>
      </c>
      <c r="C1857" s="122" t="s">
        <v>221</v>
      </c>
      <c r="D1857" s="80">
        <v>45880</v>
      </c>
      <c r="E1857" s="79" t="s">
        <v>16</v>
      </c>
      <c r="F1857" s="79" t="s">
        <v>29</v>
      </c>
      <c r="G1857" s="79"/>
      <c r="H1857" s="79" t="s">
        <v>187</v>
      </c>
    </row>
    <row r="1858" spans="1:8">
      <c r="A1858" s="79" t="str">
        <f>LeaveData[[#This Row],[ EMP ID]]&amp;LeaveData[[#This Row],[Date]]</f>
        <v>20242100145881</v>
      </c>
      <c r="B1858" s="92">
        <v>202421001</v>
      </c>
      <c r="C1858" s="122" t="s">
        <v>221</v>
      </c>
      <c r="D1858" s="80">
        <v>45881</v>
      </c>
      <c r="E1858" s="79" t="s">
        <v>16</v>
      </c>
      <c r="F1858" s="79" t="s">
        <v>29</v>
      </c>
      <c r="G1858" s="79"/>
      <c r="H1858" s="79" t="s">
        <v>187</v>
      </c>
    </row>
    <row r="1859" spans="1:8">
      <c r="A1859" s="79" t="str">
        <f>LeaveData[[#This Row],[ EMP ID]]&amp;LeaveData[[#This Row],[Date]]</f>
        <v>20242100145882</v>
      </c>
      <c r="B1859" s="92">
        <v>202421001</v>
      </c>
      <c r="C1859" s="122" t="s">
        <v>221</v>
      </c>
      <c r="D1859" s="80">
        <v>45882</v>
      </c>
      <c r="E1859" s="79" t="s">
        <v>16</v>
      </c>
      <c r="F1859" s="79" t="s">
        <v>29</v>
      </c>
      <c r="G1859" s="79"/>
      <c r="H1859" s="79" t="s">
        <v>187</v>
      </c>
    </row>
    <row r="1860" spans="1:8">
      <c r="A1860" s="79" t="str">
        <f>LeaveData[[#This Row],[ EMP ID]]&amp;LeaveData[[#This Row],[Date]]</f>
        <v>20242100145883</v>
      </c>
      <c r="B1860" s="92">
        <v>202421001</v>
      </c>
      <c r="C1860" s="122" t="s">
        <v>221</v>
      </c>
      <c r="D1860" s="80">
        <v>45883</v>
      </c>
      <c r="E1860" s="79" t="s">
        <v>16</v>
      </c>
      <c r="F1860" s="79" t="s">
        <v>29</v>
      </c>
      <c r="G1860" s="79"/>
      <c r="H1860" s="79" t="s">
        <v>187</v>
      </c>
    </row>
    <row r="1861" spans="1:8">
      <c r="A1861" s="79" t="str">
        <f>LeaveData[[#This Row],[ EMP ID]]&amp;LeaveData[[#This Row],[Date]]</f>
        <v>20242100245876</v>
      </c>
      <c r="B1861" s="124">
        <v>202421002</v>
      </c>
      <c r="C1861" s="122" t="s">
        <v>223</v>
      </c>
      <c r="D1861" s="80">
        <v>45876</v>
      </c>
      <c r="E1861" s="79" t="s">
        <v>16</v>
      </c>
      <c r="F1861" s="79" t="s">
        <v>29</v>
      </c>
      <c r="G1861" s="79"/>
      <c r="H1861" s="79" t="s">
        <v>187</v>
      </c>
    </row>
    <row r="1862" spans="1:8">
      <c r="A1862" s="79" t="str">
        <f>LeaveData[[#This Row],[ EMP ID]]&amp;LeaveData[[#This Row],[Date]]</f>
        <v>20242100345877</v>
      </c>
      <c r="B1862" s="124">
        <v>202421003</v>
      </c>
      <c r="C1862" s="122" t="s">
        <v>223</v>
      </c>
      <c r="D1862" s="80">
        <v>45877</v>
      </c>
      <c r="E1862" s="79" t="s">
        <v>16</v>
      </c>
      <c r="F1862" s="79" t="s">
        <v>29</v>
      </c>
      <c r="G1862" s="79"/>
      <c r="H1862" s="79" t="s">
        <v>187</v>
      </c>
    </row>
    <row r="1863" spans="1:8">
      <c r="A1863" s="79" t="str">
        <f>LeaveData[[#This Row],[ EMP ID]]&amp;LeaveData[[#This Row],[Date]]</f>
        <v>20242100445880</v>
      </c>
      <c r="B1863" s="124">
        <v>202421004</v>
      </c>
      <c r="C1863" s="122" t="s">
        <v>223</v>
      </c>
      <c r="D1863" s="80">
        <v>45880</v>
      </c>
      <c r="E1863" s="79" t="s">
        <v>16</v>
      </c>
      <c r="F1863" s="79" t="s">
        <v>29</v>
      </c>
      <c r="G1863" s="79"/>
      <c r="H1863" s="79" t="s">
        <v>187</v>
      </c>
    </row>
    <row r="1864" spans="1:8">
      <c r="A1864" s="79" t="str">
        <f>LeaveData[[#This Row],[ EMP ID]]&amp;LeaveData[[#This Row],[Date]]</f>
        <v>20242100545881</v>
      </c>
      <c r="B1864" s="124">
        <v>202421005</v>
      </c>
      <c r="C1864" s="122" t="s">
        <v>223</v>
      </c>
      <c r="D1864" s="80">
        <v>45881</v>
      </c>
      <c r="E1864" s="79" t="s">
        <v>16</v>
      </c>
      <c r="F1864" s="79" t="s">
        <v>29</v>
      </c>
      <c r="G1864" s="79"/>
      <c r="H1864" s="79" t="s">
        <v>187</v>
      </c>
    </row>
    <row r="1865" spans="1:8">
      <c r="A1865" s="79" t="str">
        <f>LeaveData[[#This Row],[ EMP ID]]&amp;LeaveData[[#This Row],[Date]]</f>
        <v>20242100645882</v>
      </c>
      <c r="B1865" s="124">
        <v>202421006</v>
      </c>
      <c r="C1865" s="122" t="s">
        <v>223</v>
      </c>
      <c r="D1865" s="80">
        <v>45882</v>
      </c>
      <c r="E1865" s="79" t="s">
        <v>16</v>
      </c>
      <c r="F1865" s="79" t="s">
        <v>29</v>
      </c>
      <c r="G1865" s="79"/>
      <c r="H1865" s="79" t="s">
        <v>187</v>
      </c>
    </row>
    <row r="1866" spans="1:8">
      <c r="A1866" s="79" t="str">
        <f>LeaveData[[#This Row],[ EMP ID]]&amp;LeaveData[[#This Row],[Date]]</f>
        <v>20242100745883</v>
      </c>
      <c r="B1866" s="124">
        <v>202421007</v>
      </c>
      <c r="C1866" s="122" t="s">
        <v>223</v>
      </c>
      <c r="D1866" s="80">
        <v>45883</v>
      </c>
      <c r="E1866" s="79" t="s">
        <v>16</v>
      </c>
      <c r="F1866" s="79" t="s">
        <v>29</v>
      </c>
      <c r="G1866" s="79"/>
      <c r="H1866" s="79" t="s">
        <v>187</v>
      </c>
    </row>
    <row r="1867" spans="1:8">
      <c r="A1867" s="79" t="str">
        <f>LeaveData[[#This Row],[ EMP ID]]&amp;LeaveData[[#This Row],[Date]]</f>
        <v>20231801745873</v>
      </c>
      <c r="B1867" s="79">
        <v>202318017</v>
      </c>
      <c r="C1867" s="79" t="s">
        <v>37</v>
      </c>
      <c r="D1867" s="80">
        <v>45873</v>
      </c>
      <c r="E1867" s="79" t="s">
        <v>16</v>
      </c>
      <c r="F1867" s="79" t="s">
        <v>1365</v>
      </c>
      <c r="G1867" s="79"/>
      <c r="H1867" s="79" t="s">
        <v>140</v>
      </c>
    </row>
    <row r="1868" spans="1:8">
      <c r="A1868" s="79" t="str">
        <f>LeaveData[[#This Row],[ EMP ID]]&amp;LeaveData[[#This Row],[Date]]</f>
        <v>20231801745874</v>
      </c>
      <c r="B1868" s="79">
        <v>202318017</v>
      </c>
      <c r="C1868" s="79" t="s">
        <v>37</v>
      </c>
      <c r="D1868" s="80">
        <v>45874</v>
      </c>
      <c r="E1868" s="79" t="s">
        <v>16</v>
      </c>
      <c r="F1868" s="79" t="s">
        <v>1365</v>
      </c>
      <c r="G1868" s="79"/>
      <c r="H1868" s="79" t="s">
        <v>140</v>
      </c>
    </row>
    <row r="1869" spans="1:8">
      <c r="A1869" s="79" t="str">
        <f>LeaveData[[#This Row],[ EMP ID]]&amp;LeaveData[[#This Row],[Date]]</f>
        <v>20242101345876</v>
      </c>
      <c r="B1869" s="79">
        <v>202421013</v>
      </c>
      <c r="C1869" s="79" t="s">
        <v>378</v>
      </c>
      <c r="D1869" s="80">
        <v>45876</v>
      </c>
      <c r="E1869" s="79" t="s">
        <v>16</v>
      </c>
      <c r="F1869" s="79" t="s">
        <v>29</v>
      </c>
      <c r="G1869" s="79"/>
      <c r="H1869" s="79" t="s">
        <v>187</v>
      </c>
    </row>
    <row r="1870" spans="1:8">
      <c r="A1870" s="79" t="str">
        <f>LeaveData[[#This Row],[ EMP ID]]&amp;LeaveData[[#This Row],[Date]]</f>
        <v>20242101345877</v>
      </c>
      <c r="B1870" s="79">
        <v>202421013</v>
      </c>
      <c r="C1870" s="79" t="s">
        <v>378</v>
      </c>
      <c r="D1870" s="80">
        <v>45877</v>
      </c>
      <c r="E1870" s="79" t="s">
        <v>16</v>
      </c>
      <c r="F1870" s="79" t="s">
        <v>29</v>
      </c>
      <c r="G1870" s="79"/>
      <c r="H1870" s="79" t="s">
        <v>187</v>
      </c>
    </row>
    <row r="1871" spans="1:8">
      <c r="A1871" s="79" t="str">
        <f>LeaveData[[#This Row],[ EMP ID]]&amp;LeaveData[[#This Row],[Date]]</f>
        <v>20242101345880</v>
      </c>
      <c r="B1871" s="79">
        <v>202421013</v>
      </c>
      <c r="C1871" s="79" t="s">
        <v>378</v>
      </c>
      <c r="D1871" s="80">
        <v>45880</v>
      </c>
      <c r="E1871" s="79" t="s">
        <v>16</v>
      </c>
      <c r="F1871" s="79" t="s">
        <v>29</v>
      </c>
      <c r="G1871" s="79"/>
      <c r="H1871" s="79" t="s">
        <v>187</v>
      </c>
    </row>
    <row r="1872" spans="1:8">
      <c r="A1872" s="79" t="str">
        <f>LeaveData[[#This Row],[ EMP ID]]&amp;LeaveData[[#This Row],[Date]]</f>
        <v>20242101345881</v>
      </c>
      <c r="B1872" s="79">
        <v>202421013</v>
      </c>
      <c r="C1872" s="79" t="s">
        <v>378</v>
      </c>
      <c r="D1872" s="80">
        <v>45881</v>
      </c>
      <c r="E1872" s="79" t="s">
        <v>16</v>
      </c>
      <c r="F1872" s="79" t="s">
        <v>29</v>
      </c>
      <c r="G1872" s="79"/>
      <c r="H1872" s="79" t="s">
        <v>187</v>
      </c>
    </row>
    <row r="1873" spans="1:8">
      <c r="A1873" s="79" t="str">
        <f>LeaveData[[#This Row],[ EMP ID]]&amp;LeaveData[[#This Row],[Date]]</f>
        <v>20242101345882</v>
      </c>
      <c r="B1873" s="79">
        <v>202421013</v>
      </c>
      <c r="C1873" s="79" t="s">
        <v>378</v>
      </c>
      <c r="D1873" s="80">
        <v>45882</v>
      </c>
      <c r="E1873" s="79" t="s">
        <v>16</v>
      </c>
      <c r="F1873" s="79" t="s">
        <v>29</v>
      </c>
      <c r="G1873" s="79"/>
      <c r="H1873" s="79" t="s">
        <v>187</v>
      </c>
    </row>
    <row r="1874" spans="1:8">
      <c r="A1874" s="79" t="str">
        <f>LeaveData[[#This Row],[ EMP ID]]&amp;LeaveData[[#This Row],[Date]]</f>
        <v>20242101345883</v>
      </c>
      <c r="B1874" s="79">
        <v>202421013</v>
      </c>
      <c r="C1874" s="79" t="s">
        <v>378</v>
      </c>
      <c r="D1874" s="80">
        <v>45883</v>
      </c>
      <c r="E1874" s="79" t="s">
        <v>16</v>
      </c>
      <c r="F1874" s="79" t="s">
        <v>29</v>
      </c>
      <c r="G1874" s="79"/>
      <c r="H1874" s="79" t="s">
        <v>187</v>
      </c>
    </row>
    <row r="1875" spans="1:8">
      <c r="A1875" s="79" t="str">
        <f>LeaveData[[#This Row],[ EMP ID]]&amp;LeaveData[[#This Row],[Date]]</f>
        <v>20250101445866</v>
      </c>
      <c r="B1875" s="92">
        <v>202501014</v>
      </c>
      <c r="C1875" s="79" t="s">
        <v>1396</v>
      </c>
      <c r="D1875" s="80">
        <v>45866</v>
      </c>
      <c r="E1875" s="79" t="s">
        <v>12</v>
      </c>
      <c r="F1875" s="79" t="s">
        <v>45</v>
      </c>
      <c r="G1875" s="79"/>
      <c r="H1875" s="79" t="s">
        <v>140</v>
      </c>
    </row>
    <row r="1876" spans="1:8">
      <c r="A1876" s="79" t="str">
        <f>LeaveData[[#This Row],[ EMP ID]]&amp;LeaveData[[#This Row],[Date]]</f>
        <v>20211800745866</v>
      </c>
      <c r="B1876" s="79">
        <v>202118007</v>
      </c>
      <c r="C1876" s="79" t="s">
        <v>103</v>
      </c>
      <c r="D1876" s="80">
        <v>45866</v>
      </c>
      <c r="E1876" s="79" t="s">
        <v>15</v>
      </c>
      <c r="F1876" s="79" t="s">
        <v>114</v>
      </c>
      <c r="G1876" s="79"/>
      <c r="H1876" s="79" t="s">
        <v>140</v>
      </c>
    </row>
    <row r="1877" spans="1:8">
      <c r="A1877" s="79" t="str">
        <f>LeaveData[[#This Row],[ EMP ID]]&amp;LeaveData[[#This Row],[Date]]</f>
        <v>20250100745848</v>
      </c>
      <c r="B1877" s="79">
        <v>202501007</v>
      </c>
      <c r="C1877" s="79" t="s">
        <v>1367</v>
      </c>
      <c r="D1877" s="80">
        <v>45848</v>
      </c>
      <c r="E1877" s="79" t="s">
        <v>184</v>
      </c>
      <c r="F1877" s="79" t="s">
        <v>104</v>
      </c>
      <c r="G1877" s="79"/>
      <c r="H1877" s="79"/>
    </row>
    <row r="1878" spans="1:8">
      <c r="A1878" s="79" t="str">
        <f>LeaveData[[#This Row],[ EMP ID]]&amp;LeaveData[[#This Row],[Date]]</f>
        <v>20250100745849</v>
      </c>
      <c r="B1878" s="79">
        <v>202501007</v>
      </c>
      <c r="C1878" s="79" t="s">
        <v>1367</v>
      </c>
      <c r="D1878" s="80">
        <v>45849</v>
      </c>
      <c r="E1878" s="79" t="s">
        <v>184</v>
      </c>
      <c r="F1878" s="79" t="s">
        <v>104</v>
      </c>
      <c r="G1878" s="79"/>
      <c r="H1878" s="79"/>
    </row>
    <row r="1879" spans="1:8">
      <c r="A1879" s="79" t="str">
        <f>LeaveData[[#This Row],[ EMP ID]]&amp;LeaveData[[#This Row],[Date]]</f>
        <v>20250100745852</v>
      </c>
      <c r="B1879" s="79">
        <v>202501007</v>
      </c>
      <c r="C1879" s="79" t="s">
        <v>1367</v>
      </c>
      <c r="D1879" s="80">
        <v>45852</v>
      </c>
      <c r="E1879" s="79" t="s">
        <v>184</v>
      </c>
      <c r="F1879" s="79" t="s">
        <v>104</v>
      </c>
      <c r="G1879" s="79"/>
      <c r="H1879" s="79"/>
    </row>
    <row r="1880" spans="1:8">
      <c r="A1880" s="79" t="str">
        <f>LeaveData[[#This Row],[ EMP ID]]&amp;LeaveData[[#This Row],[Date]]</f>
        <v>20250100745853</v>
      </c>
      <c r="B1880" s="79">
        <v>202501007</v>
      </c>
      <c r="C1880" s="79" t="s">
        <v>1367</v>
      </c>
      <c r="D1880" s="80">
        <v>45853</v>
      </c>
      <c r="E1880" s="79" t="s">
        <v>184</v>
      </c>
      <c r="F1880" s="79" t="s">
        <v>104</v>
      </c>
      <c r="G1880" s="79"/>
      <c r="H1880" s="79"/>
    </row>
    <row r="1881" spans="1:8">
      <c r="A1881" s="79" t="str">
        <f>LeaveData[[#This Row],[ EMP ID]]&amp;LeaveData[[#This Row],[Date]]</f>
        <v>20250100745854</v>
      </c>
      <c r="B1881" s="79">
        <v>202501007</v>
      </c>
      <c r="C1881" s="79" t="s">
        <v>1367</v>
      </c>
      <c r="D1881" s="80">
        <v>45854</v>
      </c>
      <c r="E1881" s="79" t="s">
        <v>184</v>
      </c>
      <c r="F1881" s="79" t="s">
        <v>104</v>
      </c>
      <c r="G1881" s="79"/>
      <c r="H1881" s="79"/>
    </row>
    <row r="1882" spans="1:8">
      <c r="A1882" s="79" t="str">
        <f>LeaveData[[#This Row],[ EMP ID]]&amp;LeaveData[[#This Row],[Date]]</f>
        <v>20250100745855</v>
      </c>
      <c r="B1882" s="79">
        <v>202501007</v>
      </c>
      <c r="C1882" s="79" t="s">
        <v>1367</v>
      </c>
      <c r="D1882" s="80">
        <v>45855</v>
      </c>
      <c r="E1882" s="79" t="s">
        <v>184</v>
      </c>
      <c r="F1882" s="79" t="s">
        <v>104</v>
      </c>
      <c r="G1882" s="79"/>
      <c r="H1882" s="79"/>
    </row>
    <row r="1883" spans="1:8">
      <c r="A1883" s="79" t="str">
        <f>LeaveData[[#This Row],[ EMP ID]]&amp;LeaveData[[#This Row],[Date]]</f>
        <v>20250100745856</v>
      </c>
      <c r="B1883" s="79">
        <v>202501007</v>
      </c>
      <c r="C1883" s="79" t="s">
        <v>1367</v>
      </c>
      <c r="D1883" s="80">
        <v>45856</v>
      </c>
      <c r="E1883" s="79" t="s">
        <v>184</v>
      </c>
      <c r="F1883" s="79" t="s">
        <v>104</v>
      </c>
      <c r="G1883" s="79"/>
      <c r="H1883" s="79"/>
    </row>
    <row r="1884" spans="1:8">
      <c r="A1884" s="79" t="str">
        <f>LeaveData[[#This Row],[ EMP ID]]&amp;LeaveData[[#This Row],[Date]]</f>
        <v>20250100745857</v>
      </c>
      <c r="B1884" s="79">
        <v>202501007</v>
      </c>
      <c r="C1884" s="79" t="s">
        <v>1367</v>
      </c>
      <c r="D1884" s="80">
        <v>45857</v>
      </c>
      <c r="E1884" s="79" t="s">
        <v>184</v>
      </c>
      <c r="F1884" s="79" t="s">
        <v>104</v>
      </c>
      <c r="G1884" s="79"/>
      <c r="H1884" s="79"/>
    </row>
    <row r="1885" spans="1:8">
      <c r="A1885" s="79" t="str">
        <f>LeaveData[[#This Row],[ EMP ID]]&amp;LeaveData[[#This Row],[Date]]</f>
        <v>20250100745859</v>
      </c>
      <c r="B1885" s="79">
        <v>202501007</v>
      </c>
      <c r="C1885" s="79" t="s">
        <v>1367</v>
      </c>
      <c r="D1885" s="80">
        <v>45859</v>
      </c>
      <c r="E1885" s="79" t="s">
        <v>184</v>
      </c>
      <c r="F1885" s="79" t="s">
        <v>104</v>
      </c>
      <c r="G1885" s="79"/>
      <c r="H1885" s="79"/>
    </row>
    <row r="1886" spans="1:8">
      <c r="A1886" s="79" t="str">
        <f>LeaveData[[#This Row],[ EMP ID]]&amp;LeaveData[[#This Row],[Date]]</f>
        <v>20250100745860</v>
      </c>
      <c r="B1886" s="79">
        <v>202501007</v>
      </c>
      <c r="C1886" s="79" t="s">
        <v>1367</v>
      </c>
      <c r="D1886" s="80">
        <v>45860</v>
      </c>
      <c r="E1886" s="79" t="s">
        <v>184</v>
      </c>
      <c r="F1886" s="79" t="s">
        <v>104</v>
      </c>
      <c r="G1886" s="79"/>
      <c r="H1886" s="79"/>
    </row>
    <row r="1887" spans="1:8">
      <c r="A1887" s="79" t="str">
        <f>LeaveData[[#This Row],[ EMP ID]]&amp;LeaveData[[#This Row],[Date]]</f>
        <v>20250100745861</v>
      </c>
      <c r="B1887" s="79">
        <v>202501007</v>
      </c>
      <c r="C1887" s="79" t="s">
        <v>1367</v>
      </c>
      <c r="D1887" s="80">
        <v>45861</v>
      </c>
      <c r="E1887" s="79" t="s">
        <v>184</v>
      </c>
      <c r="F1887" s="79" t="s">
        <v>104</v>
      </c>
      <c r="G1887" s="79"/>
      <c r="H1887" s="79"/>
    </row>
    <row r="1888" spans="1:8">
      <c r="A1888" s="79" t="str">
        <f>LeaveData[[#This Row],[ EMP ID]]&amp;LeaveData[[#This Row],[Date]]</f>
        <v>20250100745862</v>
      </c>
      <c r="B1888" s="79">
        <v>202501007</v>
      </c>
      <c r="C1888" s="79" t="s">
        <v>1367</v>
      </c>
      <c r="D1888" s="80">
        <v>45862</v>
      </c>
      <c r="E1888" s="79" t="s">
        <v>184</v>
      </c>
      <c r="F1888" s="79" t="s">
        <v>104</v>
      </c>
      <c r="G1888" s="79"/>
      <c r="H1888" s="79"/>
    </row>
    <row r="1889" spans="1:8">
      <c r="A1889" s="79" t="str">
        <f>LeaveData[[#This Row],[ EMP ID]]&amp;LeaveData[[#This Row],[Date]]</f>
        <v>20250100745863</v>
      </c>
      <c r="B1889" s="79">
        <v>202501007</v>
      </c>
      <c r="C1889" s="79" t="s">
        <v>1367</v>
      </c>
      <c r="D1889" s="80">
        <v>45863</v>
      </c>
      <c r="E1889" s="79" t="s">
        <v>184</v>
      </c>
      <c r="F1889" s="79" t="s">
        <v>104</v>
      </c>
      <c r="G1889" s="79"/>
      <c r="H1889" s="79"/>
    </row>
    <row r="1890" spans="1:8">
      <c r="A1890" s="79" t="str">
        <f>LeaveData[[#This Row],[ EMP ID]]&amp;LeaveData[[#This Row],[Date]]</f>
        <v>20250100745864</v>
      </c>
      <c r="B1890" s="79">
        <v>202501007</v>
      </c>
      <c r="C1890" s="79" t="s">
        <v>1367</v>
      </c>
      <c r="D1890" s="80">
        <v>45864</v>
      </c>
      <c r="E1890" s="79" t="s">
        <v>184</v>
      </c>
      <c r="F1890" s="79" t="s">
        <v>104</v>
      </c>
      <c r="G1890" s="79"/>
      <c r="H1890" s="79"/>
    </row>
    <row r="1891" spans="1:8">
      <c r="A1891" s="79" t="str">
        <f>LeaveData[[#This Row],[ EMP ID]]&amp;LeaveData[[#This Row],[Date]]</f>
        <v>20250100745866</v>
      </c>
      <c r="B1891" s="79">
        <v>202501007</v>
      </c>
      <c r="C1891" s="79" t="s">
        <v>1367</v>
      </c>
      <c r="D1891" s="80">
        <v>45866</v>
      </c>
      <c r="E1891" s="79" t="s">
        <v>184</v>
      </c>
      <c r="F1891" s="79" t="s">
        <v>104</v>
      </c>
      <c r="G1891" s="79"/>
      <c r="H1891" s="79"/>
    </row>
    <row r="1892" spans="1:8">
      <c r="A1892" s="79" t="str">
        <f>LeaveData[[#This Row],[ EMP ID]]&amp;LeaveData[[#This Row],[Date]]</f>
        <v>20250100745867</v>
      </c>
      <c r="B1892" s="79">
        <v>202501007</v>
      </c>
      <c r="C1892" s="79" t="s">
        <v>1367</v>
      </c>
      <c r="D1892" s="80">
        <v>45867</v>
      </c>
      <c r="E1892" s="79" t="s">
        <v>184</v>
      </c>
      <c r="F1892" s="79" t="s">
        <v>104</v>
      </c>
      <c r="G1892" s="79"/>
      <c r="H1892" s="79"/>
    </row>
    <row r="1893" spans="1:8">
      <c r="A1893" s="79" t="str">
        <f>LeaveData[[#This Row],[ EMP ID]]&amp;LeaveData[[#This Row],[Date]]</f>
        <v>20250100745868</v>
      </c>
      <c r="B1893" s="79">
        <v>202501007</v>
      </c>
      <c r="C1893" s="79" t="s">
        <v>1367</v>
      </c>
      <c r="D1893" s="80">
        <v>45868</v>
      </c>
      <c r="E1893" s="79" t="s">
        <v>184</v>
      </c>
      <c r="F1893" s="79" t="s">
        <v>104</v>
      </c>
      <c r="G1893" s="79"/>
      <c r="H1893" s="79"/>
    </row>
    <row r="1894" spans="1:8">
      <c r="A1894" s="79" t="str">
        <f>LeaveData[[#This Row],[ EMP ID]]&amp;LeaveData[[#This Row],[Date]]</f>
        <v>20250100745869</v>
      </c>
      <c r="B1894" s="79">
        <v>202501007</v>
      </c>
      <c r="C1894" s="79" t="s">
        <v>1367</v>
      </c>
      <c r="D1894" s="80">
        <v>45869</v>
      </c>
      <c r="E1894" s="79" t="s">
        <v>184</v>
      </c>
      <c r="F1894" s="79" t="s">
        <v>104</v>
      </c>
      <c r="G1894" s="79"/>
      <c r="H1894" s="79"/>
    </row>
    <row r="1895" spans="1:8">
      <c r="A1895" s="79" t="str">
        <f>LeaveData[[#This Row],[ EMP ID]]&amp;LeaveData[[#This Row],[Date]]</f>
        <v>20232000745871</v>
      </c>
      <c r="B1895" s="79">
        <v>202320007</v>
      </c>
      <c r="C1895" s="79" t="s">
        <v>183</v>
      </c>
      <c r="D1895" s="80">
        <v>45871</v>
      </c>
      <c r="E1895" s="79" t="s">
        <v>13</v>
      </c>
      <c r="F1895" s="79" t="s">
        <v>104</v>
      </c>
      <c r="G1895" s="79"/>
      <c r="H1895" s="79" t="s">
        <v>116</v>
      </c>
    </row>
    <row r="1896" spans="1:8">
      <c r="A1896" s="79" t="str">
        <f>LeaveData[[#This Row],[ EMP ID]]&amp;LeaveData[[#This Row],[Date]]</f>
        <v>20251804545838</v>
      </c>
      <c r="B1896" s="79">
        <v>202518045</v>
      </c>
      <c r="C1896" s="79" t="s">
        <v>87</v>
      </c>
      <c r="D1896" s="80">
        <v>45838</v>
      </c>
      <c r="E1896" s="79" t="s">
        <v>195</v>
      </c>
      <c r="F1896" s="79" t="s">
        <v>104</v>
      </c>
      <c r="G1896" s="79"/>
      <c r="H1896" s="79" t="s">
        <v>1431</v>
      </c>
    </row>
    <row r="1897" spans="1:8">
      <c r="A1897" s="79" t="str">
        <f>LeaveData[[#This Row],[ EMP ID]]&amp;LeaveData[[#This Row],[Date]]</f>
        <v>20250101645867</v>
      </c>
      <c r="B1897" s="79">
        <v>202501016</v>
      </c>
      <c r="C1897" s="79" t="s">
        <v>1430</v>
      </c>
      <c r="D1897" s="80">
        <v>45867</v>
      </c>
      <c r="E1897" s="79" t="s">
        <v>199</v>
      </c>
      <c r="F1897" s="79" t="s">
        <v>125</v>
      </c>
      <c r="G1897" s="79"/>
      <c r="H1897" s="79" t="s">
        <v>200</v>
      </c>
    </row>
    <row r="1898" spans="1:8">
      <c r="A1898" s="79" t="str">
        <f>LeaveData[[#This Row],[ EMP ID]]&amp;LeaveData[[#This Row],[Date]]</f>
        <v>20251804445869</v>
      </c>
      <c r="B1898" s="79">
        <v>202518044</v>
      </c>
      <c r="C1898" s="79" t="s">
        <v>433</v>
      </c>
      <c r="D1898" s="80">
        <v>45869</v>
      </c>
      <c r="E1898" s="79" t="s">
        <v>195</v>
      </c>
      <c r="F1898" s="79" t="s">
        <v>125</v>
      </c>
      <c r="G1898" s="79"/>
      <c r="H1898" s="79" t="s">
        <v>1421</v>
      </c>
    </row>
    <row r="1899" spans="1:8">
      <c r="A1899" s="79" t="str">
        <f>LeaveData[[#This Row],[ EMP ID]]&amp;LeaveData[[#This Row],[Date]]</f>
        <v>20241804145843</v>
      </c>
      <c r="B1899" s="79">
        <v>202418041</v>
      </c>
      <c r="C1899" s="79" t="s">
        <v>376</v>
      </c>
      <c r="D1899" s="80">
        <v>45843</v>
      </c>
      <c r="E1899" s="79" t="s">
        <v>195</v>
      </c>
      <c r="F1899" s="79" t="s">
        <v>125</v>
      </c>
      <c r="G1899" s="79"/>
      <c r="H1899" s="79" t="s">
        <v>1431</v>
      </c>
    </row>
    <row r="1900" spans="1:8">
      <c r="A1900" s="79" t="str">
        <f>LeaveData[[#This Row],[ EMP ID]]&amp;LeaveData[[#This Row],[Date]]</f>
        <v>20241803145838</v>
      </c>
      <c r="B1900" s="79">
        <v>202418031</v>
      </c>
      <c r="C1900" s="79" t="s">
        <v>62</v>
      </c>
      <c r="D1900" s="80">
        <v>45838</v>
      </c>
      <c r="E1900" s="79" t="s">
        <v>195</v>
      </c>
      <c r="F1900" s="79" t="s">
        <v>118</v>
      </c>
      <c r="G1900" s="79"/>
      <c r="H1900" s="79" t="s">
        <v>196</v>
      </c>
    </row>
    <row r="1901" spans="1:8">
      <c r="A1901" s="79" t="str">
        <f>LeaveData[[#This Row],[ EMP ID]]&amp;LeaveData[[#This Row],[Date]]</f>
        <v>20251804345872</v>
      </c>
      <c r="B1901" s="79">
        <v>202518043</v>
      </c>
      <c r="C1901" s="79" t="s">
        <v>403</v>
      </c>
      <c r="D1901" s="80">
        <v>45872</v>
      </c>
      <c r="E1901" s="79" t="s">
        <v>154</v>
      </c>
      <c r="F1901" s="79" t="s">
        <v>43</v>
      </c>
      <c r="G1901" s="79"/>
      <c r="H1901" s="79" t="s">
        <v>422</v>
      </c>
    </row>
    <row r="1902" spans="1:8">
      <c r="A1902" s="79" t="str">
        <f>LeaveData[[#This Row],[ EMP ID]]&amp;LeaveData[[#This Row],[Date]]</f>
        <v>20231802745873</v>
      </c>
      <c r="B1902" s="79">
        <v>202318027</v>
      </c>
      <c r="C1902" s="79" t="s">
        <v>54</v>
      </c>
      <c r="D1902" s="80">
        <v>45873</v>
      </c>
      <c r="E1902" s="79" t="s">
        <v>13</v>
      </c>
      <c r="F1902" s="79" t="s">
        <v>1365</v>
      </c>
      <c r="G1902" s="79"/>
      <c r="H1902" s="79" t="s">
        <v>286</v>
      </c>
    </row>
    <row r="1903" spans="1:8">
      <c r="A1903" s="79" t="str">
        <f>LeaveData[[#This Row],[ EMP ID]]&amp;LeaveData[[#This Row],[Date]]</f>
        <v>20231802745874</v>
      </c>
      <c r="B1903" s="79">
        <v>202318027</v>
      </c>
      <c r="C1903" s="79" t="s">
        <v>54</v>
      </c>
      <c r="D1903" s="80">
        <v>45874</v>
      </c>
      <c r="E1903" s="79" t="s">
        <v>13</v>
      </c>
      <c r="F1903" s="79" t="s">
        <v>1365</v>
      </c>
      <c r="G1903" s="79"/>
      <c r="H1903" s="79" t="s">
        <v>286</v>
      </c>
    </row>
    <row r="1904" spans="1:8">
      <c r="A1904" s="79" t="str">
        <f>LeaveData[[#This Row],[ EMP ID]]&amp;LeaveData[[#This Row],[Date]]</f>
        <v>20250101245873</v>
      </c>
      <c r="B1904" s="79">
        <v>202501012</v>
      </c>
      <c r="C1904" s="79" t="s">
        <v>1394</v>
      </c>
      <c r="D1904" s="80">
        <v>45873</v>
      </c>
      <c r="E1904" s="79" t="s">
        <v>12</v>
      </c>
      <c r="F1904" s="79" t="s">
        <v>125</v>
      </c>
      <c r="G1904" s="79"/>
      <c r="H1904" s="79" t="s">
        <v>132</v>
      </c>
    </row>
    <row r="1905" spans="1:8">
      <c r="A1905" s="79" t="str">
        <f>LeaveData[[#This Row],[ EMP ID]]&amp;LeaveData[[#This Row],[Date]]</f>
        <v>20211800745872</v>
      </c>
      <c r="B1905" s="79">
        <v>202118007</v>
      </c>
      <c r="C1905" s="79" t="s">
        <v>103</v>
      </c>
      <c r="D1905" s="80">
        <v>45872</v>
      </c>
      <c r="E1905" s="79" t="s">
        <v>154</v>
      </c>
      <c r="F1905" s="79" t="s">
        <v>114</v>
      </c>
      <c r="G1905" s="79"/>
      <c r="H1905" s="79" t="s">
        <v>422</v>
      </c>
    </row>
    <row r="1906" spans="1:8">
      <c r="A1906" s="79" t="str">
        <f>LeaveData[[#This Row],[ EMP ID]]&amp;LeaveData[[#This Row],[Date]]</f>
        <v>20182000145875</v>
      </c>
      <c r="B1906" s="79">
        <v>201820001</v>
      </c>
      <c r="C1906" s="79" t="s">
        <v>18</v>
      </c>
      <c r="D1906" s="80">
        <v>45875</v>
      </c>
      <c r="E1906" s="79" t="s">
        <v>13</v>
      </c>
      <c r="F1906" s="79" t="s">
        <v>118</v>
      </c>
      <c r="G1906" s="79"/>
      <c r="H1906" s="79" t="s">
        <v>1347</v>
      </c>
    </row>
    <row r="1907" spans="1:8">
      <c r="A1907" s="79" t="str">
        <f>LeaveData[[#This Row],[ EMP ID]]&amp;LeaveData[[#This Row],[Date]]</f>
        <v>20221801145890</v>
      </c>
      <c r="B1907" s="79">
        <v>202218011</v>
      </c>
      <c r="C1907" s="79" t="s">
        <v>28</v>
      </c>
      <c r="D1907" s="80">
        <v>45890</v>
      </c>
      <c r="E1907" s="79" t="s">
        <v>13</v>
      </c>
      <c r="F1907" s="79" t="s">
        <v>235</v>
      </c>
      <c r="G1907" s="79"/>
      <c r="H1907" s="79" t="s">
        <v>1438</v>
      </c>
    </row>
    <row r="1908" spans="1:8">
      <c r="A1908" s="79" t="str">
        <f>LeaveData[[#This Row],[ EMP ID]]&amp;LeaveData[[#This Row],[Date]]</f>
        <v>20221801145891</v>
      </c>
      <c r="B1908" s="79">
        <v>202218011</v>
      </c>
      <c r="C1908" s="79" t="s">
        <v>28</v>
      </c>
      <c r="D1908" s="80">
        <v>45891</v>
      </c>
      <c r="E1908" s="79" t="s">
        <v>13</v>
      </c>
      <c r="F1908" s="79" t="s">
        <v>235</v>
      </c>
      <c r="G1908" s="79"/>
      <c r="H1908" s="79" t="s">
        <v>1438</v>
      </c>
    </row>
    <row r="1909" spans="1:8">
      <c r="A1909" s="79" t="str">
        <f>LeaveData[[#This Row],[ EMP ID]]&amp;LeaveData[[#This Row],[Date]]</f>
        <v>20221801145892</v>
      </c>
      <c r="B1909" s="79">
        <v>202218011</v>
      </c>
      <c r="C1909" s="79" t="s">
        <v>28</v>
      </c>
      <c r="D1909" s="80">
        <v>45892</v>
      </c>
      <c r="E1909" s="79" t="s">
        <v>13</v>
      </c>
      <c r="F1909" s="79" t="s">
        <v>235</v>
      </c>
      <c r="G1909" s="79"/>
      <c r="H1909" s="79" t="s">
        <v>1438</v>
      </c>
    </row>
    <row r="1910" spans="1:8">
      <c r="A1910" s="79" t="str">
        <f>LeaveData[[#This Row],[ EMP ID]]&amp;LeaveData[[#This Row],[Date]]</f>
        <v>20221801145894</v>
      </c>
      <c r="B1910" s="79">
        <v>202218011</v>
      </c>
      <c r="C1910" s="79" t="s">
        <v>28</v>
      </c>
      <c r="D1910" s="80">
        <v>45894</v>
      </c>
      <c r="E1910" s="79" t="s">
        <v>13</v>
      </c>
      <c r="F1910" s="79" t="s">
        <v>235</v>
      </c>
      <c r="G1910" s="79"/>
      <c r="H1910" s="79" t="s">
        <v>1438</v>
      </c>
    </row>
    <row r="1911" spans="1:8">
      <c r="A1911" s="79" t="str">
        <f>LeaveData[[#This Row],[ EMP ID]]&amp;LeaveData[[#This Row],[Date]]</f>
        <v>20241804245880</v>
      </c>
      <c r="B1911" s="79">
        <v>202418042</v>
      </c>
      <c r="C1911" s="79" t="s">
        <v>402</v>
      </c>
      <c r="D1911" s="80">
        <v>45880</v>
      </c>
      <c r="E1911" s="79" t="s">
        <v>16</v>
      </c>
      <c r="F1911" s="79" t="s">
        <v>235</v>
      </c>
      <c r="G1911" s="79"/>
      <c r="H1911" s="79" t="s">
        <v>1439</v>
      </c>
    </row>
    <row r="1912" spans="1:8">
      <c r="A1912" s="79" t="str">
        <f>LeaveData[[#This Row],[ EMP ID]]&amp;LeaveData[[#This Row],[Date]]</f>
        <v>20241804245881</v>
      </c>
      <c r="B1912" s="79">
        <v>202418042</v>
      </c>
      <c r="C1912" s="79" t="s">
        <v>402</v>
      </c>
      <c r="D1912" s="80">
        <v>45881</v>
      </c>
      <c r="E1912" s="79" t="s">
        <v>16</v>
      </c>
      <c r="F1912" s="79" t="s">
        <v>235</v>
      </c>
      <c r="G1912" s="79"/>
      <c r="H1912" s="79" t="s">
        <v>1439</v>
      </c>
    </row>
    <row r="1913" spans="1:8">
      <c r="A1913" s="79" t="str">
        <f>LeaveData[[#This Row],[ EMP ID]]&amp;LeaveData[[#This Row],[Date]]</f>
        <v>20241804245882</v>
      </c>
      <c r="B1913" s="79">
        <v>202418042</v>
      </c>
      <c r="C1913" s="79" t="s">
        <v>402</v>
      </c>
      <c r="D1913" s="80">
        <v>45882</v>
      </c>
      <c r="E1913" s="79" t="s">
        <v>13</v>
      </c>
      <c r="F1913" s="79" t="s">
        <v>235</v>
      </c>
      <c r="G1913" s="79"/>
      <c r="H1913" s="79" t="s">
        <v>1439</v>
      </c>
    </row>
    <row r="1914" spans="1:8">
      <c r="A1914" s="79" t="str">
        <f>LeaveData[[#This Row],[ EMP ID]]&amp;LeaveData[[#This Row],[Date]]</f>
        <v>20241804245883</v>
      </c>
      <c r="B1914" s="79">
        <v>202418042</v>
      </c>
      <c r="C1914" s="79" t="s">
        <v>402</v>
      </c>
      <c r="D1914" s="80">
        <v>45883</v>
      </c>
      <c r="E1914" s="79" t="s">
        <v>13</v>
      </c>
      <c r="F1914" s="79" t="s">
        <v>235</v>
      </c>
      <c r="G1914" s="79"/>
      <c r="H1914" s="79" t="s">
        <v>1439</v>
      </c>
    </row>
    <row r="1915" spans="1:8">
      <c r="A1915" s="79" t="str">
        <f>LeaveData[[#This Row],[ EMP ID]]&amp;LeaveData[[#This Row],[Date]]</f>
        <v>20241803345875</v>
      </c>
      <c r="B1915" s="79">
        <v>202418033</v>
      </c>
      <c r="C1915" s="79" t="s">
        <v>65</v>
      </c>
      <c r="D1915" s="80">
        <v>45875</v>
      </c>
      <c r="E1915" s="79" t="s">
        <v>13</v>
      </c>
      <c r="F1915" s="79" t="s">
        <v>128</v>
      </c>
      <c r="G1915" s="79"/>
      <c r="H1915" s="79" t="s">
        <v>116</v>
      </c>
    </row>
    <row r="1916" spans="1:8">
      <c r="A1916" s="79" t="str">
        <f>LeaveData[[#This Row],[ EMP ID]]&amp;LeaveData[[#This Row],[Date]]</f>
        <v>20241803345876</v>
      </c>
      <c r="B1916" s="79">
        <v>202418033</v>
      </c>
      <c r="C1916" s="79" t="s">
        <v>65</v>
      </c>
      <c r="D1916" s="80">
        <v>45876</v>
      </c>
      <c r="E1916" s="79" t="s">
        <v>13</v>
      </c>
      <c r="F1916" s="79" t="s">
        <v>128</v>
      </c>
      <c r="G1916" s="79"/>
      <c r="H1916" s="79" t="s">
        <v>116</v>
      </c>
    </row>
    <row r="1917" spans="1:8">
      <c r="A1917" s="79" t="str">
        <f>LeaveData[[#This Row],[ EMP ID]]&amp;LeaveData[[#This Row],[Date]]</f>
        <v>20241803345880</v>
      </c>
      <c r="B1917" s="79">
        <v>202418033</v>
      </c>
      <c r="C1917" s="79" t="s">
        <v>65</v>
      </c>
      <c r="D1917" s="80">
        <v>45880</v>
      </c>
      <c r="E1917" s="79" t="s">
        <v>13</v>
      </c>
      <c r="F1917" s="79" t="s">
        <v>128</v>
      </c>
      <c r="G1917" s="79"/>
      <c r="H1917" s="79" t="s">
        <v>116</v>
      </c>
    </row>
    <row r="1918" spans="1:8">
      <c r="A1918" s="79" t="str">
        <f>LeaveData[[#This Row],[ EMP ID]]&amp;LeaveData[[#This Row],[Date]]</f>
        <v>20241803345881</v>
      </c>
      <c r="B1918" s="79">
        <v>202418033</v>
      </c>
      <c r="C1918" s="79" t="s">
        <v>65</v>
      </c>
      <c r="D1918" s="80">
        <v>45881</v>
      </c>
      <c r="E1918" s="79" t="s">
        <v>13</v>
      </c>
      <c r="F1918" s="79" t="s">
        <v>128</v>
      </c>
      <c r="G1918" s="79"/>
      <c r="H1918" s="79" t="s">
        <v>116</v>
      </c>
    </row>
    <row r="1919" spans="1:8">
      <c r="A1919" s="79" t="str">
        <f>LeaveData[[#This Row],[ EMP ID]]&amp;LeaveData[[#This Row],[Date]]</f>
        <v>20242001545874</v>
      </c>
      <c r="B1919" s="79">
        <v>202420015</v>
      </c>
      <c r="C1919" s="79" t="s">
        <v>64</v>
      </c>
      <c r="D1919" s="80">
        <v>45874</v>
      </c>
      <c r="E1919" s="79" t="s">
        <v>12</v>
      </c>
      <c r="F1919" s="79" t="s">
        <v>114</v>
      </c>
      <c r="G1919" s="79"/>
      <c r="H1919" s="79" t="s">
        <v>140</v>
      </c>
    </row>
    <row r="1920" spans="1:8">
      <c r="A1920" s="79" t="str">
        <f>LeaveData[[#This Row],[ EMP ID]]&amp;LeaveData[[#This Row],[Date]]</f>
        <v>20211800745874</v>
      </c>
      <c r="B1920" s="79">
        <v>202118007</v>
      </c>
      <c r="C1920" s="79" t="s">
        <v>103</v>
      </c>
      <c r="D1920" s="80">
        <v>45874</v>
      </c>
      <c r="E1920" s="79" t="s">
        <v>14</v>
      </c>
      <c r="F1920" s="79" t="s">
        <v>114</v>
      </c>
      <c r="G1920" s="79"/>
      <c r="H1920" s="79" t="s">
        <v>116</v>
      </c>
    </row>
    <row r="1921" spans="1:8">
      <c r="A1921" s="79" t="str">
        <f>LeaveData[[#This Row],[ EMP ID]]&amp;LeaveData[[#This Row],[Date]]</f>
        <v>20182000145890</v>
      </c>
      <c r="B1921" s="92">
        <v>201820001</v>
      </c>
      <c r="C1921" s="122" t="s">
        <v>18</v>
      </c>
      <c r="D1921" s="107">
        <v>45890</v>
      </c>
      <c r="E1921" s="79" t="s">
        <v>13</v>
      </c>
      <c r="F1921" s="79" t="s">
        <v>118</v>
      </c>
      <c r="G1921" s="79"/>
      <c r="H1921" s="79" t="s">
        <v>1438</v>
      </c>
    </row>
    <row r="1922" spans="1:8">
      <c r="A1922" s="79" t="str">
        <f>LeaveData[[#This Row],[ EMP ID]]&amp;LeaveData[[#This Row],[Date]]</f>
        <v>20182000145891</v>
      </c>
      <c r="B1922" s="92">
        <v>201820001</v>
      </c>
      <c r="C1922" s="122" t="s">
        <v>18</v>
      </c>
      <c r="D1922" s="125">
        <v>45891</v>
      </c>
      <c r="E1922" s="79" t="s">
        <v>13</v>
      </c>
      <c r="F1922" s="79" t="s">
        <v>118</v>
      </c>
      <c r="G1922" s="79"/>
      <c r="H1922" s="79" t="s">
        <v>1438</v>
      </c>
    </row>
    <row r="1923" spans="1:8">
      <c r="A1923" s="79" t="str">
        <f>LeaveData[[#This Row],[ EMP ID]]&amp;LeaveData[[#This Row],[Date]]</f>
        <v>20182000145892</v>
      </c>
      <c r="B1923" s="92">
        <v>201820001</v>
      </c>
      <c r="C1923" s="122" t="s">
        <v>18</v>
      </c>
      <c r="D1923" s="125">
        <v>45892</v>
      </c>
      <c r="E1923" s="79" t="s">
        <v>13</v>
      </c>
      <c r="F1923" s="79" t="s">
        <v>118</v>
      </c>
      <c r="G1923" s="79"/>
      <c r="H1923" s="79" t="s">
        <v>1438</v>
      </c>
    </row>
    <row r="1924" spans="1:8">
      <c r="A1924" s="79" t="str">
        <f>LeaveData[[#This Row],[ EMP ID]]&amp;LeaveData[[#This Row],[Date]]</f>
        <v>20182000145894</v>
      </c>
      <c r="B1924" s="92">
        <v>201820001</v>
      </c>
      <c r="C1924" s="122" t="s">
        <v>18</v>
      </c>
      <c r="D1924" s="125">
        <v>45894</v>
      </c>
      <c r="E1924" s="79" t="s">
        <v>13</v>
      </c>
      <c r="F1924" s="79" t="s">
        <v>118</v>
      </c>
      <c r="G1924" s="79"/>
      <c r="H1924" s="79" t="s">
        <v>1438</v>
      </c>
    </row>
    <row r="1925" spans="1:8">
      <c r="A1925" s="79" t="str">
        <f>LeaveData[[#This Row],[ EMP ID]]&amp;LeaveData[[#This Row],[Date]]</f>
        <v>20231802645894</v>
      </c>
      <c r="B1925" s="79">
        <v>202318026</v>
      </c>
      <c r="C1925" s="79" t="s">
        <v>53</v>
      </c>
      <c r="D1925" s="125">
        <v>45894</v>
      </c>
      <c r="E1925" s="79" t="s">
        <v>13</v>
      </c>
      <c r="F1925" s="79" t="s">
        <v>104</v>
      </c>
      <c r="G1925" s="79"/>
      <c r="H1925" s="79" t="s">
        <v>169</v>
      </c>
    </row>
    <row r="1926" spans="1:8">
      <c r="A1926" s="79" t="str">
        <f>LeaveData[[#This Row],[ EMP ID]]&amp;LeaveData[[#This Row],[Date]]</f>
        <v>20231802645895</v>
      </c>
      <c r="B1926" s="79">
        <v>202318026</v>
      </c>
      <c r="C1926" s="79" t="s">
        <v>53</v>
      </c>
      <c r="D1926" s="125">
        <v>45895</v>
      </c>
      <c r="E1926" s="79" t="s">
        <v>13</v>
      </c>
      <c r="F1926" s="79" t="s">
        <v>104</v>
      </c>
      <c r="G1926" s="79"/>
      <c r="H1926" s="79" t="s">
        <v>169</v>
      </c>
    </row>
    <row r="1927" spans="1:8">
      <c r="A1927" s="79" t="str">
        <f>LeaveData[[#This Row],[ EMP ID]]&amp;LeaveData[[#This Row],[Date]]</f>
        <v>20231802645896</v>
      </c>
      <c r="B1927" s="79">
        <v>202318026</v>
      </c>
      <c r="C1927" s="79" t="s">
        <v>53</v>
      </c>
      <c r="D1927" s="125">
        <v>45896</v>
      </c>
      <c r="E1927" s="79" t="s">
        <v>13</v>
      </c>
      <c r="F1927" s="79" t="s">
        <v>104</v>
      </c>
      <c r="G1927" s="79"/>
      <c r="H1927" s="79" t="s">
        <v>169</v>
      </c>
    </row>
    <row r="1928" spans="1:8">
      <c r="A1928" s="79" t="str">
        <f>LeaveData[[#This Row],[ EMP ID]]&amp;LeaveData[[#This Row],[Date]]</f>
        <v>20231802645898</v>
      </c>
      <c r="B1928" s="79">
        <v>202318026</v>
      </c>
      <c r="C1928" s="79" t="s">
        <v>53</v>
      </c>
      <c r="D1928" s="125">
        <v>45898</v>
      </c>
      <c r="E1928" s="79" t="s">
        <v>13</v>
      </c>
      <c r="F1928" s="79" t="s">
        <v>104</v>
      </c>
      <c r="G1928" s="79"/>
      <c r="H1928" s="79" t="s">
        <v>169</v>
      </c>
    </row>
    <row r="1929" spans="1:8">
      <c r="A1929" s="79" t="str">
        <f>LeaveData[[#This Row],[ EMP ID]]&amp;LeaveData[[#This Row],[Date]]</f>
        <v>20231802645899</v>
      </c>
      <c r="B1929" s="79">
        <v>202318026</v>
      </c>
      <c r="C1929" s="79" t="s">
        <v>53</v>
      </c>
      <c r="D1929" s="125">
        <v>45899</v>
      </c>
      <c r="E1929" s="79" t="s">
        <v>13</v>
      </c>
      <c r="F1929" s="79" t="s">
        <v>104</v>
      </c>
      <c r="G1929" s="79"/>
      <c r="H1929" s="79" t="s">
        <v>169</v>
      </c>
    </row>
    <row r="1930" spans="1:8">
      <c r="A1930" s="79" t="str">
        <f>LeaveData[[#This Row],[ EMP ID]]&amp;LeaveData[[#This Row],[Date]]</f>
        <v>20250101345875</v>
      </c>
      <c r="B1930" s="79">
        <v>202501013</v>
      </c>
      <c r="C1930" s="79" t="s">
        <v>1395</v>
      </c>
      <c r="D1930" s="80">
        <v>45875</v>
      </c>
      <c r="E1930" s="79" t="s">
        <v>12</v>
      </c>
      <c r="F1930" s="79" t="s">
        <v>45</v>
      </c>
      <c r="G1930" s="79"/>
      <c r="H1930" s="79" t="s">
        <v>140</v>
      </c>
    </row>
    <row r="1931" spans="1:8">
      <c r="A1931" s="79" t="str">
        <f>LeaveData[[#This Row],[ EMP ID]]&amp;LeaveData[[#This Row],[Date]]</f>
        <v>20251804345875</v>
      </c>
      <c r="B1931" s="79">
        <v>202518043</v>
      </c>
      <c r="C1931" s="79" t="s">
        <v>403</v>
      </c>
      <c r="D1931" s="80">
        <v>45875</v>
      </c>
      <c r="E1931" s="79" t="s">
        <v>16</v>
      </c>
      <c r="F1931" s="79" t="s">
        <v>43</v>
      </c>
      <c r="G1931" s="79"/>
      <c r="H1931" s="79" t="s">
        <v>140</v>
      </c>
    </row>
    <row r="1932" spans="1:8">
      <c r="A1932" s="79" t="str">
        <f>LeaveData[[#This Row],[ EMP ID]]&amp;LeaveData[[#This Row],[Date]]</f>
        <v>20250101445877</v>
      </c>
      <c r="B1932" s="79">
        <v>202501014</v>
      </c>
      <c r="C1932" s="79" t="s">
        <v>1396</v>
      </c>
      <c r="D1932" s="80">
        <v>45877</v>
      </c>
      <c r="E1932" s="79" t="s">
        <v>13</v>
      </c>
      <c r="F1932" s="79" t="s">
        <v>43</v>
      </c>
      <c r="G1932" s="79"/>
      <c r="H1932" s="79" t="s">
        <v>169</v>
      </c>
    </row>
    <row r="1933" spans="1:8">
      <c r="A1933" s="79" t="str">
        <f>LeaveData[[#This Row],[ EMP ID]]&amp;LeaveData[[#This Row],[Date]]</f>
        <v>20241804245877</v>
      </c>
      <c r="B1933" s="79">
        <v>202418042</v>
      </c>
      <c r="C1933" s="79" t="s">
        <v>402</v>
      </c>
      <c r="D1933" s="80">
        <v>45877</v>
      </c>
      <c r="E1933" s="79" t="s">
        <v>14</v>
      </c>
      <c r="F1933" s="79" t="s">
        <v>235</v>
      </c>
      <c r="G1933" s="79"/>
      <c r="H1933" s="79"/>
    </row>
    <row r="1934" spans="1:8">
      <c r="A1934" s="79" t="str">
        <f>LeaveData[[#This Row],[ EMP ID]]&amp;LeaveData[[#This Row],[Date]]</f>
        <v>20242101345877</v>
      </c>
      <c r="B1934" s="79">
        <v>202421013</v>
      </c>
      <c r="C1934" s="79" t="s">
        <v>378</v>
      </c>
      <c r="D1934" s="80">
        <v>45877</v>
      </c>
      <c r="E1934" s="79" t="s">
        <v>12</v>
      </c>
      <c r="F1934" s="79" t="s">
        <v>29</v>
      </c>
      <c r="G1934" s="79"/>
      <c r="H1934" s="79" t="s">
        <v>140</v>
      </c>
    </row>
    <row r="1935" spans="1:8">
      <c r="A1935" s="79" t="str">
        <f>LeaveData[[#This Row],[ EMP ID]]&amp;LeaveData[[#This Row],[Date]]</f>
        <v>20221801145877</v>
      </c>
      <c r="B1935" s="79">
        <v>202218011</v>
      </c>
      <c r="C1935" s="79" t="s">
        <v>28</v>
      </c>
      <c r="D1935" s="80">
        <v>45877</v>
      </c>
      <c r="E1935" s="79" t="s">
        <v>15</v>
      </c>
      <c r="F1935" s="79" t="s">
        <v>235</v>
      </c>
      <c r="G1935" s="79"/>
      <c r="H1935" s="79" t="s">
        <v>140</v>
      </c>
    </row>
    <row r="1936" spans="1:8">
      <c r="A1936" s="79" t="str">
        <f>LeaveData[[#This Row],[ EMP ID]]&amp;LeaveData[[#This Row],[Date]]</f>
        <v>20241803845877</v>
      </c>
      <c r="B1936" s="79">
        <v>202418038</v>
      </c>
      <c r="C1936" s="79" t="s">
        <v>246</v>
      </c>
      <c r="D1936" s="80">
        <v>45877</v>
      </c>
      <c r="E1936" s="79" t="s">
        <v>13</v>
      </c>
      <c r="F1936" s="79" t="s">
        <v>125</v>
      </c>
      <c r="G1936" s="79"/>
      <c r="H1936" s="79" t="s">
        <v>1440</v>
      </c>
    </row>
    <row r="1937" spans="1:8">
      <c r="A1937" s="79" t="str">
        <f>LeaveData[[#This Row],[ EMP ID]]&amp;LeaveData[[#This Row],[Date]]</f>
        <v>20242100145877</v>
      </c>
      <c r="B1937" s="79">
        <v>202421001</v>
      </c>
      <c r="C1937" s="79" t="s">
        <v>221</v>
      </c>
      <c r="D1937" s="80">
        <v>45877</v>
      </c>
      <c r="E1937" s="79" t="s">
        <v>12</v>
      </c>
      <c r="F1937" s="79" t="s">
        <v>29</v>
      </c>
      <c r="G1937" s="79"/>
      <c r="H1937" s="79" t="s">
        <v>140</v>
      </c>
    </row>
    <row r="1938" spans="1:8">
      <c r="A1938" s="79" t="str">
        <f>LeaveData[[#This Row],[ EMP ID]]&amp;LeaveData[[#This Row],[Date]]</f>
        <v>20242100145529</v>
      </c>
      <c r="B1938" s="79">
        <v>202421001</v>
      </c>
      <c r="C1938" s="79" t="s">
        <v>221</v>
      </c>
      <c r="D1938" s="80">
        <v>45529</v>
      </c>
      <c r="E1938" s="79" t="s">
        <v>13</v>
      </c>
      <c r="F1938" s="79" t="s">
        <v>29</v>
      </c>
      <c r="G1938" s="79"/>
      <c r="H1938" s="79" t="s">
        <v>113</v>
      </c>
    </row>
    <row r="1939" spans="1:8">
      <c r="A1939" s="79" t="str">
        <f>LeaveData[[#This Row],[ EMP ID]]&amp;LeaveData[[#This Row],[Date]]</f>
        <v>20242100145530</v>
      </c>
      <c r="B1939" s="79">
        <v>202421001</v>
      </c>
      <c r="C1939" s="79" t="s">
        <v>221</v>
      </c>
      <c r="D1939" s="80">
        <v>45530</v>
      </c>
      <c r="E1939" s="79" t="s">
        <v>13</v>
      </c>
      <c r="F1939" s="79" t="s">
        <v>29</v>
      </c>
      <c r="G1939" s="79"/>
      <c r="H1939" s="79" t="s">
        <v>113</v>
      </c>
    </row>
    <row r="1940" spans="1:8">
      <c r="A1940" s="79" t="str">
        <f>LeaveData[[#This Row],[ EMP ID]]&amp;LeaveData[[#This Row],[Date]]</f>
        <v>20242100145531</v>
      </c>
      <c r="B1940" s="79">
        <v>202421001</v>
      </c>
      <c r="C1940" s="79" t="s">
        <v>221</v>
      </c>
      <c r="D1940" s="80">
        <v>45531</v>
      </c>
      <c r="E1940" s="79" t="s">
        <v>13</v>
      </c>
      <c r="F1940" s="79" t="s">
        <v>29</v>
      </c>
      <c r="G1940" s="79"/>
      <c r="H1940" s="79" t="s">
        <v>113</v>
      </c>
    </row>
    <row r="1941" spans="1:8">
      <c r="A1941" s="79" t="str">
        <f>LeaveData[[#This Row],[ EMP ID]]&amp;LeaveData[[#This Row],[Date]]</f>
        <v>20242100145532</v>
      </c>
      <c r="B1941" s="79">
        <v>202421001</v>
      </c>
      <c r="C1941" s="79" t="s">
        <v>221</v>
      </c>
      <c r="D1941" s="80">
        <v>45532</v>
      </c>
      <c r="E1941" s="79" t="s">
        <v>13</v>
      </c>
      <c r="F1941" s="79" t="s">
        <v>29</v>
      </c>
      <c r="G1941" s="79"/>
      <c r="H1941" s="79" t="s">
        <v>113</v>
      </c>
    </row>
    <row r="1942" spans="1:8">
      <c r="A1942" s="79" t="str">
        <f>LeaveData[[#This Row],[ EMP ID]]&amp;LeaveData[[#This Row],[Date]]</f>
        <v>20242100145533</v>
      </c>
      <c r="B1942" s="79">
        <v>202421001</v>
      </c>
      <c r="C1942" s="79" t="s">
        <v>221</v>
      </c>
      <c r="D1942" s="80">
        <v>45533</v>
      </c>
      <c r="E1942" s="79" t="s">
        <v>13</v>
      </c>
      <c r="F1942" s="79" t="s">
        <v>29</v>
      </c>
      <c r="G1942" s="79"/>
      <c r="H1942" s="79" t="s">
        <v>113</v>
      </c>
    </row>
    <row r="1943" spans="1:8">
      <c r="A1943" s="79" t="str">
        <f>LeaveData[[#This Row],[ EMP ID]]&amp;LeaveData[[#This Row],[Date]]</f>
        <v>20242100245529</v>
      </c>
      <c r="B1943" s="124">
        <v>202421002</v>
      </c>
      <c r="C1943" s="122" t="s">
        <v>223</v>
      </c>
      <c r="D1943" s="80">
        <v>45529</v>
      </c>
      <c r="E1943" s="79" t="s">
        <v>13</v>
      </c>
      <c r="F1943" s="79" t="s">
        <v>29</v>
      </c>
      <c r="G1943" s="79"/>
      <c r="H1943" s="79" t="s">
        <v>113</v>
      </c>
    </row>
    <row r="1944" spans="1:8">
      <c r="A1944" s="79" t="str">
        <f>LeaveData[[#This Row],[ EMP ID]]&amp;LeaveData[[#This Row],[Date]]</f>
        <v>20242100245530</v>
      </c>
      <c r="B1944" s="124">
        <v>202421002</v>
      </c>
      <c r="C1944" s="122" t="s">
        <v>223</v>
      </c>
      <c r="D1944" s="80">
        <v>45530</v>
      </c>
      <c r="E1944" s="79" t="s">
        <v>13</v>
      </c>
      <c r="F1944" s="79" t="s">
        <v>29</v>
      </c>
      <c r="G1944" s="79"/>
      <c r="H1944" s="79" t="s">
        <v>113</v>
      </c>
    </row>
    <row r="1945" spans="1:8">
      <c r="A1945" s="79" t="str">
        <f>LeaveData[[#This Row],[ EMP ID]]&amp;LeaveData[[#This Row],[Date]]</f>
        <v>20242100245531</v>
      </c>
      <c r="B1945" s="124">
        <v>202421002</v>
      </c>
      <c r="C1945" s="122" t="s">
        <v>223</v>
      </c>
      <c r="D1945" s="80">
        <v>45531</v>
      </c>
      <c r="E1945" s="79" t="s">
        <v>13</v>
      </c>
      <c r="F1945" s="79" t="s">
        <v>29</v>
      </c>
      <c r="G1945" s="79"/>
      <c r="H1945" s="79" t="s">
        <v>113</v>
      </c>
    </row>
    <row r="1946" spans="1:8">
      <c r="A1946" s="79" t="str">
        <f>LeaveData[[#This Row],[ EMP ID]]&amp;LeaveData[[#This Row],[Date]]</f>
        <v>20242100245532</v>
      </c>
      <c r="B1946" s="124">
        <v>202421002</v>
      </c>
      <c r="C1946" s="122" t="s">
        <v>223</v>
      </c>
      <c r="D1946" s="80">
        <v>45532</v>
      </c>
      <c r="E1946" s="79" t="s">
        <v>13</v>
      </c>
      <c r="F1946" s="79" t="s">
        <v>29</v>
      </c>
      <c r="G1946" s="79"/>
      <c r="H1946" s="79" t="s">
        <v>113</v>
      </c>
    </row>
    <row r="1947" spans="1:8">
      <c r="A1947" s="79" t="str">
        <f>LeaveData[[#This Row],[ EMP ID]]&amp;LeaveData[[#This Row],[Date]]</f>
        <v>20242100245533</v>
      </c>
      <c r="B1947" s="124">
        <v>202421002</v>
      </c>
      <c r="C1947" s="122" t="s">
        <v>223</v>
      </c>
      <c r="D1947" s="80">
        <v>45533</v>
      </c>
      <c r="E1947" s="79" t="s">
        <v>13</v>
      </c>
      <c r="F1947" s="79" t="s">
        <v>29</v>
      </c>
      <c r="G1947" s="79"/>
      <c r="H1947" s="79" t="s">
        <v>113</v>
      </c>
    </row>
    <row r="1948" spans="1:8">
      <c r="A1948" s="79" t="str">
        <f>LeaveData[[#This Row],[ EMP ID]]&amp;LeaveData[[#This Row],[Date]]</f>
        <v>20211800745883</v>
      </c>
      <c r="B1948" s="79">
        <v>202118007</v>
      </c>
      <c r="C1948" s="79" t="s">
        <v>103</v>
      </c>
      <c r="D1948" s="80">
        <v>45883</v>
      </c>
      <c r="E1948" s="79" t="s">
        <v>13</v>
      </c>
      <c r="F1948" s="79" t="s">
        <v>104</v>
      </c>
      <c r="G1948" s="79"/>
      <c r="H1948" s="79" t="s">
        <v>286</v>
      </c>
    </row>
    <row r="1949" spans="1:8">
      <c r="A1949" s="79" t="str">
        <f>LeaveData[[#This Row],[ EMP ID]]&amp;LeaveData[[#This Row],[Date]]</f>
        <v>20211800745887</v>
      </c>
      <c r="B1949" s="79">
        <v>202118007</v>
      </c>
      <c r="C1949" s="79" t="s">
        <v>103</v>
      </c>
      <c r="D1949" s="80">
        <v>45887</v>
      </c>
      <c r="E1949" s="79" t="s">
        <v>13</v>
      </c>
      <c r="F1949" s="79" t="s">
        <v>104</v>
      </c>
      <c r="G1949" s="79"/>
      <c r="H1949" s="79" t="s">
        <v>286</v>
      </c>
    </row>
    <row r="1950" spans="1:8">
      <c r="A1950" s="79" t="str">
        <f>LeaveData[[#This Row],[ EMP ID]]&amp;LeaveData[[#This Row],[Date]]</f>
        <v>20231801945880</v>
      </c>
      <c r="B1950" s="79">
        <v>202318019</v>
      </c>
      <c r="C1950" s="79" t="s">
        <v>89</v>
      </c>
      <c r="D1950" s="80">
        <v>45880</v>
      </c>
      <c r="E1950" s="79" t="s">
        <v>12</v>
      </c>
      <c r="F1950" s="79" t="s">
        <v>45</v>
      </c>
      <c r="G1950" s="79"/>
      <c r="H1950" s="79" t="s">
        <v>140</v>
      </c>
    </row>
    <row r="1951" spans="1:8">
      <c r="A1951" s="79" t="str">
        <f>LeaveData[[#This Row],[ EMP ID]]&amp;LeaveData[[#This Row],[Date]]</f>
        <v>20231802745877</v>
      </c>
      <c r="B1951" s="79">
        <v>202318027</v>
      </c>
      <c r="C1951" s="79" t="s">
        <v>54</v>
      </c>
      <c r="D1951" s="80">
        <v>45877</v>
      </c>
      <c r="E1951" s="79" t="s">
        <v>16</v>
      </c>
      <c r="F1951" s="79" t="s">
        <v>1365</v>
      </c>
      <c r="G1951" s="79"/>
      <c r="H1951" s="79" t="s">
        <v>1441</v>
      </c>
    </row>
    <row r="1952" spans="1:8">
      <c r="A1952" s="79" t="str">
        <f>LeaveData[[#This Row],[ EMP ID]]&amp;LeaveData[[#This Row],[Date]]</f>
        <v>20231802745883</v>
      </c>
      <c r="B1952" s="79">
        <v>202318027</v>
      </c>
      <c r="C1952" s="79" t="s">
        <v>54</v>
      </c>
      <c r="D1952" s="80">
        <v>45883</v>
      </c>
      <c r="E1952" s="79" t="s">
        <v>16</v>
      </c>
      <c r="F1952" s="79" t="s">
        <v>1365</v>
      </c>
      <c r="G1952" s="79"/>
      <c r="H1952" s="79" t="s">
        <v>1441</v>
      </c>
    </row>
    <row r="1953" spans="1:8">
      <c r="A1953" s="79" t="str">
        <f>LeaveData[[#This Row],[ EMP ID]]&amp;LeaveData[[#This Row],[Date]]</f>
        <v>20242101345887</v>
      </c>
      <c r="B1953" s="79">
        <v>202421013</v>
      </c>
      <c r="C1953" s="79" t="s">
        <v>378</v>
      </c>
      <c r="D1953" s="80">
        <v>45887</v>
      </c>
      <c r="E1953" s="79" t="s">
        <v>16</v>
      </c>
      <c r="F1953" s="79" t="s">
        <v>29</v>
      </c>
      <c r="G1953" s="79"/>
      <c r="H1953" s="79" t="s">
        <v>1442</v>
      </c>
    </row>
    <row r="1954" spans="1:8">
      <c r="A1954" s="79" t="str">
        <f>LeaveData[[#This Row],[ EMP ID]]&amp;LeaveData[[#This Row],[Date]]</f>
        <v>20242101445888</v>
      </c>
      <c r="B1954" s="79">
        <v>202421014</v>
      </c>
      <c r="C1954" s="79" t="s">
        <v>378</v>
      </c>
      <c r="D1954" s="80">
        <v>45888</v>
      </c>
      <c r="E1954" s="79" t="s">
        <v>16</v>
      </c>
      <c r="F1954" s="79" t="s">
        <v>29</v>
      </c>
      <c r="G1954" s="79"/>
      <c r="H1954" s="79" t="s">
        <v>1442</v>
      </c>
    </row>
    <row r="1955" spans="1:8">
      <c r="A1955" s="79" t="str">
        <f>LeaveData[[#This Row],[ EMP ID]]&amp;LeaveData[[#This Row],[Date]]</f>
        <v>20242101545889</v>
      </c>
      <c r="B1955" s="79">
        <v>202421015</v>
      </c>
      <c r="C1955" s="79" t="s">
        <v>378</v>
      </c>
      <c r="D1955" s="80">
        <v>45889</v>
      </c>
      <c r="E1955" s="79" t="s">
        <v>16</v>
      </c>
      <c r="F1955" s="79" t="s">
        <v>29</v>
      </c>
      <c r="G1955" s="79"/>
      <c r="H1955" s="79" t="s">
        <v>1442</v>
      </c>
    </row>
    <row r="1956" spans="1:8">
      <c r="A1956" s="79" t="str">
        <f>LeaveData[[#This Row],[ EMP ID]]&amp;LeaveData[[#This Row],[Date]]</f>
        <v>20242101645890</v>
      </c>
      <c r="B1956" s="79">
        <v>202421016</v>
      </c>
      <c r="C1956" s="79" t="s">
        <v>378</v>
      </c>
      <c r="D1956" s="80">
        <v>45890</v>
      </c>
      <c r="E1956" s="79" t="s">
        <v>16</v>
      </c>
      <c r="F1956" s="79" t="s">
        <v>29</v>
      </c>
      <c r="G1956" s="79"/>
      <c r="H1956" s="79" t="s">
        <v>1442</v>
      </c>
    </row>
    <row r="1957" spans="1:8">
      <c r="A1957" s="79" t="str">
        <f>LeaveData[[#This Row],[ EMP ID]]&amp;LeaveData[[#This Row],[Date]]</f>
        <v>20242101745891</v>
      </c>
      <c r="B1957" s="79">
        <v>202421017</v>
      </c>
      <c r="C1957" s="79" t="s">
        <v>378</v>
      </c>
      <c r="D1957" s="80">
        <v>45891</v>
      </c>
      <c r="E1957" s="79" t="s">
        <v>16</v>
      </c>
      <c r="F1957" s="79" t="s">
        <v>29</v>
      </c>
      <c r="G1957" s="79"/>
      <c r="H1957" s="79" t="s">
        <v>1442</v>
      </c>
    </row>
    <row r="1958" spans="1:8">
      <c r="A1958" s="79" t="str">
        <f>LeaveData[[#This Row],[ EMP ID]]&amp;LeaveData[[#This Row],[Date]]</f>
        <v>20242101845892</v>
      </c>
      <c r="B1958" s="79">
        <v>202421018</v>
      </c>
      <c r="C1958" s="79" t="s">
        <v>378</v>
      </c>
      <c r="D1958" s="80">
        <v>45892</v>
      </c>
      <c r="E1958" s="79" t="s">
        <v>16</v>
      </c>
      <c r="F1958" s="79" t="s">
        <v>29</v>
      </c>
      <c r="G1958" s="79"/>
      <c r="H1958" s="79" t="s">
        <v>1442</v>
      </c>
    </row>
    <row r="1959" spans="1:8">
      <c r="A1959" s="79" t="str">
        <f>LeaveData[[#This Row],[ EMP ID]]&amp;LeaveData[[#This Row],[Date]]</f>
        <v>20242101945893</v>
      </c>
      <c r="B1959" s="79">
        <v>202421019</v>
      </c>
      <c r="C1959" s="79" t="s">
        <v>378</v>
      </c>
      <c r="D1959" s="80">
        <v>45893</v>
      </c>
      <c r="E1959" s="79" t="s">
        <v>16</v>
      </c>
      <c r="F1959" s="79" t="s">
        <v>29</v>
      </c>
      <c r="G1959" s="79"/>
      <c r="H1959" s="79" t="s">
        <v>1442</v>
      </c>
    </row>
    <row r="1960" spans="1:8">
      <c r="A1960" s="79" t="str">
        <f>LeaveData[[#This Row],[ EMP ID]]&amp;LeaveData[[#This Row],[Date]]</f>
        <v>20242102045894</v>
      </c>
      <c r="B1960" s="79">
        <v>202421020</v>
      </c>
      <c r="C1960" s="79" t="s">
        <v>378</v>
      </c>
      <c r="D1960" s="80">
        <v>45894</v>
      </c>
      <c r="E1960" s="79" t="s">
        <v>16</v>
      </c>
      <c r="F1960" s="79" t="s">
        <v>29</v>
      </c>
      <c r="G1960" s="79"/>
      <c r="H1960" s="79" t="s">
        <v>1442</v>
      </c>
    </row>
    <row r="1961" spans="1:8">
      <c r="A1961" s="79" t="str">
        <f>LeaveData[[#This Row],[ EMP ID]]&amp;LeaveData[[#This Row],[Date]]</f>
        <v>20242102145895</v>
      </c>
      <c r="B1961" s="79">
        <v>202421021</v>
      </c>
      <c r="C1961" s="79" t="s">
        <v>378</v>
      </c>
      <c r="D1961" s="80">
        <v>45895</v>
      </c>
      <c r="E1961" s="79" t="s">
        <v>16</v>
      </c>
      <c r="F1961" s="79" t="s">
        <v>29</v>
      </c>
      <c r="G1961" s="79"/>
      <c r="H1961" s="79" t="s">
        <v>1442</v>
      </c>
    </row>
    <row r="1962" spans="1:8">
      <c r="A1962" s="79" t="str">
        <f>LeaveData[[#This Row],[ EMP ID]]&amp;LeaveData[[#This Row],[Date]]</f>
        <v>20242102245896</v>
      </c>
      <c r="B1962" s="79">
        <v>202421022</v>
      </c>
      <c r="C1962" s="79" t="s">
        <v>378</v>
      </c>
      <c r="D1962" s="80">
        <v>45896</v>
      </c>
      <c r="E1962" s="79" t="s">
        <v>16</v>
      </c>
      <c r="F1962" s="79" t="s">
        <v>29</v>
      </c>
      <c r="G1962" s="79"/>
      <c r="H1962" s="79" t="s">
        <v>1442</v>
      </c>
    </row>
    <row r="1963" spans="1:8">
      <c r="A1963" s="79" t="str">
        <f>LeaveData[[#This Row],[ EMP ID]]&amp;LeaveData[[#This Row],[Date]]</f>
        <v>20242102345897</v>
      </c>
      <c r="B1963" s="79">
        <v>202421023</v>
      </c>
      <c r="C1963" s="79" t="s">
        <v>378</v>
      </c>
      <c r="D1963" s="80">
        <v>45897</v>
      </c>
      <c r="E1963" s="79" t="s">
        <v>16</v>
      </c>
      <c r="F1963" s="79" t="s">
        <v>29</v>
      </c>
      <c r="G1963" s="79"/>
      <c r="H1963" s="79" t="s">
        <v>1442</v>
      </c>
    </row>
    <row r="1964" spans="1:8">
      <c r="A1964" s="79" t="str">
        <f>LeaveData[[#This Row],[ EMP ID]]&amp;LeaveData[[#This Row],[Date]]</f>
        <v>20242102445898</v>
      </c>
      <c r="B1964" s="79">
        <v>202421024</v>
      </c>
      <c r="C1964" s="79" t="s">
        <v>378</v>
      </c>
      <c r="D1964" s="80">
        <v>45898</v>
      </c>
      <c r="E1964" s="79" t="s">
        <v>16</v>
      </c>
      <c r="F1964" s="79" t="s">
        <v>29</v>
      </c>
      <c r="G1964" s="79"/>
      <c r="H1964" s="79" t="s">
        <v>1442</v>
      </c>
    </row>
    <row r="1965" spans="1:8">
      <c r="A1965" s="79" t="str">
        <f>LeaveData[[#This Row],[ EMP ID]]&amp;LeaveData[[#This Row],[Date]]</f>
        <v>20242102545899</v>
      </c>
      <c r="B1965" s="79">
        <v>202421025</v>
      </c>
      <c r="C1965" s="79" t="s">
        <v>378</v>
      </c>
      <c r="D1965" s="80">
        <v>45899</v>
      </c>
      <c r="E1965" s="79" t="s">
        <v>16</v>
      </c>
      <c r="F1965" s="79" t="s">
        <v>29</v>
      </c>
      <c r="G1965" s="79"/>
      <c r="H1965" s="79" t="s">
        <v>1442</v>
      </c>
    </row>
    <row r="1966" spans="1:8">
      <c r="A1966" s="79" t="str">
        <f>LeaveData[[#This Row],[ EMP ID]]&amp;LeaveData[[#This Row],[Date]]</f>
        <v>20242102645900</v>
      </c>
      <c r="B1966" s="79">
        <v>202421026</v>
      </c>
      <c r="C1966" s="79" t="s">
        <v>378</v>
      </c>
      <c r="D1966" s="80">
        <v>45900</v>
      </c>
      <c r="E1966" s="79" t="s">
        <v>16</v>
      </c>
      <c r="F1966" s="79" t="s">
        <v>29</v>
      </c>
      <c r="G1966" s="79"/>
      <c r="H1966" s="79" t="s">
        <v>1442</v>
      </c>
    </row>
    <row r="1967" spans="1:8">
      <c r="A1967" s="79" t="str">
        <f>LeaveData[[#This Row],[ EMP ID]]&amp;LeaveData[[#This Row],[Date]]</f>
        <v>20242102745901</v>
      </c>
      <c r="B1967" s="79">
        <v>202421027</v>
      </c>
      <c r="C1967" s="79" t="s">
        <v>378</v>
      </c>
      <c r="D1967" s="80">
        <v>45901</v>
      </c>
      <c r="E1967" s="79" t="s">
        <v>16</v>
      </c>
      <c r="F1967" s="79" t="s">
        <v>29</v>
      </c>
      <c r="G1967" s="79"/>
      <c r="H1967" s="79" t="s">
        <v>1442</v>
      </c>
    </row>
    <row r="1968" spans="1:8">
      <c r="A1968" s="79" t="str">
        <f>LeaveData[[#This Row],[ EMP ID]]&amp;LeaveData[[#This Row],[Date]]</f>
        <v>20242102845902</v>
      </c>
      <c r="B1968" s="79">
        <v>202421028</v>
      </c>
      <c r="C1968" s="79" t="s">
        <v>378</v>
      </c>
      <c r="D1968" s="80">
        <v>45902</v>
      </c>
      <c r="E1968" s="79" t="s">
        <v>16</v>
      </c>
      <c r="F1968" s="79" t="s">
        <v>29</v>
      </c>
      <c r="G1968" s="79"/>
      <c r="H1968" s="79" t="s">
        <v>1442</v>
      </c>
    </row>
    <row r="1969" spans="1:8">
      <c r="A1969" s="79" t="str">
        <f>LeaveData[[#This Row],[ EMP ID]]&amp;LeaveData[[#This Row],[Date]]</f>
        <v>20242102945903</v>
      </c>
      <c r="B1969" s="79">
        <v>202421029</v>
      </c>
      <c r="C1969" s="79" t="s">
        <v>378</v>
      </c>
      <c r="D1969" s="80">
        <v>45903</v>
      </c>
      <c r="E1969" s="79" t="s">
        <v>16</v>
      </c>
      <c r="F1969" s="79" t="s">
        <v>29</v>
      </c>
      <c r="G1969" s="79"/>
      <c r="H1969" s="79" t="s">
        <v>1442</v>
      </c>
    </row>
    <row r="1970" spans="1:8">
      <c r="A1970" s="79" t="str">
        <f>LeaveData[[#This Row],[ EMP ID]]&amp;LeaveData[[#This Row],[Date]]</f>
        <v>20242103045904</v>
      </c>
      <c r="B1970" s="79">
        <v>202421030</v>
      </c>
      <c r="C1970" s="79" t="s">
        <v>378</v>
      </c>
      <c r="D1970" s="80">
        <v>45904</v>
      </c>
      <c r="E1970" s="79" t="s">
        <v>16</v>
      </c>
      <c r="F1970" s="79" t="s">
        <v>29</v>
      </c>
      <c r="G1970" s="79"/>
      <c r="H1970" s="79" t="s">
        <v>1442</v>
      </c>
    </row>
    <row r="1971" spans="1:8">
      <c r="A1971" s="79" t="str">
        <f>LeaveData[[#This Row],[ EMP ID]]&amp;LeaveData[[#This Row],[Date]]</f>
        <v>20242103145905</v>
      </c>
      <c r="B1971" s="79">
        <v>202421031</v>
      </c>
      <c r="C1971" s="79" t="s">
        <v>378</v>
      </c>
      <c r="D1971" s="80">
        <v>45905</v>
      </c>
      <c r="E1971" s="79" t="s">
        <v>16</v>
      </c>
      <c r="F1971" s="79" t="s">
        <v>29</v>
      </c>
      <c r="G1971" s="79"/>
      <c r="H1971" s="79" t="s">
        <v>1442</v>
      </c>
    </row>
    <row r="1972" spans="1:8">
      <c r="A1972" s="79" t="str">
        <f>LeaveData[[#This Row],[ EMP ID]]&amp;LeaveData[[#This Row],[Date]]</f>
        <v>20242103245906</v>
      </c>
      <c r="B1972" s="79">
        <v>202421032</v>
      </c>
      <c r="C1972" s="79" t="s">
        <v>378</v>
      </c>
      <c r="D1972" s="80">
        <v>45906</v>
      </c>
      <c r="E1972" s="79" t="s">
        <v>16</v>
      </c>
      <c r="F1972" s="79" t="s">
        <v>29</v>
      </c>
      <c r="G1972" s="79"/>
      <c r="H1972" s="79" t="s">
        <v>1442</v>
      </c>
    </row>
    <row r="1973" spans="1:8">
      <c r="A1973" s="79" t="str">
        <f>LeaveData[[#This Row],[ EMP ID]]&amp;LeaveData[[#This Row],[Date]]</f>
        <v>20242103345907</v>
      </c>
      <c r="B1973" s="79">
        <v>202421033</v>
      </c>
      <c r="C1973" s="79" t="s">
        <v>378</v>
      </c>
      <c r="D1973" s="80">
        <v>45907</v>
      </c>
      <c r="E1973" s="79" t="s">
        <v>16</v>
      </c>
      <c r="F1973" s="79" t="s">
        <v>29</v>
      </c>
      <c r="G1973" s="79"/>
      <c r="H1973" s="79" t="s">
        <v>1442</v>
      </c>
    </row>
    <row r="1974" spans="1:8">
      <c r="A1974" s="79" t="str">
        <f>LeaveData[[#This Row],[ EMP ID]]&amp;LeaveData[[#This Row],[Date]]</f>
        <v>20242103445908</v>
      </c>
      <c r="B1974" s="79">
        <v>202421034</v>
      </c>
      <c r="C1974" s="79" t="s">
        <v>378</v>
      </c>
      <c r="D1974" s="80">
        <v>45908</v>
      </c>
      <c r="E1974" s="79" t="s">
        <v>16</v>
      </c>
      <c r="F1974" s="79" t="s">
        <v>29</v>
      </c>
      <c r="G1974" s="79"/>
      <c r="H1974" s="79" t="s">
        <v>1442</v>
      </c>
    </row>
    <row r="1975" spans="1:8">
      <c r="A1975" s="79" t="str">
        <f>LeaveData[[#This Row],[ EMP ID]]&amp;LeaveData[[#This Row],[Date]]</f>
        <v>20251804345878</v>
      </c>
      <c r="B1975" s="79">
        <v>202518043</v>
      </c>
      <c r="C1975" s="79" t="s">
        <v>403</v>
      </c>
      <c r="D1975" s="80">
        <v>45878</v>
      </c>
      <c r="E1975" s="79" t="s">
        <v>154</v>
      </c>
      <c r="F1975" s="79" t="s">
        <v>43</v>
      </c>
      <c r="G1975" s="79"/>
      <c r="H1975" s="79" t="s">
        <v>423</v>
      </c>
    </row>
    <row r="1976" spans="1:8">
      <c r="A1976" s="79" t="str">
        <f>LeaveData[[#This Row],[ EMP ID]]&amp;LeaveData[[#This Row],[Date]]</f>
        <v>20251804345879</v>
      </c>
      <c r="B1976" s="79">
        <v>202518043</v>
      </c>
      <c r="C1976" s="79" t="s">
        <v>403</v>
      </c>
      <c r="D1976" s="80">
        <v>45879</v>
      </c>
      <c r="E1976" s="79" t="s">
        <v>154</v>
      </c>
      <c r="F1976" s="79" t="s">
        <v>43</v>
      </c>
      <c r="G1976" s="79"/>
      <c r="H1976" s="79" t="s">
        <v>422</v>
      </c>
    </row>
    <row r="1977" spans="1:8">
      <c r="A1977" s="79" t="str">
        <f>LeaveData[[#This Row],[ EMP ID]]&amp;LeaveData[[#This Row],[Date]]</f>
        <v>20241804245887</v>
      </c>
      <c r="B1977" s="79">
        <v>202418042</v>
      </c>
      <c r="C1977" s="79" t="s">
        <v>402</v>
      </c>
      <c r="D1977" s="80">
        <v>45887</v>
      </c>
      <c r="E1977" s="79" t="s">
        <v>16</v>
      </c>
      <c r="F1977" s="79" t="s">
        <v>235</v>
      </c>
      <c r="G1977" s="79"/>
      <c r="H1977" s="79" t="s">
        <v>1443</v>
      </c>
    </row>
    <row r="1978" spans="1:8">
      <c r="A1978" s="79" t="str">
        <f>LeaveData[[#This Row],[ EMP ID]]&amp;LeaveData[[#This Row],[Date]]</f>
        <v>20231801845887</v>
      </c>
      <c r="B1978" s="79">
        <v>202318018</v>
      </c>
      <c r="C1978" s="79" t="s">
        <v>40</v>
      </c>
      <c r="D1978" s="80">
        <v>45887</v>
      </c>
      <c r="E1978" s="79" t="s">
        <v>13</v>
      </c>
      <c r="F1978" s="79" t="s">
        <v>125</v>
      </c>
      <c r="G1978" s="79"/>
      <c r="H1978" s="79" t="s">
        <v>1444</v>
      </c>
    </row>
    <row r="1979" spans="1:8">
      <c r="A1979" s="79" t="str">
        <f>LeaveData[[#This Row],[ EMP ID]]&amp;LeaveData[[#This Row],[Date]]</f>
        <v>20231802045888</v>
      </c>
      <c r="B1979" s="79">
        <v>202318020</v>
      </c>
      <c r="C1979" s="92" t="s">
        <v>43</v>
      </c>
      <c r="D1979" s="80">
        <v>45888</v>
      </c>
      <c r="E1979" s="79" t="s">
        <v>16</v>
      </c>
      <c r="F1979" s="79" t="s">
        <v>45</v>
      </c>
      <c r="G1979" s="79"/>
      <c r="H1979" s="79" t="s">
        <v>132</v>
      </c>
    </row>
    <row r="1980" spans="1:8">
      <c r="A1980" s="79" t="str">
        <f>LeaveData[[#This Row],[ EMP ID]]&amp;LeaveData[[#This Row],[Date]]</f>
        <v>20242100145888</v>
      </c>
      <c r="B1980" s="79">
        <v>202421001</v>
      </c>
      <c r="C1980" s="79" t="s">
        <v>221</v>
      </c>
      <c r="D1980" s="80">
        <v>45888</v>
      </c>
      <c r="E1980" s="79" t="s">
        <v>15</v>
      </c>
      <c r="F1980" s="79" t="s">
        <v>29</v>
      </c>
      <c r="G1980" s="79"/>
      <c r="H1980" s="79" t="s">
        <v>132</v>
      </c>
    </row>
    <row r="1981" spans="1:8">
      <c r="A1981" s="79" t="str">
        <f>LeaveData[[#This Row],[ EMP ID]]&amp;LeaveData[[#This Row],[Date]]</f>
        <v>20221801045891</v>
      </c>
      <c r="B1981" s="79">
        <v>202218010</v>
      </c>
      <c r="C1981" s="79" t="s">
        <v>27</v>
      </c>
      <c r="D1981" s="80">
        <v>45891</v>
      </c>
      <c r="E1981" s="79" t="s">
        <v>13</v>
      </c>
      <c r="F1981" s="79" t="s">
        <v>104</v>
      </c>
      <c r="G1981" s="79"/>
      <c r="H1981" s="79" t="s">
        <v>1445</v>
      </c>
    </row>
    <row r="1982" spans="1:8">
      <c r="A1982" s="79" t="str">
        <f>LeaveData[[#This Row],[ EMP ID]]&amp;LeaveData[[#This Row],[Date]]</f>
        <v>20231801945889</v>
      </c>
      <c r="B1982" s="79">
        <v>202318019</v>
      </c>
      <c r="C1982" s="79" t="s">
        <v>89</v>
      </c>
      <c r="D1982" s="80">
        <v>45889</v>
      </c>
      <c r="E1982" s="79" t="s">
        <v>16</v>
      </c>
      <c r="F1982" s="79" t="s">
        <v>45</v>
      </c>
      <c r="G1982" s="79"/>
      <c r="H1982" s="79" t="s">
        <v>1446</v>
      </c>
    </row>
    <row r="1983" spans="1:8">
      <c r="A1983" s="79" t="str">
        <f>LeaveData[[#This Row],[ EMP ID]]&amp;LeaveData[[#This Row],[Date]]</f>
        <v>20241803545908</v>
      </c>
      <c r="B1983" s="79">
        <v>202418035</v>
      </c>
      <c r="C1983" s="79" t="s">
        <v>96</v>
      </c>
      <c r="D1983" s="80">
        <v>45908</v>
      </c>
      <c r="E1983" s="79" t="s">
        <v>13</v>
      </c>
      <c r="F1983" s="79" t="s">
        <v>118</v>
      </c>
      <c r="G1983" s="79"/>
      <c r="H1983" s="79" t="s">
        <v>168</v>
      </c>
    </row>
    <row r="1984" spans="1:8">
      <c r="A1984" s="79" t="str">
        <f>LeaveData[[#This Row],[ EMP ID]]&amp;LeaveData[[#This Row],[Date]]</f>
        <v>20241803545909</v>
      </c>
      <c r="B1984" s="79">
        <v>202418035</v>
      </c>
      <c r="C1984" s="79" t="s">
        <v>96</v>
      </c>
      <c r="D1984" s="80">
        <v>45909</v>
      </c>
      <c r="E1984" s="79" t="s">
        <v>13</v>
      </c>
      <c r="F1984" s="79" t="s">
        <v>118</v>
      </c>
      <c r="G1984" s="79"/>
      <c r="H1984" s="79" t="s">
        <v>168</v>
      </c>
    </row>
    <row r="1985" spans="1:8">
      <c r="A1985" s="79" t="str">
        <f>LeaveData[[#This Row],[ EMP ID]]&amp;LeaveData[[#This Row],[Date]]</f>
        <v>20241803545910</v>
      </c>
      <c r="B1985" s="79">
        <v>202418035</v>
      </c>
      <c r="C1985" s="79" t="s">
        <v>96</v>
      </c>
      <c r="D1985" s="80">
        <v>45910</v>
      </c>
      <c r="E1985" s="79" t="s">
        <v>13</v>
      </c>
      <c r="F1985" s="79" t="s">
        <v>118</v>
      </c>
      <c r="G1985" s="79"/>
      <c r="H1985" s="79" t="s">
        <v>168</v>
      </c>
    </row>
    <row r="1986" spans="1:8">
      <c r="A1986" s="79" t="str">
        <f>LeaveData[[#This Row],[ EMP ID]]&amp;LeaveData[[#This Row],[Date]]</f>
        <v>20231801845889</v>
      </c>
      <c r="B1986" s="79">
        <v>202318018</v>
      </c>
      <c r="C1986" s="79" t="s">
        <v>40</v>
      </c>
      <c r="D1986" s="80">
        <v>45889</v>
      </c>
      <c r="E1986" s="79" t="s">
        <v>16</v>
      </c>
      <c r="F1986" s="79" t="s">
        <v>125</v>
      </c>
      <c r="G1986" s="79"/>
      <c r="H1986" s="79" t="s">
        <v>1447</v>
      </c>
    </row>
    <row r="1987" spans="1:8">
      <c r="A1987" s="79" t="str">
        <f>LeaveData[[#This Row],[ EMP ID]]&amp;LeaveData[[#This Row],[Date]]</f>
        <v>20242100145892</v>
      </c>
      <c r="B1987" s="79">
        <v>202421001</v>
      </c>
      <c r="C1987" s="79" t="s">
        <v>221</v>
      </c>
      <c r="D1987" s="80">
        <v>45892</v>
      </c>
      <c r="E1987" s="79" t="s">
        <v>16</v>
      </c>
      <c r="F1987" s="79" t="s">
        <v>29</v>
      </c>
      <c r="G1987" s="79"/>
      <c r="H1987" s="79" t="s">
        <v>1448</v>
      </c>
    </row>
    <row r="1988" spans="1:8">
      <c r="A1988" s="79" t="str">
        <f>LeaveData[[#This Row],[ EMP ID]]&amp;LeaveData[[#This Row],[Date]]</f>
        <v>20232000745896</v>
      </c>
      <c r="B1988" s="79">
        <v>202320007</v>
      </c>
      <c r="C1988" s="79" t="s">
        <v>183</v>
      </c>
      <c r="D1988" s="80">
        <v>45896</v>
      </c>
      <c r="E1988" s="79" t="s">
        <v>13</v>
      </c>
      <c r="F1988" s="79" t="s">
        <v>104</v>
      </c>
      <c r="G1988" s="79"/>
      <c r="H1988" s="2" t="s">
        <v>1449</v>
      </c>
    </row>
    <row r="1989" spans="1:8">
      <c r="A1989" s="79" t="str">
        <f>LeaveData[[#This Row],[ EMP ID]]&amp;LeaveData[[#This Row],[Date]]</f>
        <v>20242001545887</v>
      </c>
      <c r="B1989" s="79">
        <v>202420015</v>
      </c>
      <c r="C1989" s="79" t="s">
        <v>64</v>
      </c>
      <c r="D1989" s="80">
        <v>45887</v>
      </c>
      <c r="E1989" s="79" t="s">
        <v>12</v>
      </c>
      <c r="F1989" s="79" t="s">
        <v>125</v>
      </c>
      <c r="G1989" s="79"/>
      <c r="H1989" s="79" t="s">
        <v>140</v>
      </c>
    </row>
    <row r="1990" spans="1:8">
      <c r="A1990" s="79" t="str">
        <f>LeaveData[[#This Row],[ EMP ID]]&amp;LeaveData[[#This Row],[Date]]</f>
        <v>20250101545889</v>
      </c>
      <c r="B1990" s="79">
        <v>202501015</v>
      </c>
      <c r="C1990" s="79" t="s">
        <v>1402</v>
      </c>
      <c r="D1990" s="80">
        <v>45889</v>
      </c>
      <c r="E1990" s="79" t="s">
        <v>12</v>
      </c>
      <c r="F1990" s="79" t="s">
        <v>1365</v>
      </c>
      <c r="G1990" s="79"/>
      <c r="H1990" s="79" t="s">
        <v>140</v>
      </c>
    </row>
    <row r="1991" spans="1:8">
      <c r="A1991" s="79" t="str">
        <f>LeaveData[[#This Row],[ EMP ID]]&amp;LeaveData[[#This Row],[Date]]</f>
        <v>20231802345898</v>
      </c>
      <c r="B1991" s="79">
        <v>202318023</v>
      </c>
      <c r="C1991" s="79" t="s">
        <v>148</v>
      </c>
      <c r="D1991" s="80">
        <v>45898</v>
      </c>
      <c r="E1991" s="79" t="s">
        <v>13</v>
      </c>
      <c r="F1991" s="79" t="s">
        <v>128</v>
      </c>
      <c r="G1991" s="79"/>
      <c r="H1991" s="79" t="s">
        <v>1450</v>
      </c>
    </row>
    <row r="1992" spans="1:8">
      <c r="A1992" s="79" t="str">
        <f>LeaveData[[#This Row],[ EMP ID]]&amp;LeaveData[[#This Row],[Date]]</f>
        <v>20182000145895</v>
      </c>
      <c r="B1992" s="92">
        <v>201820001</v>
      </c>
      <c r="C1992" s="122" t="s">
        <v>18</v>
      </c>
      <c r="D1992" s="80">
        <v>45895</v>
      </c>
      <c r="E1992" s="79" t="s">
        <v>12</v>
      </c>
      <c r="F1992" s="79" t="s">
        <v>118</v>
      </c>
      <c r="G1992" s="79"/>
      <c r="H1992" s="79" t="s">
        <v>140</v>
      </c>
    </row>
    <row r="1993" spans="1:8">
      <c r="A1993" s="79" t="str">
        <f>LeaveData[[#This Row],[ EMP ID]]&amp;LeaveData[[#This Row],[Date]]</f>
        <v>20232000745895</v>
      </c>
      <c r="B1993" s="79">
        <v>202320007</v>
      </c>
      <c r="C1993" s="79" t="s">
        <v>183</v>
      </c>
      <c r="D1993" s="80">
        <v>45895</v>
      </c>
      <c r="E1993" s="79" t="s">
        <v>14</v>
      </c>
      <c r="F1993" s="79" t="s">
        <v>104</v>
      </c>
      <c r="G1993" s="79"/>
      <c r="H1993" s="79" t="s">
        <v>116</v>
      </c>
    </row>
    <row r="1994" spans="1:8">
      <c r="A1994" s="79" t="str">
        <f>LeaveData[[#This Row],[ EMP ID]]&amp;LeaveData[[#This Row],[Date]]</f>
        <v>20250101645894</v>
      </c>
      <c r="B1994" s="79">
        <v>202501016</v>
      </c>
      <c r="C1994" s="79" t="s">
        <v>1430</v>
      </c>
      <c r="D1994" s="80">
        <v>45894</v>
      </c>
      <c r="E1994" s="79" t="s">
        <v>12</v>
      </c>
      <c r="F1994" s="79" t="s">
        <v>235</v>
      </c>
      <c r="G1994" s="79"/>
      <c r="H1994" s="79" t="s">
        <v>140</v>
      </c>
    </row>
    <row r="1995" spans="1:8">
      <c r="A1995" s="79" t="str">
        <f>LeaveData[[#This Row],[ EMP ID]]&amp;LeaveData[[#This Row],[Date]]</f>
        <v>20251804345894</v>
      </c>
      <c r="B1995" s="79">
        <v>202518043</v>
      </c>
      <c r="C1995" s="79" t="s">
        <v>403</v>
      </c>
      <c r="D1995" s="80">
        <v>45894</v>
      </c>
      <c r="E1995" s="79" t="s">
        <v>16</v>
      </c>
      <c r="F1995" s="79" t="s">
        <v>43</v>
      </c>
      <c r="G1995" s="79"/>
      <c r="H1995" s="79" t="s">
        <v>140</v>
      </c>
    </row>
    <row r="1996" spans="1:8">
      <c r="A1996" s="79" t="str">
        <f>LeaveData[[#This Row],[ EMP ID]]&amp;LeaveData[[#This Row],[Date]]</f>
        <v>20250101645896</v>
      </c>
      <c r="B1996" s="79">
        <v>202501016</v>
      </c>
      <c r="C1996" s="79" t="s">
        <v>1430</v>
      </c>
      <c r="D1996" s="80">
        <v>45896</v>
      </c>
      <c r="E1996" s="79" t="s">
        <v>13</v>
      </c>
      <c r="F1996" s="79" t="s">
        <v>235</v>
      </c>
      <c r="G1996" s="79"/>
      <c r="H1996" s="79" t="s">
        <v>275</v>
      </c>
    </row>
    <row r="1997" spans="1:8">
      <c r="A1997" s="79" t="str">
        <f>LeaveData[[#This Row],[ EMP ID]]&amp;LeaveData[[#This Row],[Date]]</f>
        <v>20231802245894</v>
      </c>
      <c r="B1997" s="79">
        <v>202318022</v>
      </c>
      <c r="C1997" s="79" t="s">
        <v>45</v>
      </c>
      <c r="D1997" s="80">
        <v>45894</v>
      </c>
      <c r="E1997" s="79" t="s">
        <v>12</v>
      </c>
      <c r="F1997" s="79" t="s">
        <v>1365</v>
      </c>
      <c r="G1997" s="79"/>
      <c r="H1997" s="79" t="s">
        <v>140</v>
      </c>
    </row>
    <row r="1998" spans="1:8">
      <c r="A1998" s="79" t="str">
        <f>LeaveData[[#This Row],[ EMP ID]]&amp;LeaveData[[#This Row],[Date]]</f>
        <v>20231802245895</v>
      </c>
      <c r="B1998" s="79">
        <v>202318022</v>
      </c>
      <c r="C1998" s="79" t="s">
        <v>45</v>
      </c>
      <c r="D1998" s="80">
        <v>45895</v>
      </c>
      <c r="E1998" s="79" t="s">
        <v>12</v>
      </c>
      <c r="F1998" s="79" t="s">
        <v>1365</v>
      </c>
      <c r="G1998" s="79"/>
      <c r="H1998" s="79" t="s">
        <v>140</v>
      </c>
    </row>
    <row r="1999" spans="1:8">
      <c r="A1999" s="79" t="str">
        <f>LeaveData[[#This Row],[ EMP ID]]&amp;LeaveData[[#This Row],[Date]]</f>
        <v>20241804245896</v>
      </c>
      <c r="B1999" s="79">
        <v>202418042</v>
      </c>
      <c r="C1999" s="79" t="s">
        <v>402</v>
      </c>
      <c r="D1999" s="80">
        <v>45896</v>
      </c>
      <c r="E1999" s="79" t="s">
        <v>1437</v>
      </c>
      <c r="F1999" s="79" t="s">
        <v>235</v>
      </c>
      <c r="G1999" s="79"/>
      <c r="H1999" s="79" t="s">
        <v>1451</v>
      </c>
    </row>
    <row r="2000" spans="1:8">
      <c r="A2000" s="79" t="str">
        <f>LeaveData[[#This Row],[ EMP ID]]&amp;LeaveData[[#This Row],[Date]]</f>
        <v>20250101245897</v>
      </c>
      <c r="B2000" s="79">
        <v>202501012</v>
      </c>
      <c r="C2000" s="79" t="s">
        <v>1394</v>
      </c>
      <c r="D2000" s="80">
        <v>45897</v>
      </c>
      <c r="E2000" s="79" t="s">
        <v>13</v>
      </c>
      <c r="F2000" s="79" t="s">
        <v>125</v>
      </c>
      <c r="G2000" s="79"/>
      <c r="H2000" s="79" t="s">
        <v>1452</v>
      </c>
    </row>
    <row r="2001" spans="1:8">
      <c r="A2001" s="79" t="str">
        <f>LeaveData[[#This Row],[ EMP ID]]&amp;LeaveData[[#This Row],[Date]]</f>
        <v>20250101245896</v>
      </c>
      <c r="B2001" s="79">
        <v>202501012</v>
      </c>
      <c r="C2001" s="79" t="s">
        <v>1394</v>
      </c>
      <c r="D2001" s="80">
        <v>45896</v>
      </c>
      <c r="E2001" s="79" t="s">
        <v>13</v>
      </c>
      <c r="F2001" s="79" t="s">
        <v>125</v>
      </c>
      <c r="G2001" s="79"/>
      <c r="H2001" s="92" t="s">
        <v>1455</v>
      </c>
    </row>
    <row r="2002" spans="1:8">
      <c r="A2002" s="79" t="str">
        <f>LeaveData[[#This Row],[ EMP ID]]&amp;LeaveData[[#This Row],[Date]]</f>
        <v>20241803845901</v>
      </c>
      <c r="B2002" s="79">
        <v>202418038</v>
      </c>
      <c r="C2002" s="79" t="s">
        <v>246</v>
      </c>
      <c r="D2002" s="80">
        <v>45901</v>
      </c>
      <c r="E2002" s="79" t="s">
        <v>1437</v>
      </c>
      <c r="F2002" s="79" t="s">
        <v>125</v>
      </c>
      <c r="G2002" s="79"/>
      <c r="H2002" s="79" t="s">
        <v>1451</v>
      </c>
    </row>
    <row r="2003" spans="1:8">
      <c r="A2003" s="79" t="str">
        <f>LeaveData[[#This Row],[ EMP ID]]&amp;LeaveData[[#This Row],[Date]]</f>
        <v>20250100645894</v>
      </c>
      <c r="B2003" s="79">
        <v>202501006</v>
      </c>
      <c r="C2003" s="79" t="s">
        <v>1330</v>
      </c>
      <c r="D2003" s="80">
        <v>45894</v>
      </c>
      <c r="E2003" s="79" t="s">
        <v>13</v>
      </c>
      <c r="F2003" s="79" t="s">
        <v>83</v>
      </c>
      <c r="G2003" s="79"/>
      <c r="H2003" s="79" t="s">
        <v>1453</v>
      </c>
    </row>
    <row r="2004" spans="1:8">
      <c r="A2004" s="79" t="str">
        <f>LeaveData[[#This Row],[ EMP ID]]&amp;LeaveData[[#This Row],[Date]]</f>
        <v>20221801145897</v>
      </c>
      <c r="B2004" s="79">
        <v>202218011</v>
      </c>
      <c r="C2004" s="79" t="s">
        <v>28</v>
      </c>
      <c r="D2004" s="80">
        <v>45897</v>
      </c>
      <c r="E2004" s="79" t="s">
        <v>12</v>
      </c>
      <c r="F2004" s="79" t="s">
        <v>235</v>
      </c>
      <c r="G2004" s="79"/>
      <c r="H2004" s="79" t="s">
        <v>1454</v>
      </c>
    </row>
    <row r="2005" spans="1:8">
      <c r="A2005" s="79" t="str">
        <f>LeaveData[[#This Row],[ EMP ID]]&amp;LeaveData[[#This Row],[Date]]</f>
        <v>20221800945896</v>
      </c>
      <c r="B2005" s="79">
        <v>202218009</v>
      </c>
      <c r="C2005" s="79" t="s">
        <v>26</v>
      </c>
      <c r="D2005" s="80">
        <v>45896</v>
      </c>
      <c r="E2005" s="79" t="s">
        <v>12</v>
      </c>
      <c r="F2005" s="79" t="s">
        <v>128</v>
      </c>
      <c r="G2005" s="79"/>
      <c r="H2005" s="79" t="s">
        <v>140</v>
      </c>
    </row>
    <row r="2006" spans="1:8">
      <c r="A2006" s="79" t="str">
        <f>LeaveData[[#This Row],[ EMP ID]]&amp;LeaveData[[#This Row],[Date]]</f>
        <v>20231802845898</v>
      </c>
      <c r="B2006" s="79">
        <v>202318028</v>
      </c>
      <c r="C2006" s="79" t="s">
        <v>57</v>
      </c>
      <c r="D2006" s="80">
        <v>45898</v>
      </c>
      <c r="E2006" s="79" t="s">
        <v>12</v>
      </c>
      <c r="F2006" s="79" t="s">
        <v>104</v>
      </c>
      <c r="G2006" s="79"/>
      <c r="H2006" s="79" t="s">
        <v>140</v>
      </c>
    </row>
    <row r="2007" spans="1:8">
      <c r="A2007" s="79" t="str">
        <f>LeaveData[[#This Row],[ EMP ID]]&amp;LeaveData[[#This Row],[Date]]</f>
        <v>20242001545901</v>
      </c>
      <c r="B2007" s="79">
        <v>202420015</v>
      </c>
      <c r="C2007" s="79" t="s">
        <v>64</v>
      </c>
      <c r="D2007" s="80">
        <v>45901</v>
      </c>
      <c r="E2007" s="79" t="s">
        <v>13</v>
      </c>
      <c r="F2007" s="79" t="s">
        <v>114</v>
      </c>
      <c r="G2007" s="79"/>
      <c r="H2007" s="79" t="s">
        <v>264</v>
      </c>
    </row>
    <row r="2008" spans="1:8">
      <c r="A2008" s="79" t="str">
        <f>LeaveData[[#This Row],[ EMP ID]]&amp;LeaveData[[#This Row],[Date]]</f>
        <v>20242001545902</v>
      </c>
      <c r="B2008" s="79">
        <v>202420015</v>
      </c>
      <c r="C2008" s="79" t="s">
        <v>64</v>
      </c>
      <c r="D2008" s="80">
        <v>45902</v>
      </c>
      <c r="E2008" s="79" t="s">
        <v>13</v>
      </c>
      <c r="F2008" s="79" t="s">
        <v>114</v>
      </c>
      <c r="G2008" s="79"/>
      <c r="H2008" s="79" t="s">
        <v>264</v>
      </c>
    </row>
    <row r="2009" spans="1:8">
      <c r="A2009" s="79" t="str">
        <f>LeaveData[[#This Row],[ EMP ID]]&amp;LeaveData[[#This Row],[Date]]</f>
        <v>20242001545903</v>
      </c>
      <c r="B2009" s="79">
        <v>202420015</v>
      </c>
      <c r="C2009" s="79" t="s">
        <v>64</v>
      </c>
      <c r="D2009" s="80">
        <v>45903</v>
      </c>
      <c r="E2009" s="79" t="s">
        <v>13</v>
      </c>
      <c r="F2009" s="79" t="s">
        <v>114</v>
      </c>
      <c r="G2009" s="79"/>
      <c r="H2009" s="79" t="s">
        <v>264</v>
      </c>
    </row>
    <row r="2010" spans="1:8">
      <c r="A2010" s="79" t="str">
        <f>LeaveData[[#This Row],[ EMP ID]]&amp;LeaveData[[#This Row],[Date]]</f>
        <v>20231801745897</v>
      </c>
      <c r="B2010" s="79">
        <v>202318017</v>
      </c>
      <c r="C2010" s="79" t="s">
        <v>37</v>
      </c>
      <c r="D2010" s="80">
        <v>45897</v>
      </c>
      <c r="E2010" s="79" t="s">
        <v>14</v>
      </c>
      <c r="F2010" s="79" t="s">
        <v>1365</v>
      </c>
      <c r="G2010" s="79"/>
      <c r="H2010" s="79" t="s">
        <v>168</v>
      </c>
    </row>
    <row r="2011" spans="1:8">
      <c r="A2011" s="79" t="str">
        <f>LeaveData[[#This Row],[ EMP ID]]&amp;LeaveData[[#This Row],[Date]]</f>
        <v>20251804345899</v>
      </c>
      <c r="B2011" s="79">
        <v>202518043</v>
      </c>
      <c r="C2011" s="79" t="s">
        <v>403</v>
      </c>
      <c r="D2011" s="80">
        <v>45899</v>
      </c>
      <c r="E2011" s="79" t="s">
        <v>16</v>
      </c>
      <c r="F2011" s="79" t="s">
        <v>43</v>
      </c>
      <c r="G2011" s="79"/>
      <c r="H2011" s="79" t="s">
        <v>422</v>
      </c>
    </row>
    <row r="2012" spans="1:8">
      <c r="A2012" s="79" t="str">
        <f>LeaveData[[#This Row],[ EMP ID]]&amp;LeaveData[[#This Row],[Date]]</f>
        <v>20250101645901</v>
      </c>
      <c r="B2012" s="79">
        <v>202501016</v>
      </c>
      <c r="C2012" s="79" t="s">
        <v>1430</v>
      </c>
      <c r="D2012" s="80">
        <v>45901</v>
      </c>
      <c r="E2012" s="79" t="s">
        <v>12</v>
      </c>
      <c r="F2012" s="79" t="s">
        <v>235</v>
      </c>
      <c r="G2012" s="79"/>
      <c r="H2012" s="79" t="s">
        <v>140</v>
      </c>
    </row>
    <row r="2013" spans="1:8">
      <c r="A2013" s="79" t="str">
        <f>LeaveData[[#This Row],[ EMP ID]]&amp;LeaveData[[#This Row],[Date]]</f>
        <v>20251804345898</v>
      </c>
      <c r="B2013" s="79">
        <v>202518043</v>
      </c>
      <c r="C2013" s="79" t="s">
        <v>403</v>
      </c>
      <c r="D2013" s="80">
        <v>45898</v>
      </c>
      <c r="E2013" s="79" t="s">
        <v>16</v>
      </c>
      <c r="F2013" s="79" t="s">
        <v>43</v>
      </c>
      <c r="G2013" s="79"/>
      <c r="H2013" s="79" t="s">
        <v>140</v>
      </c>
    </row>
    <row r="2014" spans="1:8">
      <c r="A2014" s="79" t="str">
        <f>LeaveData[[#This Row],[ EMP ID]]&amp;LeaveData[[#This Row],[Date]]</f>
        <v>20251804345901</v>
      </c>
      <c r="B2014" s="79">
        <v>202518043</v>
      </c>
      <c r="C2014" s="79" t="s">
        <v>403</v>
      </c>
      <c r="D2014" s="80">
        <v>45901</v>
      </c>
      <c r="E2014" s="79" t="s">
        <v>16</v>
      </c>
      <c r="F2014" s="79" t="s">
        <v>43</v>
      </c>
      <c r="G2014" s="79"/>
      <c r="H2014" s="79" t="s">
        <v>140</v>
      </c>
    </row>
    <row r="2015" spans="1:8">
      <c r="A2015" s="79" t="str">
        <f>LeaveData[[#This Row],[ EMP ID]]&amp;LeaveData[[#This Row],[Date]]</f>
        <v>20241803845896</v>
      </c>
      <c r="B2015" s="79">
        <v>202418038</v>
      </c>
      <c r="C2015" s="79" t="s">
        <v>246</v>
      </c>
      <c r="D2015" s="80">
        <v>45896</v>
      </c>
      <c r="E2015" s="79" t="s">
        <v>13</v>
      </c>
      <c r="F2015" s="79" t="s">
        <v>125</v>
      </c>
      <c r="G2015" s="79"/>
      <c r="H2015" s="79" t="s">
        <v>1455</v>
      </c>
    </row>
    <row r="2016" spans="1:8">
      <c r="A2016" s="79" t="str">
        <f>LeaveData[[#This Row],[ EMP ID]]&amp;LeaveData[[#This Row],[Date]]</f>
        <v>20232000945896</v>
      </c>
      <c r="B2016" s="79">
        <v>202320009</v>
      </c>
      <c r="C2016" s="79" t="s">
        <v>143</v>
      </c>
      <c r="D2016" s="80">
        <v>45896</v>
      </c>
      <c r="E2016" s="79" t="s">
        <v>14</v>
      </c>
      <c r="F2016" s="79" t="s">
        <v>1365</v>
      </c>
      <c r="G2016" s="79"/>
      <c r="H2016" s="79" t="s">
        <v>1456</v>
      </c>
    </row>
    <row r="2017" spans="1:8">
      <c r="A2017" s="79" t="str">
        <f>LeaveData[[#This Row],[ EMP ID]]&amp;LeaveData[[#This Row],[Date]]</f>
        <v>20232000945898</v>
      </c>
      <c r="B2017" s="79">
        <v>202320009</v>
      </c>
      <c r="C2017" s="79" t="s">
        <v>143</v>
      </c>
      <c r="D2017" s="80">
        <v>45898</v>
      </c>
      <c r="E2017" s="79" t="s">
        <v>14</v>
      </c>
      <c r="F2017" s="79" t="s">
        <v>1365</v>
      </c>
      <c r="G2017" s="79"/>
      <c r="H2017" s="79" t="s">
        <v>1456</v>
      </c>
    </row>
    <row r="2018" spans="1:8">
      <c r="A2018" s="79" t="str">
        <f>LeaveData[[#This Row],[ EMP ID]]&amp;LeaveData[[#This Row],[Date]]</f>
        <v>20250100845889</v>
      </c>
      <c r="B2018" s="79">
        <v>202501008</v>
      </c>
      <c r="C2018" s="79" t="s">
        <v>1368</v>
      </c>
      <c r="D2018" s="80">
        <v>45889</v>
      </c>
      <c r="E2018" s="79" t="s">
        <v>12</v>
      </c>
      <c r="F2018" s="79" t="s">
        <v>235</v>
      </c>
      <c r="G2018" s="79"/>
      <c r="H2018" s="79" t="s">
        <v>1457</v>
      </c>
    </row>
    <row r="2019" spans="1:8">
      <c r="A2019" s="79" t="str">
        <f>LeaveData[[#This Row],[ EMP ID]]&amp;LeaveData[[#This Row],[Date]]</f>
        <v>20250100845890</v>
      </c>
      <c r="B2019" s="79">
        <v>202501008</v>
      </c>
      <c r="C2019" s="79" t="s">
        <v>1368</v>
      </c>
      <c r="D2019" s="80">
        <v>45890</v>
      </c>
      <c r="E2019" s="79" t="s">
        <v>12</v>
      </c>
      <c r="F2019" s="79" t="s">
        <v>235</v>
      </c>
      <c r="G2019" s="79"/>
      <c r="H2019" s="79" t="s">
        <v>1457</v>
      </c>
    </row>
    <row r="2020" spans="1:8">
      <c r="A2020" s="79" t="str">
        <f>LeaveData[[#This Row],[ EMP ID]]&amp;LeaveData[[#This Row],[Date]]</f>
        <v>20250100845891</v>
      </c>
      <c r="B2020" s="79">
        <v>202501008</v>
      </c>
      <c r="C2020" s="79" t="s">
        <v>1368</v>
      </c>
      <c r="D2020" s="80">
        <v>45891</v>
      </c>
      <c r="E2020" s="79" t="s">
        <v>12</v>
      </c>
      <c r="F2020" s="79" t="s">
        <v>235</v>
      </c>
      <c r="G2020" s="79"/>
      <c r="H2020" s="79" t="s">
        <v>1457</v>
      </c>
    </row>
    <row r="2021" spans="1:8">
      <c r="A2021" s="79" t="str">
        <f>LeaveData[[#This Row],[ EMP ID]]&amp;LeaveData[[#This Row],[Date]]</f>
        <v>20250100845892</v>
      </c>
      <c r="B2021" s="79">
        <v>202501008</v>
      </c>
      <c r="C2021" s="79" t="s">
        <v>1368</v>
      </c>
      <c r="D2021" s="80">
        <v>45892</v>
      </c>
      <c r="E2021" s="79" t="s">
        <v>12</v>
      </c>
      <c r="F2021" s="79" t="s">
        <v>235</v>
      </c>
      <c r="G2021" s="79"/>
      <c r="H2021" s="79" t="s">
        <v>1457</v>
      </c>
    </row>
    <row r="2022" spans="1:8">
      <c r="A2022" s="79" t="str">
        <f>LeaveData[[#This Row],[ EMP ID]]&amp;LeaveData[[#This Row],[Date]]</f>
        <v>20250100845894</v>
      </c>
      <c r="B2022" s="79">
        <v>202501008</v>
      </c>
      <c r="C2022" s="79" t="s">
        <v>1368</v>
      </c>
      <c r="D2022" s="80">
        <v>45894</v>
      </c>
      <c r="E2022" s="79" t="s">
        <v>12</v>
      </c>
      <c r="F2022" s="79" t="s">
        <v>235</v>
      </c>
      <c r="G2022" s="79"/>
      <c r="H2022" s="79" t="s">
        <v>1457</v>
      </c>
    </row>
    <row r="2023" spans="1:8">
      <c r="A2023" s="79" t="str">
        <f>LeaveData[[#This Row],[ EMP ID]]&amp;LeaveData[[#This Row],[Date]]</f>
        <v>20250100845895</v>
      </c>
      <c r="B2023" s="79">
        <v>202501008</v>
      </c>
      <c r="C2023" s="79" t="s">
        <v>1368</v>
      </c>
      <c r="D2023" s="80">
        <v>45895</v>
      </c>
      <c r="E2023" s="79" t="s">
        <v>12</v>
      </c>
      <c r="F2023" s="79" t="s">
        <v>235</v>
      </c>
      <c r="G2023" s="79"/>
      <c r="H2023" s="79" t="s">
        <v>1457</v>
      </c>
    </row>
    <row r="2024" spans="1:8">
      <c r="A2024" s="79" t="str">
        <f>LeaveData[[#This Row],[ EMP ID]]&amp;LeaveData[[#This Row],[Date]]</f>
        <v>20250100845896</v>
      </c>
      <c r="B2024" s="79">
        <v>202501008</v>
      </c>
      <c r="C2024" s="79" t="s">
        <v>1368</v>
      </c>
      <c r="D2024" s="80">
        <v>45896</v>
      </c>
      <c r="E2024" s="79" t="s">
        <v>13</v>
      </c>
      <c r="F2024" s="79" t="s">
        <v>235</v>
      </c>
      <c r="G2024" s="79"/>
      <c r="H2024" s="79" t="s">
        <v>1526</v>
      </c>
    </row>
    <row r="2025" spans="1:8">
      <c r="A2025" s="79" t="str">
        <f>LeaveData[[#This Row],[ EMP ID]]&amp;LeaveData[[#This Row],[Date]]</f>
        <v>20250100845897</v>
      </c>
      <c r="B2025" s="79">
        <v>202501008</v>
      </c>
      <c r="C2025" s="79" t="s">
        <v>1368</v>
      </c>
      <c r="D2025" s="80">
        <v>45897</v>
      </c>
      <c r="E2025" s="79" t="s">
        <v>13</v>
      </c>
      <c r="F2025" s="79" t="s">
        <v>235</v>
      </c>
      <c r="G2025" s="79"/>
      <c r="H2025" s="79" t="s">
        <v>1526</v>
      </c>
    </row>
    <row r="2026" spans="1:8">
      <c r="A2026" s="79" t="str">
        <f>LeaveData[[#This Row],[ EMP ID]]&amp;LeaveData[[#This Row],[Date]]</f>
        <v>20250100845898</v>
      </c>
      <c r="B2026" s="79">
        <v>202501008</v>
      </c>
      <c r="C2026" s="79" t="s">
        <v>1368</v>
      </c>
      <c r="D2026" s="80">
        <v>45898</v>
      </c>
      <c r="E2026" s="79" t="s">
        <v>13</v>
      </c>
      <c r="F2026" s="79" t="s">
        <v>235</v>
      </c>
      <c r="G2026" s="79"/>
      <c r="H2026" s="79" t="s">
        <v>1526</v>
      </c>
    </row>
    <row r="2027" spans="1:8">
      <c r="A2027" s="79" t="str">
        <f>LeaveData[[#This Row],[ EMP ID]]&amp;LeaveData[[#This Row],[Date]]</f>
        <v>20250100845899</v>
      </c>
      <c r="B2027" s="79">
        <v>202501008</v>
      </c>
      <c r="C2027" s="79" t="s">
        <v>1368</v>
      </c>
      <c r="D2027" s="80">
        <v>45899</v>
      </c>
      <c r="E2027" s="79" t="s">
        <v>13</v>
      </c>
      <c r="F2027" s="79" t="s">
        <v>235</v>
      </c>
      <c r="G2027" s="79"/>
      <c r="H2027" s="79" t="s">
        <v>1526</v>
      </c>
    </row>
    <row r="2028" spans="1:8">
      <c r="A2028" s="79" t="str">
        <f>LeaveData[[#This Row],[ EMP ID]]&amp;LeaveData[[#This Row],[Date]]</f>
        <v>20241803545908</v>
      </c>
      <c r="B2028" s="79">
        <v>202418035</v>
      </c>
      <c r="C2028" s="79" t="s">
        <v>96</v>
      </c>
      <c r="D2028" s="80">
        <v>45908</v>
      </c>
      <c r="E2028" s="79" t="s">
        <v>13</v>
      </c>
      <c r="F2028" s="79" t="s">
        <v>118</v>
      </c>
      <c r="G2028" s="79"/>
      <c r="H2028" s="79" t="s">
        <v>1458</v>
      </c>
    </row>
    <row r="2029" spans="1:8">
      <c r="A2029" s="79" t="str">
        <f>LeaveData[[#This Row],[ EMP ID]]&amp;LeaveData[[#This Row],[Date]]</f>
        <v>20241803545909</v>
      </c>
      <c r="B2029" s="79">
        <v>202418035</v>
      </c>
      <c r="C2029" s="79" t="s">
        <v>96</v>
      </c>
      <c r="D2029" s="80">
        <v>45909</v>
      </c>
      <c r="E2029" s="79" t="s">
        <v>13</v>
      </c>
      <c r="F2029" s="79" t="s">
        <v>118</v>
      </c>
      <c r="G2029" s="79"/>
      <c r="H2029" s="79" t="s">
        <v>1458</v>
      </c>
    </row>
    <row r="2030" spans="1:8">
      <c r="A2030" s="79" t="str">
        <f>LeaveData[[#This Row],[ EMP ID]]&amp;LeaveData[[#This Row],[Date]]</f>
        <v>20241803545910</v>
      </c>
      <c r="B2030" s="79">
        <v>202418035</v>
      </c>
      <c r="C2030" s="79" t="s">
        <v>96</v>
      </c>
      <c r="D2030" s="80">
        <v>45910</v>
      </c>
      <c r="E2030" s="79" t="s">
        <v>13</v>
      </c>
      <c r="F2030" s="79" t="s">
        <v>118</v>
      </c>
      <c r="G2030" s="79"/>
      <c r="H2030" s="79" t="s">
        <v>1458</v>
      </c>
    </row>
    <row r="2031" spans="1:8">
      <c r="A2031" s="79" t="str">
        <f>LeaveData[[#This Row],[ EMP ID]]&amp;LeaveData[[#This Row],[Date]]</f>
        <v>20251804645891</v>
      </c>
      <c r="B2031" s="79">
        <v>202518046</v>
      </c>
      <c r="C2031" s="79" t="s">
        <v>842</v>
      </c>
      <c r="D2031" s="80">
        <v>45891</v>
      </c>
      <c r="E2031" s="79" t="s">
        <v>16</v>
      </c>
      <c r="F2031" s="79" t="s">
        <v>1366</v>
      </c>
      <c r="G2031" s="79"/>
      <c r="H2031" s="79" t="s">
        <v>169</v>
      </c>
    </row>
    <row r="2032" spans="1:8">
      <c r="A2032" s="79" t="str">
        <f>LeaveData[[#This Row],[ EMP ID]]&amp;LeaveData[[#This Row],[Date]]</f>
        <v>20251804645894</v>
      </c>
      <c r="B2032" s="79">
        <v>202518046</v>
      </c>
      <c r="C2032" s="79" t="s">
        <v>842</v>
      </c>
      <c r="D2032" s="80">
        <v>45894</v>
      </c>
      <c r="E2032" s="79" t="s">
        <v>16</v>
      </c>
      <c r="F2032" s="79" t="s">
        <v>1366</v>
      </c>
      <c r="G2032" s="79"/>
      <c r="H2032" s="79" t="s">
        <v>169</v>
      </c>
    </row>
    <row r="2033" spans="1:8">
      <c r="A2033" s="79" t="str">
        <f>LeaveData[[#This Row],[ EMP ID]]&amp;LeaveData[[#This Row],[Date]]</f>
        <v>20251804645896</v>
      </c>
      <c r="B2033" s="79">
        <v>202518046</v>
      </c>
      <c r="C2033" s="79" t="s">
        <v>842</v>
      </c>
      <c r="D2033" s="80">
        <v>45896</v>
      </c>
      <c r="E2033" s="79" t="s">
        <v>16</v>
      </c>
      <c r="F2033" s="79" t="s">
        <v>1366</v>
      </c>
      <c r="G2033" s="79"/>
      <c r="H2033" s="79" t="s">
        <v>1456</v>
      </c>
    </row>
    <row r="2034" spans="1:8">
      <c r="A2034" s="79" t="str">
        <f>LeaveData[[#This Row],[ EMP ID]]&amp;LeaveData[[#This Row],[Date]]</f>
        <v>20251804645897</v>
      </c>
      <c r="B2034" s="79">
        <v>202518046</v>
      </c>
      <c r="C2034" s="79" t="s">
        <v>842</v>
      </c>
      <c r="D2034" s="80">
        <v>45897</v>
      </c>
      <c r="E2034" s="79" t="s">
        <v>16</v>
      </c>
      <c r="F2034" s="79" t="s">
        <v>1366</v>
      </c>
      <c r="G2034" s="79"/>
      <c r="H2034" s="79" t="s">
        <v>1456</v>
      </c>
    </row>
    <row r="2035" spans="1:8">
      <c r="A2035" s="100" t="str">
        <f>LeaveData[[#This Row],[ EMP ID]]&amp;LeaveData[[#This Row],[Date]]</f>
        <v>20251804645898</v>
      </c>
      <c r="B2035" s="79">
        <v>202518046</v>
      </c>
      <c r="C2035" s="79" t="s">
        <v>842</v>
      </c>
      <c r="D2035" s="101">
        <v>45898</v>
      </c>
      <c r="E2035" s="79" t="s">
        <v>16</v>
      </c>
      <c r="F2035" s="79" t="s">
        <v>1366</v>
      </c>
      <c r="G2035" s="100"/>
      <c r="H2035" s="100" t="s">
        <v>1456</v>
      </c>
    </row>
    <row r="2036" spans="1:8">
      <c r="A2036" s="100" t="str">
        <f>LeaveData[[#This Row],[ EMP ID]]&amp;LeaveData[[#This Row],[Date]]</f>
        <v>20250101745870</v>
      </c>
      <c r="B2036" s="100">
        <v>202501017</v>
      </c>
      <c r="C2036" s="100" t="s">
        <v>1459</v>
      </c>
      <c r="D2036" s="101">
        <v>45870</v>
      </c>
      <c r="E2036" s="100" t="s">
        <v>199</v>
      </c>
      <c r="F2036" s="100" t="s">
        <v>106</v>
      </c>
      <c r="G2036" s="100"/>
      <c r="H2036" s="100" t="s">
        <v>200</v>
      </c>
    </row>
    <row r="2037" spans="1:8">
      <c r="A2037" s="100" t="str">
        <f>LeaveData[[#This Row],[ EMP ID]]&amp;LeaveData[[#This Row],[Date]]</f>
        <v>20250101845894</v>
      </c>
      <c r="B2037" s="100">
        <v>202501018</v>
      </c>
      <c r="C2037" s="100" t="s">
        <v>1460</v>
      </c>
      <c r="D2037" s="101">
        <v>45894</v>
      </c>
      <c r="E2037" s="100" t="s">
        <v>199</v>
      </c>
      <c r="F2037" s="100" t="s">
        <v>104</v>
      </c>
      <c r="G2037" s="100"/>
      <c r="H2037" s="100" t="s">
        <v>200</v>
      </c>
    </row>
    <row r="2038" spans="1:8">
      <c r="A2038" s="100" t="str">
        <f>LeaveData[[#This Row],[ EMP ID]]&amp;LeaveData[[#This Row],[Date]]</f>
        <v>20250101945897</v>
      </c>
      <c r="B2038" s="100">
        <v>202501019</v>
      </c>
      <c r="C2038" s="100" t="s">
        <v>1461</v>
      </c>
      <c r="D2038" s="101">
        <v>45897</v>
      </c>
      <c r="E2038" s="100" t="s">
        <v>199</v>
      </c>
      <c r="F2038" s="100" t="s">
        <v>27</v>
      </c>
      <c r="G2038" s="100"/>
      <c r="H2038" s="100" t="s">
        <v>200</v>
      </c>
    </row>
    <row r="2039" spans="1:8">
      <c r="A2039" s="100" t="str">
        <f>LeaveData[[#This Row],[ EMP ID]]&amp;LeaveData[[#This Row],[Date]]</f>
        <v>20250100745869</v>
      </c>
      <c r="B2039" s="79">
        <v>202501007</v>
      </c>
      <c r="C2039" s="100" t="s">
        <v>1367</v>
      </c>
      <c r="D2039" s="80">
        <v>45869</v>
      </c>
      <c r="E2039" s="79" t="s">
        <v>195</v>
      </c>
      <c r="F2039" s="79" t="s">
        <v>104</v>
      </c>
      <c r="G2039" s="79"/>
      <c r="H2039" s="79" t="s">
        <v>1431</v>
      </c>
    </row>
    <row r="2040" spans="1:8">
      <c r="A2040" s="100" t="str">
        <f>LeaveData[[#This Row],[ EMP ID]]&amp;LeaveData[[#This Row],[Date]]</f>
        <v>20241803845880</v>
      </c>
      <c r="B2040" s="79">
        <v>202418038</v>
      </c>
      <c r="C2040" s="79" t="s">
        <v>246</v>
      </c>
      <c r="D2040" s="101">
        <v>45880</v>
      </c>
      <c r="E2040" s="100" t="s">
        <v>16</v>
      </c>
      <c r="F2040" s="100" t="s">
        <v>125</v>
      </c>
      <c r="G2040" s="100"/>
      <c r="H2040" s="100" t="s">
        <v>1462</v>
      </c>
    </row>
    <row r="2041" spans="1:8">
      <c r="A2041" s="100" t="str">
        <f>LeaveData[[#This Row],[ EMP ID]]&amp;LeaveData[[#This Row],[Date]]</f>
        <v>20241803845881</v>
      </c>
      <c r="B2041" s="79">
        <v>202418038</v>
      </c>
      <c r="C2041" s="79" t="s">
        <v>246</v>
      </c>
      <c r="D2041" s="101">
        <v>45881</v>
      </c>
      <c r="E2041" s="100" t="s">
        <v>16</v>
      </c>
      <c r="F2041" s="100" t="s">
        <v>125</v>
      </c>
      <c r="G2041" s="100"/>
      <c r="H2041" s="100" t="s">
        <v>1462</v>
      </c>
    </row>
    <row r="2042" spans="1:8">
      <c r="A2042" s="100" t="str">
        <f>LeaveData[[#This Row],[ EMP ID]]&amp;LeaveData[[#This Row],[Date]]</f>
        <v>20241803845882</v>
      </c>
      <c r="B2042" s="79">
        <v>202418038</v>
      </c>
      <c r="C2042" s="79" t="s">
        <v>246</v>
      </c>
      <c r="D2042" s="101">
        <v>45882</v>
      </c>
      <c r="E2042" s="100" t="s">
        <v>16</v>
      </c>
      <c r="F2042" s="100" t="s">
        <v>125</v>
      </c>
      <c r="G2042" s="100"/>
      <c r="H2042" s="100" t="s">
        <v>1462</v>
      </c>
    </row>
    <row r="2043" spans="1:8">
      <c r="A2043" s="79" t="str">
        <f>LeaveData[[#This Row],[ EMP ID]]&amp;LeaveData[[#This Row],[Date]]</f>
        <v>20241803845883</v>
      </c>
      <c r="B2043" s="79">
        <v>202418038</v>
      </c>
      <c r="C2043" s="79" t="s">
        <v>246</v>
      </c>
      <c r="D2043" s="101">
        <v>45883</v>
      </c>
      <c r="E2043" s="100" t="s">
        <v>16</v>
      </c>
      <c r="F2043" s="100" t="s">
        <v>125</v>
      </c>
      <c r="G2043" s="79"/>
      <c r="H2043" s="100" t="s">
        <v>1462</v>
      </c>
    </row>
    <row r="2044" spans="1:8">
      <c r="A2044" s="79" t="str">
        <f>LeaveData[[#This Row],[ EMP ID]]&amp;LeaveData[[#This Row],[Date]]</f>
        <v>20241803845887</v>
      </c>
      <c r="B2044" s="79">
        <v>202418038</v>
      </c>
      <c r="C2044" s="79" t="s">
        <v>246</v>
      </c>
      <c r="D2044" s="101">
        <v>45887</v>
      </c>
      <c r="E2044" s="100" t="s">
        <v>16</v>
      </c>
      <c r="F2044" s="100" t="s">
        <v>125</v>
      </c>
      <c r="G2044" s="79"/>
      <c r="H2044" s="100" t="s">
        <v>1462</v>
      </c>
    </row>
    <row r="2045" spans="1:8">
      <c r="A2045" s="79" t="str">
        <f>LeaveData[[#This Row],[ EMP ID]]&amp;LeaveData[[#This Row],[Date]]</f>
        <v>20241803845888</v>
      </c>
      <c r="B2045" s="79">
        <v>202418038</v>
      </c>
      <c r="C2045" s="79" t="s">
        <v>246</v>
      </c>
      <c r="D2045" s="101">
        <v>45888</v>
      </c>
      <c r="E2045" s="100" t="s">
        <v>16</v>
      </c>
      <c r="F2045" s="100" t="s">
        <v>125</v>
      </c>
      <c r="G2045" s="79"/>
      <c r="H2045" s="100" t="s">
        <v>1462</v>
      </c>
    </row>
    <row r="2046" spans="1:8">
      <c r="A2046" s="79" t="str">
        <f>LeaveData[[#This Row],[ EMP ID]]&amp;LeaveData[[#This Row],[Date]]</f>
        <v>20241803845889</v>
      </c>
      <c r="B2046" s="79">
        <v>202418038</v>
      </c>
      <c r="C2046" s="79" t="s">
        <v>246</v>
      </c>
      <c r="D2046" s="101">
        <v>45889</v>
      </c>
      <c r="E2046" s="100" t="s">
        <v>16</v>
      </c>
      <c r="F2046" s="100" t="s">
        <v>125</v>
      </c>
      <c r="G2046" s="79"/>
      <c r="H2046" s="100" t="s">
        <v>1462</v>
      </c>
    </row>
    <row r="2047" spans="1:8">
      <c r="A2047" s="79" t="str">
        <f>LeaveData[[#This Row],[ EMP ID]]&amp;LeaveData[[#This Row],[Date]]</f>
        <v>20241803845890</v>
      </c>
      <c r="B2047" s="79">
        <v>202418038</v>
      </c>
      <c r="C2047" s="79" t="s">
        <v>246</v>
      </c>
      <c r="D2047" s="101">
        <v>45890</v>
      </c>
      <c r="E2047" s="100" t="s">
        <v>16</v>
      </c>
      <c r="F2047" s="100" t="s">
        <v>125</v>
      </c>
      <c r="G2047" s="79"/>
      <c r="H2047" s="100" t="s">
        <v>1462</v>
      </c>
    </row>
    <row r="2048" spans="1:8">
      <c r="A2048" s="79" t="str">
        <f>LeaveData[[#This Row],[ EMP ID]]&amp;LeaveData[[#This Row],[Date]]</f>
        <v>20241803845891</v>
      </c>
      <c r="B2048" s="79">
        <v>202418038</v>
      </c>
      <c r="C2048" s="79" t="s">
        <v>246</v>
      </c>
      <c r="D2048" s="101">
        <v>45891</v>
      </c>
      <c r="E2048" s="100" t="s">
        <v>16</v>
      </c>
      <c r="F2048" s="100" t="s">
        <v>125</v>
      </c>
      <c r="G2048" s="79"/>
      <c r="H2048" s="100" t="s">
        <v>1462</v>
      </c>
    </row>
    <row r="2049" spans="1:8">
      <c r="A2049" s="79" t="str">
        <f>LeaveData[[#This Row],[ EMP ID]]&amp;LeaveData[[#This Row],[Date]]</f>
        <v>20241803845892</v>
      </c>
      <c r="B2049" s="79">
        <v>202418038</v>
      </c>
      <c r="C2049" s="79" t="s">
        <v>246</v>
      </c>
      <c r="D2049" s="101">
        <v>45892</v>
      </c>
      <c r="E2049" s="100" t="s">
        <v>16</v>
      </c>
      <c r="F2049" s="100" t="s">
        <v>125</v>
      </c>
      <c r="G2049" s="79"/>
      <c r="H2049" s="100" t="s">
        <v>1462</v>
      </c>
    </row>
    <row r="2050" spans="1:8">
      <c r="A2050" s="79" t="str">
        <f>LeaveData[[#This Row],[ EMP ID]]&amp;LeaveData[[#This Row],[Date]]</f>
        <v>20241803845894</v>
      </c>
      <c r="B2050" s="79">
        <v>202418038</v>
      </c>
      <c r="C2050" s="79" t="s">
        <v>246</v>
      </c>
      <c r="D2050" s="101">
        <v>45894</v>
      </c>
      <c r="E2050" s="100" t="s">
        <v>16</v>
      </c>
      <c r="F2050" s="100" t="s">
        <v>125</v>
      </c>
      <c r="G2050" s="79"/>
      <c r="H2050" s="100" t="s">
        <v>1462</v>
      </c>
    </row>
    <row r="2051" spans="1:8">
      <c r="A2051" s="79" t="str">
        <f>LeaveData[[#This Row],[ EMP ID]]&amp;LeaveData[[#This Row],[Date]]</f>
        <v>20241803845895</v>
      </c>
      <c r="B2051" s="79">
        <v>202418038</v>
      </c>
      <c r="C2051" s="79" t="s">
        <v>246</v>
      </c>
      <c r="D2051" s="101">
        <v>45895</v>
      </c>
      <c r="E2051" s="100" t="s">
        <v>16</v>
      </c>
      <c r="F2051" s="100" t="s">
        <v>125</v>
      </c>
      <c r="G2051" s="79"/>
      <c r="H2051" s="100" t="s">
        <v>1462</v>
      </c>
    </row>
    <row r="2052" spans="1:8">
      <c r="A2052" s="79" t="str">
        <f>LeaveData[[#This Row],[ EMP ID]]&amp;LeaveData[[#This Row],[Date]]</f>
        <v>20241803845897</v>
      </c>
      <c r="B2052" s="79">
        <v>202418038</v>
      </c>
      <c r="C2052" s="79" t="s">
        <v>246</v>
      </c>
      <c r="D2052" s="101">
        <v>45897</v>
      </c>
      <c r="E2052" s="100" t="s">
        <v>16</v>
      </c>
      <c r="F2052" s="100" t="s">
        <v>125</v>
      </c>
      <c r="G2052" s="79"/>
      <c r="H2052" s="100" t="s">
        <v>1462</v>
      </c>
    </row>
    <row r="2053" spans="1:8">
      <c r="A2053" s="79" t="str">
        <f>LeaveData[[#This Row],[ EMP ID]]&amp;LeaveData[[#This Row],[Date]]</f>
        <v>20241803845898</v>
      </c>
      <c r="B2053" s="79">
        <v>202418038</v>
      </c>
      <c r="C2053" s="79" t="s">
        <v>246</v>
      </c>
      <c r="D2053" s="101">
        <v>45898</v>
      </c>
      <c r="E2053" s="100" t="s">
        <v>16</v>
      </c>
      <c r="F2053" s="100" t="s">
        <v>125</v>
      </c>
      <c r="G2053" s="79"/>
      <c r="H2053" s="100" t="s">
        <v>1462</v>
      </c>
    </row>
    <row r="2054" spans="1:8">
      <c r="A2054" s="79" t="str">
        <f>LeaveData[[#This Row],[ EMP ID]]&amp;LeaveData[[#This Row],[Date]]</f>
        <v>20241803845899</v>
      </c>
      <c r="B2054" s="79">
        <v>202418038</v>
      </c>
      <c r="C2054" s="79" t="s">
        <v>246</v>
      </c>
      <c r="D2054" s="101">
        <v>45899</v>
      </c>
      <c r="E2054" s="100" t="s">
        <v>16</v>
      </c>
      <c r="F2054" s="100" t="s">
        <v>125</v>
      </c>
      <c r="G2054" s="79"/>
      <c r="H2054" s="100" t="s">
        <v>1462</v>
      </c>
    </row>
    <row r="2055" spans="1:8">
      <c r="A2055" s="79" t="str">
        <f>LeaveData[[#This Row],[ EMP ID]]&amp;LeaveData[[#This Row],[Date]]</f>
        <v>20250101645902</v>
      </c>
      <c r="B2055" s="79">
        <v>202501016</v>
      </c>
      <c r="C2055" s="79" t="s">
        <v>1430</v>
      </c>
      <c r="D2055" s="101">
        <v>45902</v>
      </c>
      <c r="E2055" s="100" t="s">
        <v>16</v>
      </c>
      <c r="F2055" s="100" t="s">
        <v>235</v>
      </c>
      <c r="G2055" s="79"/>
      <c r="H2055" s="100" t="s">
        <v>416</v>
      </c>
    </row>
    <row r="2056" spans="1:8">
      <c r="A2056" s="79" t="str">
        <f>LeaveData[[#This Row],[ EMP ID]]&amp;LeaveData[[#This Row],[Date]]</f>
        <v>20232000745906</v>
      </c>
      <c r="B2056" s="79">
        <v>202320007</v>
      </c>
      <c r="C2056" s="79" t="s">
        <v>183</v>
      </c>
      <c r="D2056" s="101">
        <v>45906</v>
      </c>
      <c r="E2056" s="100" t="s">
        <v>13</v>
      </c>
      <c r="F2056" s="100" t="s">
        <v>104</v>
      </c>
      <c r="G2056" s="79"/>
      <c r="H2056" s="79" t="s">
        <v>1463</v>
      </c>
    </row>
    <row r="2057" spans="1:8">
      <c r="A2057" s="79" t="str">
        <f>LeaveData[[#This Row],[ EMP ID]]&amp;LeaveData[[#This Row],[Date]]</f>
        <v>20231802745902</v>
      </c>
      <c r="B2057" s="79">
        <v>202318027</v>
      </c>
      <c r="C2057" s="79" t="s">
        <v>54</v>
      </c>
      <c r="D2057" s="101">
        <v>45902</v>
      </c>
      <c r="E2057" s="100" t="s">
        <v>16</v>
      </c>
      <c r="F2057" s="100" t="s">
        <v>1365</v>
      </c>
      <c r="G2057" s="79"/>
      <c r="H2057" s="128" t="s">
        <v>1464</v>
      </c>
    </row>
    <row r="2058" spans="1:8">
      <c r="A2058" s="79" t="str">
        <f>LeaveData[[#This Row],[ EMP ID]]&amp;LeaveData[[#This Row],[Date]]</f>
        <v>20231802345903</v>
      </c>
      <c r="B2058" s="92">
        <v>202318023</v>
      </c>
      <c r="C2058" s="122" t="s">
        <v>148</v>
      </c>
      <c r="D2058" s="101">
        <v>45903</v>
      </c>
      <c r="E2058" s="100" t="s">
        <v>12</v>
      </c>
      <c r="F2058" s="100" t="s">
        <v>128</v>
      </c>
      <c r="G2058" s="79"/>
      <c r="H2058" s="128" t="s">
        <v>140</v>
      </c>
    </row>
    <row r="2059" spans="1:8">
      <c r="A2059" s="79" t="str">
        <f>LeaveData[[#This Row],[ EMP ID]]&amp;LeaveData[[#This Row],[Date]]</f>
        <v>20250101245903</v>
      </c>
      <c r="B2059" s="79">
        <v>202501012</v>
      </c>
      <c r="C2059" s="79" t="s">
        <v>1394</v>
      </c>
      <c r="D2059" s="101">
        <v>45903</v>
      </c>
      <c r="E2059" s="100" t="s">
        <v>12</v>
      </c>
      <c r="F2059" s="100" t="s">
        <v>125</v>
      </c>
      <c r="G2059" s="79"/>
      <c r="H2059" s="79" t="s">
        <v>140</v>
      </c>
    </row>
    <row r="2060" spans="1:8">
      <c r="A2060" s="79" t="str">
        <f>LeaveData[[#This Row],[ EMP ID]]&amp;LeaveData[[#This Row],[Date]]</f>
        <v>20250101245904</v>
      </c>
      <c r="B2060" s="79">
        <v>202501012</v>
      </c>
      <c r="C2060" s="79" t="s">
        <v>1394</v>
      </c>
      <c r="D2060" s="101">
        <v>45904</v>
      </c>
      <c r="E2060" s="100" t="s">
        <v>12</v>
      </c>
      <c r="F2060" s="100" t="s">
        <v>125</v>
      </c>
      <c r="G2060" s="79"/>
      <c r="H2060" s="100" t="s">
        <v>140</v>
      </c>
    </row>
    <row r="2061" spans="1:8">
      <c r="A2061" s="79" t="str">
        <f>LeaveData[[#This Row],[ EMP ID]]&amp;LeaveData[[#This Row],[Date]]</f>
        <v>20250101245905</v>
      </c>
      <c r="B2061" s="79">
        <v>202501012</v>
      </c>
      <c r="C2061" s="79" t="s">
        <v>1394</v>
      </c>
      <c r="D2061" s="101">
        <v>45905</v>
      </c>
      <c r="E2061" s="100" t="s">
        <v>12</v>
      </c>
      <c r="F2061" s="100" t="s">
        <v>125</v>
      </c>
      <c r="G2061" s="79"/>
      <c r="H2061" s="100" t="s">
        <v>140</v>
      </c>
    </row>
    <row r="2062" spans="1:8">
      <c r="A2062" s="79" t="str">
        <f>LeaveData[[#This Row],[ EMP ID]]&amp;LeaveData[[#This Row],[Date]]</f>
        <v>20250101245906</v>
      </c>
      <c r="B2062" s="79">
        <v>202501012</v>
      </c>
      <c r="C2062" s="79" t="s">
        <v>1394</v>
      </c>
      <c r="D2062" s="101">
        <v>45906</v>
      </c>
      <c r="E2062" s="100" t="s">
        <v>13</v>
      </c>
      <c r="F2062" s="100" t="s">
        <v>125</v>
      </c>
      <c r="G2062" s="79"/>
      <c r="H2062" s="100" t="s">
        <v>1525</v>
      </c>
    </row>
    <row r="2063" spans="1:8">
      <c r="A2063" s="79" t="str">
        <f>LeaveData[[#This Row],[ EMP ID]]&amp;LeaveData[[#This Row],[Date]]</f>
        <v>20221800945904</v>
      </c>
      <c r="B2063" s="92">
        <v>202218009</v>
      </c>
      <c r="C2063" s="122" t="s">
        <v>26</v>
      </c>
      <c r="D2063" s="101">
        <v>45904</v>
      </c>
      <c r="E2063" s="100" t="s">
        <v>12</v>
      </c>
      <c r="F2063" s="79" t="s">
        <v>128</v>
      </c>
      <c r="G2063" s="79"/>
      <c r="H2063" s="79" t="s">
        <v>132</v>
      </c>
    </row>
    <row r="2064" spans="1:8">
      <c r="A2064" s="79" t="str">
        <f>LeaveData[[#This Row],[ EMP ID]]&amp;LeaveData[[#This Row],[Date]]</f>
        <v>20242100245904</v>
      </c>
      <c r="B2064" s="124">
        <v>202421002</v>
      </c>
      <c r="C2064" s="122" t="s">
        <v>223</v>
      </c>
      <c r="D2064" s="101">
        <v>45904</v>
      </c>
      <c r="E2064" s="79" t="s">
        <v>13</v>
      </c>
      <c r="F2064" s="79" t="s">
        <v>29</v>
      </c>
      <c r="G2064" s="79"/>
      <c r="H2064" s="126" t="s">
        <v>1465</v>
      </c>
    </row>
    <row r="2065" spans="1:8">
      <c r="A2065" s="79" t="str">
        <f>LeaveData[[#This Row],[ EMP ID]]&amp;LeaveData[[#This Row],[Date]]</f>
        <v>20231801945904</v>
      </c>
      <c r="B2065" s="79">
        <v>202318019</v>
      </c>
      <c r="C2065" s="79" t="s">
        <v>89</v>
      </c>
      <c r="D2065" s="101">
        <v>45904</v>
      </c>
      <c r="E2065" s="79" t="s">
        <v>16</v>
      </c>
      <c r="F2065" s="79" t="s">
        <v>45</v>
      </c>
      <c r="G2065" s="79"/>
      <c r="H2065" s="79" t="s">
        <v>132</v>
      </c>
    </row>
    <row r="2066" spans="1:8">
      <c r="A2066" s="79" t="str">
        <f>LeaveData[[#This Row],[ EMP ID]]&amp;LeaveData[[#This Row],[Date]]</f>
        <v>20251804345906</v>
      </c>
      <c r="B2066" s="92">
        <v>202518043</v>
      </c>
      <c r="C2066" s="122" t="s">
        <v>403</v>
      </c>
      <c r="D2066" s="101">
        <v>45906</v>
      </c>
      <c r="E2066" s="79" t="s">
        <v>16</v>
      </c>
      <c r="F2066" s="79" t="s">
        <v>43</v>
      </c>
      <c r="G2066" s="79"/>
      <c r="H2066" s="79" t="s">
        <v>1466</v>
      </c>
    </row>
    <row r="2067" spans="1:8">
      <c r="A2067" s="79" t="str">
        <f>LeaveData[[#This Row],[ EMP ID]]&amp;LeaveData[[#This Row],[Date]]</f>
        <v>20242101845905</v>
      </c>
      <c r="B2067" s="92">
        <v>202421018</v>
      </c>
      <c r="C2067" s="122" t="s">
        <v>378</v>
      </c>
      <c r="D2067" s="101">
        <v>45905</v>
      </c>
      <c r="E2067" s="79" t="s">
        <v>13</v>
      </c>
      <c r="F2067" s="79" t="s">
        <v>29</v>
      </c>
      <c r="G2067" s="79"/>
      <c r="H2067" s="126" t="s">
        <v>1467</v>
      </c>
    </row>
    <row r="2068" spans="1:8">
      <c r="A2068" s="79" t="str">
        <f>LeaveData[[#This Row],[ EMP ID]]&amp;LeaveData[[#This Row],[Date]]</f>
        <v>20250102045908</v>
      </c>
      <c r="B2068" s="92">
        <v>202501020</v>
      </c>
      <c r="C2068" s="122" t="s">
        <v>1468</v>
      </c>
      <c r="D2068" s="101">
        <v>45908</v>
      </c>
      <c r="E2068" s="79" t="s">
        <v>199</v>
      </c>
      <c r="F2068" s="79" t="s">
        <v>125</v>
      </c>
      <c r="G2068" s="79"/>
      <c r="H2068" s="79" t="s">
        <v>200</v>
      </c>
    </row>
    <row r="2069" spans="1:8">
      <c r="A2069" s="79" t="str">
        <f>LeaveData[[#This Row],[ EMP ID]]&amp;LeaveData[[#This Row],[Date]]</f>
        <v>20231802345909</v>
      </c>
      <c r="B2069" s="79" t="s">
        <v>1469</v>
      </c>
      <c r="C2069" s="79" t="s">
        <v>148</v>
      </c>
      <c r="D2069" s="101">
        <v>45909</v>
      </c>
      <c r="E2069" s="79" t="s">
        <v>14</v>
      </c>
      <c r="F2069" s="79" t="s">
        <v>128</v>
      </c>
      <c r="G2069" s="79"/>
      <c r="H2069" s="79" t="s">
        <v>1470</v>
      </c>
    </row>
    <row r="2070" spans="1:8">
      <c r="A2070" s="79" t="str">
        <f>LeaveData[[#This Row],[ EMP ID]]&amp;LeaveData[[#This Row],[Date]]</f>
        <v>20242100445908</v>
      </c>
      <c r="B2070" s="79" t="s">
        <v>1471</v>
      </c>
      <c r="C2070" s="79" t="s">
        <v>270</v>
      </c>
      <c r="D2070" s="101">
        <v>45908</v>
      </c>
      <c r="E2070" s="79" t="s">
        <v>16</v>
      </c>
      <c r="F2070" s="79" t="s">
        <v>29</v>
      </c>
      <c r="G2070" s="79"/>
      <c r="H2070" s="79" t="s">
        <v>1472</v>
      </c>
    </row>
    <row r="2071" spans="1:8">
      <c r="A2071" s="79" t="str">
        <f>LeaveData[[#This Row],[ EMP ID]]&amp;LeaveData[[#This Row],[Date]]</f>
        <v>20242100445909</v>
      </c>
      <c r="B2071" s="79" t="s">
        <v>1471</v>
      </c>
      <c r="C2071" s="79" t="s">
        <v>270</v>
      </c>
      <c r="D2071" s="101">
        <v>45909</v>
      </c>
      <c r="E2071" s="79" t="s">
        <v>16</v>
      </c>
      <c r="F2071" s="79" t="s">
        <v>29</v>
      </c>
      <c r="G2071" s="79"/>
      <c r="H2071" s="79" t="s">
        <v>1472</v>
      </c>
    </row>
    <row r="2072" spans="1:8">
      <c r="A2072" s="79" t="str">
        <f>LeaveData[[#This Row],[ EMP ID]]&amp;LeaveData[[#This Row],[Date]]</f>
        <v>20231802845909</v>
      </c>
      <c r="B2072" s="79" t="s">
        <v>1473</v>
      </c>
      <c r="C2072" s="79" t="s">
        <v>57</v>
      </c>
      <c r="D2072" s="101">
        <v>45909</v>
      </c>
      <c r="E2072" s="79" t="s">
        <v>12</v>
      </c>
      <c r="F2072" s="79" t="s">
        <v>104</v>
      </c>
      <c r="G2072" s="79"/>
      <c r="H2072" s="79" t="s">
        <v>140</v>
      </c>
    </row>
    <row r="2073" spans="1:8">
      <c r="A2073" s="79" t="str">
        <f>LeaveData[[#This Row],[ EMP ID]]&amp;LeaveData[[#This Row],[Date]]</f>
        <v>20242100145926</v>
      </c>
      <c r="B2073" s="92">
        <v>202421001</v>
      </c>
      <c r="C2073" s="122" t="s">
        <v>221</v>
      </c>
      <c r="D2073" s="101">
        <v>45926</v>
      </c>
      <c r="E2073" s="79" t="s">
        <v>16</v>
      </c>
      <c r="F2073" s="79" t="s">
        <v>29</v>
      </c>
      <c r="G2073" s="79"/>
      <c r="H2073" s="79" t="s">
        <v>415</v>
      </c>
    </row>
    <row r="2074" spans="1:8">
      <c r="A2074" s="79" t="str">
        <f>LeaveData[[#This Row],[ EMP ID]]&amp;LeaveData[[#This Row],[Date]]</f>
        <v>20242100145927</v>
      </c>
      <c r="B2074" s="92">
        <v>202421001</v>
      </c>
      <c r="C2074" s="122" t="s">
        <v>221</v>
      </c>
      <c r="D2074" s="101">
        <v>45927</v>
      </c>
      <c r="E2074" s="79" t="s">
        <v>16</v>
      </c>
      <c r="F2074" s="79" t="s">
        <v>29</v>
      </c>
      <c r="G2074" s="79"/>
      <c r="H2074" s="79" t="s">
        <v>415</v>
      </c>
    </row>
    <row r="2075" spans="1:8">
      <c r="A2075" s="79" t="str">
        <f>LeaveData[[#This Row],[ EMP ID]]&amp;LeaveData[[#This Row],[Date]]</f>
        <v>20242100145929</v>
      </c>
      <c r="B2075" s="92">
        <v>202421001</v>
      </c>
      <c r="C2075" s="122" t="s">
        <v>221</v>
      </c>
      <c r="D2075" s="101">
        <v>45929</v>
      </c>
      <c r="E2075" s="79" t="s">
        <v>16</v>
      </c>
      <c r="F2075" s="79" t="s">
        <v>29</v>
      </c>
      <c r="G2075" s="79"/>
      <c r="H2075" s="79" t="s">
        <v>415</v>
      </c>
    </row>
    <row r="2076" spans="1:8">
      <c r="A2076" s="79" t="str">
        <f>LeaveData[[#This Row],[ EMP ID]]&amp;LeaveData[[#This Row],[Date]]</f>
        <v>20242100145930</v>
      </c>
      <c r="B2076" s="92">
        <v>202421001</v>
      </c>
      <c r="C2076" s="122" t="s">
        <v>221</v>
      </c>
      <c r="D2076" s="101">
        <v>45930</v>
      </c>
      <c r="E2076" s="79" t="s">
        <v>16</v>
      </c>
      <c r="F2076" s="79" t="s">
        <v>29</v>
      </c>
      <c r="G2076" s="79"/>
      <c r="H2076" s="79" t="s">
        <v>415</v>
      </c>
    </row>
    <row r="2077" spans="1:8">
      <c r="A2077" s="79" t="str">
        <f>LeaveData[[#This Row],[ EMP ID]]&amp;LeaveData[[#This Row],[Date]]</f>
        <v>20242100145931</v>
      </c>
      <c r="B2077" s="92">
        <v>202421001</v>
      </c>
      <c r="C2077" s="122" t="s">
        <v>221</v>
      </c>
      <c r="D2077" s="101">
        <v>45931</v>
      </c>
      <c r="E2077" s="79" t="s">
        <v>16</v>
      </c>
      <c r="F2077" s="79" t="s">
        <v>29</v>
      </c>
      <c r="G2077" s="79"/>
      <c r="H2077" s="79" t="s">
        <v>415</v>
      </c>
    </row>
    <row r="2078" spans="1:8">
      <c r="A2078" s="79" t="str">
        <f>LeaveData[[#This Row],[ EMP ID]]&amp;LeaveData[[#This Row],[Date]]</f>
        <v>20242100145933</v>
      </c>
      <c r="B2078" s="92">
        <v>202421001</v>
      </c>
      <c r="C2078" s="122" t="s">
        <v>221</v>
      </c>
      <c r="D2078" s="101">
        <v>45933</v>
      </c>
      <c r="E2078" s="79" t="s">
        <v>16</v>
      </c>
      <c r="F2078" s="79" t="s">
        <v>29</v>
      </c>
      <c r="G2078" s="79"/>
      <c r="H2078" s="79" t="s">
        <v>415</v>
      </c>
    </row>
    <row r="2079" spans="1:8">
      <c r="A2079" s="79" t="str">
        <f>LeaveData[[#This Row],[ EMP ID]]&amp;LeaveData[[#This Row],[Date]]</f>
        <v>20242100145934</v>
      </c>
      <c r="B2079" s="92">
        <v>202421001</v>
      </c>
      <c r="C2079" s="122" t="s">
        <v>221</v>
      </c>
      <c r="D2079" s="101">
        <v>45934</v>
      </c>
      <c r="E2079" s="79" t="s">
        <v>16</v>
      </c>
      <c r="F2079" s="79" t="s">
        <v>29</v>
      </c>
      <c r="G2079" s="79"/>
      <c r="H2079" s="79" t="s">
        <v>415</v>
      </c>
    </row>
    <row r="2080" spans="1:8">
      <c r="A2080" s="79" t="str">
        <f>LeaveData[[#This Row],[ EMP ID]]&amp;LeaveData[[#This Row],[Date]]</f>
        <v>20242100145936</v>
      </c>
      <c r="B2080" s="92">
        <v>202421001</v>
      </c>
      <c r="C2080" s="122" t="s">
        <v>221</v>
      </c>
      <c r="D2080" s="101">
        <v>45936</v>
      </c>
      <c r="E2080" s="79" t="s">
        <v>16</v>
      </c>
      <c r="F2080" s="79" t="s">
        <v>29</v>
      </c>
      <c r="G2080" s="79"/>
      <c r="H2080" s="79" t="s">
        <v>415</v>
      </c>
    </row>
    <row r="2081" spans="1:8">
      <c r="A2081" s="79" t="str">
        <f>LeaveData[[#This Row],[ EMP ID]]&amp;LeaveData[[#This Row],[Date]]</f>
        <v>20242100145937</v>
      </c>
      <c r="B2081" s="92">
        <v>202421001</v>
      </c>
      <c r="C2081" s="122" t="s">
        <v>221</v>
      </c>
      <c r="D2081" s="101">
        <v>45937</v>
      </c>
      <c r="E2081" s="79" t="s">
        <v>16</v>
      </c>
      <c r="F2081" s="79" t="s">
        <v>29</v>
      </c>
      <c r="G2081" s="79"/>
      <c r="H2081" s="79" t="s">
        <v>415</v>
      </c>
    </row>
    <row r="2082" spans="1:8">
      <c r="A2082" s="79" t="str">
        <f>LeaveData[[#This Row],[ EMP ID]]&amp;LeaveData[[#This Row],[Date]]</f>
        <v>20242100145938</v>
      </c>
      <c r="B2082" s="92">
        <v>202421001</v>
      </c>
      <c r="C2082" s="122" t="s">
        <v>221</v>
      </c>
      <c r="D2082" s="101">
        <v>45938</v>
      </c>
      <c r="E2082" s="79" t="s">
        <v>16</v>
      </c>
      <c r="F2082" s="79" t="s">
        <v>29</v>
      </c>
      <c r="G2082" s="79"/>
      <c r="H2082" s="79" t="s">
        <v>415</v>
      </c>
    </row>
    <row r="2083" spans="1:8">
      <c r="A2083" s="79" t="str">
        <f>LeaveData[[#This Row],[ EMP ID]]&amp;LeaveData[[#This Row],[Date]]</f>
        <v>20242100145939</v>
      </c>
      <c r="B2083" s="92">
        <v>202421001</v>
      </c>
      <c r="C2083" s="122" t="s">
        <v>221</v>
      </c>
      <c r="D2083" s="101">
        <v>45939</v>
      </c>
      <c r="E2083" s="79" t="s">
        <v>16</v>
      </c>
      <c r="F2083" s="79" t="s">
        <v>29</v>
      </c>
      <c r="G2083" s="79"/>
      <c r="H2083" s="79" t="s">
        <v>415</v>
      </c>
    </row>
    <row r="2084" spans="1:8">
      <c r="A2084" s="79" t="str">
        <f>LeaveData[[#This Row],[ EMP ID]]&amp;LeaveData[[#This Row],[Date]]</f>
        <v>20242100145940</v>
      </c>
      <c r="B2084" s="92">
        <v>202421001</v>
      </c>
      <c r="C2084" s="122" t="s">
        <v>221</v>
      </c>
      <c r="D2084" s="101">
        <v>45940</v>
      </c>
      <c r="E2084" s="79" t="s">
        <v>16</v>
      </c>
      <c r="F2084" s="79" t="s">
        <v>29</v>
      </c>
      <c r="G2084" s="79"/>
      <c r="H2084" s="79" t="s">
        <v>415</v>
      </c>
    </row>
    <row r="2085" spans="1:8">
      <c r="A2085" s="79" t="str">
        <f>LeaveData[[#This Row],[ EMP ID]]&amp;LeaveData[[#This Row],[Date]]</f>
        <v>20242100145943</v>
      </c>
      <c r="B2085" s="92">
        <v>202421001</v>
      </c>
      <c r="C2085" s="122" t="s">
        <v>221</v>
      </c>
      <c r="D2085" s="101">
        <v>45943</v>
      </c>
      <c r="E2085" s="79" t="s">
        <v>16</v>
      </c>
      <c r="F2085" s="79" t="s">
        <v>29</v>
      </c>
      <c r="G2085" s="79"/>
      <c r="H2085" s="79" t="s">
        <v>415</v>
      </c>
    </row>
    <row r="2086" spans="1:8">
      <c r="A2086" s="79" t="str">
        <f>LeaveData[[#This Row],[ EMP ID]]&amp;LeaveData[[#This Row],[Date]]</f>
        <v>20242100145944</v>
      </c>
      <c r="B2086" s="92">
        <v>202421001</v>
      </c>
      <c r="C2086" s="122" t="s">
        <v>221</v>
      </c>
      <c r="D2086" s="101">
        <v>45944</v>
      </c>
      <c r="E2086" s="79" t="s">
        <v>16</v>
      </c>
      <c r="F2086" s="79" t="s">
        <v>29</v>
      </c>
      <c r="G2086" s="79"/>
      <c r="H2086" s="79" t="s">
        <v>415</v>
      </c>
    </row>
    <row r="2087" spans="1:8">
      <c r="A2087" s="79" t="str">
        <f>LeaveData[[#This Row],[ EMP ID]]&amp;LeaveData[[#This Row],[Date]]</f>
        <v>20242100145945</v>
      </c>
      <c r="B2087" s="92">
        <v>202421001</v>
      </c>
      <c r="C2087" s="122" t="s">
        <v>221</v>
      </c>
      <c r="D2087" s="101">
        <v>45945</v>
      </c>
      <c r="E2087" s="79" t="s">
        <v>16</v>
      </c>
      <c r="F2087" s="79" t="s">
        <v>29</v>
      </c>
      <c r="G2087" s="79"/>
      <c r="H2087" s="79" t="s">
        <v>415</v>
      </c>
    </row>
    <row r="2088" spans="1:8">
      <c r="A2088" s="79" t="str">
        <f>LeaveData[[#This Row],[ EMP ID]]&amp;LeaveData[[#This Row],[Date]]</f>
        <v>20242100145946</v>
      </c>
      <c r="B2088" s="92">
        <v>202421001</v>
      </c>
      <c r="C2088" s="122" t="s">
        <v>221</v>
      </c>
      <c r="D2088" s="101">
        <v>45946</v>
      </c>
      <c r="E2088" s="79" t="s">
        <v>16</v>
      </c>
      <c r="F2088" s="79" t="s">
        <v>29</v>
      </c>
      <c r="G2088" s="79"/>
      <c r="H2088" s="79" t="s">
        <v>415</v>
      </c>
    </row>
    <row r="2089" spans="1:8">
      <c r="A2089" s="79" t="str">
        <f>LeaveData[[#This Row],[ EMP ID]]&amp;LeaveData[[#This Row],[Date]]</f>
        <v>20242100145947</v>
      </c>
      <c r="B2089" s="92">
        <v>202421001</v>
      </c>
      <c r="C2089" s="122" t="s">
        <v>221</v>
      </c>
      <c r="D2089" s="101">
        <v>45947</v>
      </c>
      <c r="E2089" s="79" t="s">
        <v>16</v>
      </c>
      <c r="F2089" s="79" t="s">
        <v>29</v>
      </c>
      <c r="G2089" s="79"/>
      <c r="H2089" s="79" t="s">
        <v>415</v>
      </c>
    </row>
    <row r="2090" spans="1:8">
      <c r="A2090" s="79" t="str">
        <f>LeaveData[[#This Row],[ EMP ID]]&amp;LeaveData[[#This Row],[Date]]</f>
        <v>20242100145948</v>
      </c>
      <c r="B2090" s="92">
        <v>202421001</v>
      </c>
      <c r="C2090" s="122" t="s">
        <v>221</v>
      </c>
      <c r="D2090" s="101">
        <v>45948</v>
      </c>
      <c r="E2090" s="79" t="s">
        <v>16</v>
      </c>
      <c r="F2090" s="79" t="s">
        <v>29</v>
      </c>
      <c r="G2090" s="79"/>
      <c r="H2090" s="79" t="s">
        <v>415</v>
      </c>
    </row>
    <row r="2091" spans="1:8">
      <c r="A2091" s="79" t="str">
        <f>LeaveData[[#This Row],[ EMP ID]]&amp;LeaveData[[#This Row],[Date]]</f>
        <v>20242100145949</v>
      </c>
      <c r="B2091" s="92">
        <v>202421001</v>
      </c>
      <c r="C2091" s="122" t="s">
        <v>221</v>
      </c>
      <c r="D2091" s="101">
        <v>45949</v>
      </c>
      <c r="E2091" s="79" t="s">
        <v>16</v>
      </c>
      <c r="F2091" s="79" t="s">
        <v>29</v>
      </c>
      <c r="G2091" s="79"/>
      <c r="H2091" s="79" t="s">
        <v>415</v>
      </c>
    </row>
    <row r="2092" spans="1:8">
      <c r="A2092" s="79" t="str">
        <f>LeaveData[[#This Row],[ EMP ID]]&amp;LeaveData[[#This Row],[Date]]</f>
        <v>20242100145950</v>
      </c>
      <c r="B2092" s="92">
        <v>202421001</v>
      </c>
      <c r="C2092" s="122" t="s">
        <v>221</v>
      </c>
      <c r="D2092" s="101">
        <v>45950</v>
      </c>
      <c r="E2092" s="79" t="s">
        <v>16</v>
      </c>
      <c r="F2092" s="79" t="s">
        <v>29</v>
      </c>
      <c r="G2092" s="79"/>
      <c r="H2092" s="79" t="s">
        <v>415</v>
      </c>
    </row>
    <row r="2093" spans="1:8">
      <c r="A2093" s="79" t="str">
        <f>LeaveData[[#This Row],[ EMP ID]]&amp;LeaveData[[#This Row],[Date]]</f>
        <v>20242100145957</v>
      </c>
      <c r="B2093" s="92">
        <v>202421001</v>
      </c>
      <c r="C2093" s="122" t="s">
        <v>221</v>
      </c>
      <c r="D2093" s="101">
        <v>45957</v>
      </c>
      <c r="E2093" s="79" t="s">
        <v>16</v>
      </c>
      <c r="F2093" s="79" t="s">
        <v>29</v>
      </c>
      <c r="G2093" s="79"/>
      <c r="H2093" s="79" t="s">
        <v>415</v>
      </c>
    </row>
    <row r="2094" spans="1:8">
      <c r="A2094" s="79" t="str">
        <f>LeaveData[[#This Row],[ EMP ID]]&amp;LeaveData[[#This Row],[Date]]</f>
        <v>20242100145958</v>
      </c>
      <c r="B2094" s="92">
        <v>202421001</v>
      </c>
      <c r="C2094" s="122" t="s">
        <v>221</v>
      </c>
      <c r="D2094" s="101">
        <v>45958</v>
      </c>
      <c r="E2094" s="79" t="s">
        <v>16</v>
      </c>
      <c r="F2094" s="79" t="s">
        <v>29</v>
      </c>
      <c r="G2094" s="79"/>
      <c r="H2094" s="79" t="s">
        <v>415</v>
      </c>
    </row>
    <row r="2095" spans="1:8">
      <c r="A2095" s="79" t="str">
        <f>LeaveData[[#This Row],[ EMP ID]]&amp;LeaveData[[#This Row],[Date]]</f>
        <v>20242100145959</v>
      </c>
      <c r="B2095" s="92">
        <v>202421001</v>
      </c>
      <c r="C2095" s="122" t="s">
        <v>221</v>
      </c>
      <c r="D2095" s="101">
        <v>45959</v>
      </c>
      <c r="E2095" s="79" t="s">
        <v>16</v>
      </c>
      <c r="F2095" s="79" t="s">
        <v>29</v>
      </c>
      <c r="G2095" s="79"/>
      <c r="H2095" s="79" t="s">
        <v>415</v>
      </c>
    </row>
    <row r="2096" spans="1:8">
      <c r="A2096" s="79" t="str">
        <f>LeaveData[[#This Row],[ EMP ID]]&amp;LeaveData[[#This Row],[Date]]</f>
        <v>20242100145960</v>
      </c>
      <c r="B2096" s="92">
        <v>202421001</v>
      </c>
      <c r="C2096" s="122" t="s">
        <v>221</v>
      </c>
      <c r="D2096" s="101">
        <v>45960</v>
      </c>
      <c r="E2096" s="79" t="s">
        <v>16</v>
      </c>
      <c r="F2096" s="79" t="s">
        <v>29</v>
      </c>
      <c r="G2096" s="79"/>
      <c r="H2096" s="79" t="s">
        <v>415</v>
      </c>
    </row>
    <row r="2097" spans="1:8">
      <c r="A2097" s="79" t="str">
        <f>LeaveData[[#This Row],[ EMP ID]]&amp;LeaveData[[#This Row],[Date]]</f>
        <v>20242100145961</v>
      </c>
      <c r="B2097" s="92">
        <v>202421001</v>
      </c>
      <c r="C2097" s="122" t="s">
        <v>221</v>
      </c>
      <c r="D2097" s="101">
        <v>45961</v>
      </c>
      <c r="E2097" s="79" t="s">
        <v>16</v>
      </c>
      <c r="F2097" s="79" t="s">
        <v>29</v>
      </c>
      <c r="G2097" s="79"/>
      <c r="H2097" s="79" t="s">
        <v>415</v>
      </c>
    </row>
    <row r="2098" spans="1:8">
      <c r="A2098" s="79" t="str">
        <f>LeaveData[[#This Row],[ EMP ID]]&amp;LeaveData[[#This Row],[Date]]</f>
        <v>20242100145962</v>
      </c>
      <c r="B2098" s="92">
        <v>202421001</v>
      </c>
      <c r="C2098" s="122" t="s">
        <v>221</v>
      </c>
      <c r="D2098" s="101">
        <v>45962</v>
      </c>
      <c r="E2098" s="79" t="s">
        <v>16</v>
      </c>
      <c r="F2098" s="79" t="s">
        <v>29</v>
      </c>
      <c r="G2098" s="79"/>
      <c r="H2098" s="79" t="s">
        <v>415</v>
      </c>
    </row>
    <row r="2099" spans="1:8">
      <c r="A2099" s="79" t="str">
        <f>LeaveData[[#This Row],[ EMP ID]]&amp;LeaveData[[#This Row],[Date]]</f>
        <v>20242100145963</v>
      </c>
      <c r="B2099" s="92">
        <v>202421001</v>
      </c>
      <c r="C2099" s="122" t="s">
        <v>221</v>
      </c>
      <c r="D2099" s="101">
        <v>45963</v>
      </c>
      <c r="E2099" s="79" t="s">
        <v>16</v>
      </c>
      <c r="F2099" s="79" t="s">
        <v>29</v>
      </c>
      <c r="G2099" s="79"/>
      <c r="H2099" s="79" t="s">
        <v>415</v>
      </c>
    </row>
    <row r="2100" spans="1:8">
      <c r="A2100" s="79" t="str">
        <f>LeaveData[[#This Row],[ EMP ID]]&amp;LeaveData[[#This Row],[Date]]</f>
        <v>20242100145964</v>
      </c>
      <c r="B2100" s="92">
        <v>202421001</v>
      </c>
      <c r="C2100" s="122" t="s">
        <v>221</v>
      </c>
      <c r="D2100" s="101">
        <v>45964</v>
      </c>
      <c r="E2100" s="79" t="s">
        <v>16</v>
      </c>
      <c r="F2100" s="79" t="s">
        <v>29</v>
      </c>
      <c r="G2100" s="79"/>
      <c r="H2100" s="79" t="s">
        <v>415</v>
      </c>
    </row>
    <row r="2101" spans="1:8">
      <c r="A2101" s="79" t="str">
        <f>LeaveData[[#This Row],[ EMP ID]]&amp;LeaveData[[#This Row],[Date]]</f>
        <v>20242100145965</v>
      </c>
      <c r="B2101" s="92">
        <v>202421001</v>
      </c>
      <c r="C2101" s="122" t="s">
        <v>221</v>
      </c>
      <c r="D2101" s="101">
        <v>45965</v>
      </c>
      <c r="E2101" s="79" t="s">
        <v>16</v>
      </c>
      <c r="F2101" s="79" t="s">
        <v>29</v>
      </c>
      <c r="G2101" s="79"/>
      <c r="H2101" s="79" t="s">
        <v>415</v>
      </c>
    </row>
    <row r="2102" spans="1:8">
      <c r="A2102" s="79" t="str">
        <f>LeaveData[[#This Row],[ EMP ID]]&amp;LeaveData[[#This Row],[Date]]</f>
        <v>20242100145966</v>
      </c>
      <c r="B2102" s="92">
        <v>202421001</v>
      </c>
      <c r="C2102" s="122" t="s">
        <v>221</v>
      </c>
      <c r="D2102" s="101">
        <v>45966</v>
      </c>
      <c r="E2102" s="79" t="s">
        <v>16</v>
      </c>
      <c r="F2102" s="79" t="s">
        <v>29</v>
      </c>
      <c r="G2102" s="79"/>
      <c r="H2102" s="79" t="s">
        <v>415</v>
      </c>
    </row>
    <row r="2103" spans="1:8">
      <c r="A2103" s="79" t="str">
        <f>LeaveData[[#This Row],[ EMP ID]]&amp;LeaveData[[#This Row],[Date]]</f>
        <v>20242100145967</v>
      </c>
      <c r="B2103" s="92">
        <v>202421001</v>
      </c>
      <c r="C2103" s="122" t="s">
        <v>221</v>
      </c>
      <c r="D2103" s="101">
        <v>45967</v>
      </c>
      <c r="E2103" s="79" t="s">
        <v>16</v>
      </c>
      <c r="F2103" s="79" t="s">
        <v>29</v>
      </c>
      <c r="G2103" s="79"/>
      <c r="H2103" s="79" t="s">
        <v>415</v>
      </c>
    </row>
    <row r="2104" spans="1:8">
      <c r="A2104" s="79" t="str">
        <f>LeaveData[[#This Row],[ EMP ID]]&amp;LeaveData[[#This Row],[Date]]</f>
        <v>20242100145968</v>
      </c>
      <c r="B2104" s="92">
        <v>202421001</v>
      </c>
      <c r="C2104" s="122" t="s">
        <v>221</v>
      </c>
      <c r="D2104" s="101">
        <v>45968</v>
      </c>
      <c r="E2104" s="79" t="s">
        <v>16</v>
      </c>
      <c r="F2104" s="79" t="s">
        <v>29</v>
      </c>
      <c r="G2104" s="79"/>
      <c r="H2104" s="79" t="s">
        <v>415</v>
      </c>
    </row>
    <row r="2105" spans="1:8">
      <c r="A2105" s="79" t="str">
        <f>LeaveData[[#This Row],[ EMP ID]]&amp;LeaveData[[#This Row],[Date]]</f>
        <v>20242100245926</v>
      </c>
      <c r="B2105" s="124">
        <v>202421002</v>
      </c>
      <c r="C2105" s="122" t="s">
        <v>223</v>
      </c>
      <c r="D2105" s="101">
        <v>45926</v>
      </c>
      <c r="E2105" s="79" t="s">
        <v>16</v>
      </c>
      <c r="F2105" s="79" t="s">
        <v>29</v>
      </c>
      <c r="G2105" s="79"/>
      <c r="H2105" s="79" t="s">
        <v>415</v>
      </c>
    </row>
    <row r="2106" spans="1:8">
      <c r="A2106" s="79" t="str">
        <f>LeaveData[[#This Row],[ EMP ID]]&amp;LeaveData[[#This Row],[Date]]</f>
        <v>20242100245927</v>
      </c>
      <c r="B2106" s="124">
        <v>202421002</v>
      </c>
      <c r="C2106" s="122" t="s">
        <v>223</v>
      </c>
      <c r="D2106" s="101">
        <v>45927</v>
      </c>
      <c r="E2106" s="79" t="s">
        <v>16</v>
      </c>
      <c r="F2106" s="79" t="s">
        <v>29</v>
      </c>
      <c r="G2106" s="79"/>
      <c r="H2106" s="79" t="s">
        <v>415</v>
      </c>
    </row>
    <row r="2107" spans="1:8">
      <c r="A2107" s="79" t="str">
        <f>LeaveData[[#This Row],[ EMP ID]]&amp;LeaveData[[#This Row],[Date]]</f>
        <v>20242100245929</v>
      </c>
      <c r="B2107" s="124">
        <v>202421002</v>
      </c>
      <c r="C2107" s="122" t="s">
        <v>223</v>
      </c>
      <c r="D2107" s="101">
        <v>45929</v>
      </c>
      <c r="E2107" s="79" t="s">
        <v>16</v>
      </c>
      <c r="F2107" s="79" t="s">
        <v>29</v>
      </c>
      <c r="G2107" s="79"/>
      <c r="H2107" s="79" t="s">
        <v>415</v>
      </c>
    </row>
    <row r="2108" spans="1:8">
      <c r="A2108" s="79" t="str">
        <f>LeaveData[[#This Row],[ EMP ID]]&amp;LeaveData[[#This Row],[Date]]</f>
        <v>20242100245930</v>
      </c>
      <c r="B2108" s="124">
        <v>202421002</v>
      </c>
      <c r="C2108" s="122" t="s">
        <v>223</v>
      </c>
      <c r="D2108" s="101">
        <v>45930</v>
      </c>
      <c r="E2108" s="79" t="s">
        <v>16</v>
      </c>
      <c r="F2108" s="79" t="s">
        <v>29</v>
      </c>
      <c r="G2108" s="79"/>
      <c r="H2108" s="79" t="s">
        <v>415</v>
      </c>
    </row>
    <row r="2109" spans="1:8">
      <c r="A2109" s="79" t="str">
        <f>LeaveData[[#This Row],[ EMP ID]]&amp;LeaveData[[#This Row],[Date]]</f>
        <v>20242100245931</v>
      </c>
      <c r="B2109" s="124">
        <v>202421002</v>
      </c>
      <c r="C2109" s="122" t="s">
        <v>223</v>
      </c>
      <c r="D2109" s="101">
        <v>45931</v>
      </c>
      <c r="E2109" s="79" t="s">
        <v>16</v>
      </c>
      <c r="F2109" s="79" t="s">
        <v>29</v>
      </c>
      <c r="G2109" s="79"/>
      <c r="H2109" s="79" t="s">
        <v>415</v>
      </c>
    </row>
    <row r="2110" spans="1:8">
      <c r="A2110" s="79" t="str">
        <f>LeaveData[[#This Row],[ EMP ID]]&amp;LeaveData[[#This Row],[Date]]</f>
        <v>20242100245933</v>
      </c>
      <c r="B2110" s="124">
        <v>202421002</v>
      </c>
      <c r="C2110" s="122" t="s">
        <v>223</v>
      </c>
      <c r="D2110" s="101">
        <v>45933</v>
      </c>
      <c r="E2110" s="79" t="s">
        <v>16</v>
      </c>
      <c r="F2110" s="79" t="s">
        <v>29</v>
      </c>
      <c r="G2110" s="79"/>
      <c r="H2110" s="79" t="s">
        <v>415</v>
      </c>
    </row>
    <row r="2111" spans="1:8">
      <c r="A2111" s="79" t="str">
        <f>LeaveData[[#This Row],[ EMP ID]]&amp;LeaveData[[#This Row],[Date]]</f>
        <v>20242100245934</v>
      </c>
      <c r="B2111" s="124">
        <v>202421002</v>
      </c>
      <c r="C2111" s="122" t="s">
        <v>223</v>
      </c>
      <c r="D2111" s="101">
        <v>45934</v>
      </c>
      <c r="E2111" s="79" t="s">
        <v>16</v>
      </c>
      <c r="F2111" s="79" t="s">
        <v>29</v>
      </c>
      <c r="G2111" s="79"/>
      <c r="H2111" s="79" t="s">
        <v>415</v>
      </c>
    </row>
    <row r="2112" spans="1:8">
      <c r="A2112" s="79" t="str">
        <f>LeaveData[[#This Row],[ EMP ID]]&amp;LeaveData[[#This Row],[Date]]</f>
        <v>20242100245936</v>
      </c>
      <c r="B2112" s="124">
        <v>202421002</v>
      </c>
      <c r="C2112" s="122" t="s">
        <v>223</v>
      </c>
      <c r="D2112" s="101">
        <v>45936</v>
      </c>
      <c r="E2112" s="79" t="s">
        <v>16</v>
      </c>
      <c r="F2112" s="79" t="s">
        <v>29</v>
      </c>
      <c r="G2112" s="79"/>
      <c r="H2112" s="79" t="s">
        <v>415</v>
      </c>
    </row>
    <row r="2113" spans="1:8">
      <c r="A2113" s="79" t="str">
        <f>LeaveData[[#This Row],[ EMP ID]]&amp;LeaveData[[#This Row],[Date]]</f>
        <v>20242100245937</v>
      </c>
      <c r="B2113" s="124">
        <v>202421002</v>
      </c>
      <c r="C2113" s="122" t="s">
        <v>223</v>
      </c>
      <c r="D2113" s="101">
        <v>45937</v>
      </c>
      <c r="E2113" s="79" t="s">
        <v>16</v>
      </c>
      <c r="F2113" s="79" t="s">
        <v>29</v>
      </c>
      <c r="G2113" s="79"/>
      <c r="H2113" s="79" t="s">
        <v>415</v>
      </c>
    </row>
    <row r="2114" spans="1:8">
      <c r="A2114" s="79" t="str">
        <f>LeaveData[[#This Row],[ EMP ID]]&amp;LeaveData[[#This Row],[Date]]</f>
        <v>20242100245938</v>
      </c>
      <c r="B2114" s="124">
        <v>202421002</v>
      </c>
      <c r="C2114" s="122" t="s">
        <v>223</v>
      </c>
      <c r="D2114" s="101">
        <v>45938</v>
      </c>
      <c r="E2114" s="79" t="s">
        <v>16</v>
      </c>
      <c r="F2114" s="79" t="s">
        <v>29</v>
      </c>
      <c r="G2114" s="79"/>
      <c r="H2114" s="79" t="s">
        <v>415</v>
      </c>
    </row>
    <row r="2115" spans="1:8">
      <c r="A2115" s="79" t="str">
        <f>LeaveData[[#This Row],[ EMP ID]]&amp;LeaveData[[#This Row],[Date]]</f>
        <v>20242100245939</v>
      </c>
      <c r="B2115" s="124">
        <v>202421002</v>
      </c>
      <c r="C2115" s="122" t="s">
        <v>223</v>
      </c>
      <c r="D2115" s="101">
        <v>45939</v>
      </c>
      <c r="E2115" s="79" t="s">
        <v>16</v>
      </c>
      <c r="F2115" s="79" t="s">
        <v>29</v>
      </c>
      <c r="G2115" s="79"/>
      <c r="H2115" s="79" t="s">
        <v>415</v>
      </c>
    </row>
    <row r="2116" spans="1:8">
      <c r="A2116" s="79" t="str">
        <f>LeaveData[[#This Row],[ EMP ID]]&amp;LeaveData[[#This Row],[Date]]</f>
        <v>20242100245940</v>
      </c>
      <c r="B2116" s="124">
        <v>202421002</v>
      </c>
      <c r="C2116" s="122" t="s">
        <v>223</v>
      </c>
      <c r="D2116" s="101">
        <v>45940</v>
      </c>
      <c r="E2116" s="79" t="s">
        <v>16</v>
      </c>
      <c r="F2116" s="79" t="s">
        <v>29</v>
      </c>
      <c r="G2116" s="79"/>
      <c r="H2116" s="79" t="s">
        <v>415</v>
      </c>
    </row>
    <row r="2117" spans="1:8">
      <c r="A2117" s="79" t="str">
        <f>LeaveData[[#This Row],[ EMP ID]]&amp;LeaveData[[#This Row],[Date]]</f>
        <v>20242100245943</v>
      </c>
      <c r="B2117" s="124">
        <v>202421002</v>
      </c>
      <c r="C2117" s="122" t="s">
        <v>223</v>
      </c>
      <c r="D2117" s="101">
        <v>45943</v>
      </c>
      <c r="E2117" s="79" t="s">
        <v>16</v>
      </c>
      <c r="F2117" s="79" t="s">
        <v>29</v>
      </c>
      <c r="G2117" s="79"/>
      <c r="H2117" s="79" t="s">
        <v>415</v>
      </c>
    </row>
    <row r="2118" spans="1:8">
      <c r="A2118" s="79" t="str">
        <f>LeaveData[[#This Row],[ EMP ID]]&amp;LeaveData[[#This Row],[Date]]</f>
        <v>20242100245944</v>
      </c>
      <c r="B2118" s="124">
        <v>202421002</v>
      </c>
      <c r="C2118" s="122" t="s">
        <v>223</v>
      </c>
      <c r="D2118" s="101">
        <v>45944</v>
      </c>
      <c r="E2118" s="79" t="s">
        <v>16</v>
      </c>
      <c r="F2118" s="79" t="s">
        <v>29</v>
      </c>
      <c r="G2118" s="79"/>
      <c r="H2118" s="79" t="s">
        <v>415</v>
      </c>
    </row>
    <row r="2119" spans="1:8">
      <c r="A2119" s="79" t="str">
        <f>LeaveData[[#This Row],[ EMP ID]]&amp;LeaveData[[#This Row],[Date]]</f>
        <v>20242100245945</v>
      </c>
      <c r="B2119" s="124">
        <v>202421002</v>
      </c>
      <c r="C2119" s="122" t="s">
        <v>223</v>
      </c>
      <c r="D2119" s="101">
        <v>45945</v>
      </c>
      <c r="E2119" s="79" t="s">
        <v>16</v>
      </c>
      <c r="F2119" s="79" t="s">
        <v>29</v>
      </c>
      <c r="G2119" s="79"/>
      <c r="H2119" s="79" t="s">
        <v>415</v>
      </c>
    </row>
    <row r="2120" spans="1:8">
      <c r="A2120" s="79" t="str">
        <f>LeaveData[[#This Row],[ EMP ID]]&amp;LeaveData[[#This Row],[Date]]</f>
        <v>20242100245946</v>
      </c>
      <c r="B2120" s="124">
        <v>202421002</v>
      </c>
      <c r="C2120" s="122" t="s">
        <v>223</v>
      </c>
      <c r="D2120" s="101">
        <v>45946</v>
      </c>
      <c r="E2120" s="79" t="s">
        <v>16</v>
      </c>
      <c r="F2120" s="79" t="s">
        <v>29</v>
      </c>
      <c r="G2120" s="79"/>
      <c r="H2120" s="79" t="s">
        <v>415</v>
      </c>
    </row>
    <row r="2121" spans="1:8">
      <c r="A2121" s="79" t="str">
        <f>LeaveData[[#This Row],[ EMP ID]]&amp;LeaveData[[#This Row],[Date]]</f>
        <v>20242100245947</v>
      </c>
      <c r="B2121" s="124">
        <v>202421002</v>
      </c>
      <c r="C2121" s="122" t="s">
        <v>223</v>
      </c>
      <c r="D2121" s="101">
        <v>45947</v>
      </c>
      <c r="E2121" s="79" t="s">
        <v>16</v>
      </c>
      <c r="F2121" s="79" t="s">
        <v>29</v>
      </c>
      <c r="G2121" s="79"/>
      <c r="H2121" s="79" t="s">
        <v>415</v>
      </c>
    </row>
    <row r="2122" spans="1:8">
      <c r="A2122" s="79" t="str">
        <f>LeaveData[[#This Row],[ EMP ID]]&amp;LeaveData[[#This Row],[Date]]</f>
        <v>20242100245948</v>
      </c>
      <c r="B2122" s="124">
        <v>202421002</v>
      </c>
      <c r="C2122" s="122" t="s">
        <v>223</v>
      </c>
      <c r="D2122" s="101">
        <v>45948</v>
      </c>
      <c r="E2122" s="79" t="s">
        <v>16</v>
      </c>
      <c r="F2122" s="79" t="s">
        <v>29</v>
      </c>
      <c r="G2122" s="79"/>
      <c r="H2122" s="79" t="s">
        <v>415</v>
      </c>
    </row>
    <row r="2123" spans="1:8">
      <c r="A2123" s="79" t="str">
        <f>LeaveData[[#This Row],[ EMP ID]]&amp;LeaveData[[#This Row],[Date]]</f>
        <v>20242100245949</v>
      </c>
      <c r="B2123" s="124">
        <v>202421002</v>
      </c>
      <c r="C2123" s="122" t="s">
        <v>223</v>
      </c>
      <c r="D2123" s="101">
        <v>45949</v>
      </c>
      <c r="E2123" s="79" t="s">
        <v>16</v>
      </c>
      <c r="F2123" s="79" t="s">
        <v>29</v>
      </c>
      <c r="G2123" s="79"/>
      <c r="H2123" s="79" t="s">
        <v>415</v>
      </c>
    </row>
    <row r="2124" spans="1:8">
      <c r="A2124" s="79" t="str">
        <f>LeaveData[[#This Row],[ EMP ID]]&amp;LeaveData[[#This Row],[Date]]</f>
        <v>20242100245950</v>
      </c>
      <c r="B2124" s="124">
        <v>202421002</v>
      </c>
      <c r="C2124" s="122" t="s">
        <v>223</v>
      </c>
      <c r="D2124" s="101">
        <v>45950</v>
      </c>
      <c r="E2124" s="79" t="s">
        <v>16</v>
      </c>
      <c r="F2124" s="79" t="s">
        <v>29</v>
      </c>
      <c r="G2124" s="79"/>
      <c r="H2124" s="79" t="s">
        <v>415</v>
      </c>
    </row>
    <row r="2125" spans="1:8">
      <c r="A2125" s="79" t="str">
        <f>LeaveData[[#This Row],[ EMP ID]]&amp;LeaveData[[#This Row],[Date]]</f>
        <v>20242100245957</v>
      </c>
      <c r="B2125" s="124">
        <v>202421002</v>
      </c>
      <c r="C2125" s="122" t="s">
        <v>223</v>
      </c>
      <c r="D2125" s="101">
        <v>45957</v>
      </c>
      <c r="E2125" s="79" t="s">
        <v>16</v>
      </c>
      <c r="F2125" s="79" t="s">
        <v>29</v>
      </c>
      <c r="G2125" s="79"/>
      <c r="H2125" s="79" t="s">
        <v>415</v>
      </c>
    </row>
    <row r="2126" spans="1:8">
      <c r="A2126" s="79" t="str">
        <f>LeaveData[[#This Row],[ EMP ID]]&amp;LeaveData[[#This Row],[Date]]</f>
        <v>20242100245958</v>
      </c>
      <c r="B2126" s="124">
        <v>202421002</v>
      </c>
      <c r="C2126" s="122" t="s">
        <v>223</v>
      </c>
      <c r="D2126" s="101">
        <v>45958</v>
      </c>
      <c r="E2126" s="79" t="s">
        <v>16</v>
      </c>
      <c r="F2126" s="79" t="s">
        <v>29</v>
      </c>
      <c r="G2126" s="79"/>
      <c r="H2126" s="79" t="s">
        <v>415</v>
      </c>
    </row>
    <row r="2127" spans="1:8">
      <c r="A2127" s="79" t="str">
        <f>LeaveData[[#This Row],[ EMP ID]]&amp;LeaveData[[#This Row],[Date]]</f>
        <v>20242100245959</v>
      </c>
      <c r="B2127" s="124">
        <v>202421002</v>
      </c>
      <c r="C2127" s="122" t="s">
        <v>223</v>
      </c>
      <c r="D2127" s="101">
        <v>45959</v>
      </c>
      <c r="E2127" s="79" t="s">
        <v>16</v>
      </c>
      <c r="F2127" s="79" t="s">
        <v>29</v>
      </c>
      <c r="G2127" s="79"/>
      <c r="H2127" s="79" t="s">
        <v>415</v>
      </c>
    </row>
    <row r="2128" spans="1:8">
      <c r="A2128" s="79" t="str">
        <f>LeaveData[[#This Row],[ EMP ID]]&amp;LeaveData[[#This Row],[Date]]</f>
        <v>20242100245960</v>
      </c>
      <c r="B2128" s="124">
        <v>202421002</v>
      </c>
      <c r="C2128" s="122" t="s">
        <v>223</v>
      </c>
      <c r="D2128" s="101">
        <v>45960</v>
      </c>
      <c r="E2128" s="79" t="s">
        <v>16</v>
      </c>
      <c r="F2128" s="79" t="s">
        <v>29</v>
      </c>
      <c r="G2128" s="79"/>
      <c r="H2128" s="79" t="s">
        <v>415</v>
      </c>
    </row>
    <row r="2129" spans="1:8">
      <c r="A2129" s="79" t="str">
        <f>LeaveData[[#This Row],[ EMP ID]]&amp;LeaveData[[#This Row],[Date]]</f>
        <v>20242100245961</v>
      </c>
      <c r="B2129" s="124">
        <v>202421002</v>
      </c>
      <c r="C2129" s="122" t="s">
        <v>223</v>
      </c>
      <c r="D2129" s="101">
        <v>45961</v>
      </c>
      <c r="E2129" s="79" t="s">
        <v>16</v>
      </c>
      <c r="F2129" s="79" t="s">
        <v>29</v>
      </c>
      <c r="G2129" s="79"/>
      <c r="H2129" s="79" t="s">
        <v>415</v>
      </c>
    </row>
    <row r="2130" spans="1:8">
      <c r="A2130" s="79" t="str">
        <f>LeaveData[[#This Row],[ EMP ID]]&amp;LeaveData[[#This Row],[Date]]</f>
        <v>20242100245962</v>
      </c>
      <c r="B2130" s="124">
        <v>202421002</v>
      </c>
      <c r="C2130" s="122" t="s">
        <v>223</v>
      </c>
      <c r="D2130" s="101">
        <v>45962</v>
      </c>
      <c r="E2130" s="79" t="s">
        <v>16</v>
      </c>
      <c r="F2130" s="79" t="s">
        <v>29</v>
      </c>
      <c r="G2130" s="79"/>
      <c r="H2130" s="79" t="s">
        <v>415</v>
      </c>
    </row>
    <row r="2131" spans="1:8">
      <c r="A2131" s="79" t="str">
        <f>LeaveData[[#This Row],[ EMP ID]]&amp;LeaveData[[#This Row],[Date]]</f>
        <v>20242100245963</v>
      </c>
      <c r="B2131" s="124">
        <v>202421002</v>
      </c>
      <c r="C2131" s="122" t="s">
        <v>223</v>
      </c>
      <c r="D2131" s="101">
        <v>45963</v>
      </c>
      <c r="E2131" s="79" t="s">
        <v>16</v>
      </c>
      <c r="F2131" s="79" t="s">
        <v>29</v>
      </c>
      <c r="G2131" s="79"/>
      <c r="H2131" s="79" t="s">
        <v>415</v>
      </c>
    </row>
    <row r="2132" spans="1:8">
      <c r="A2132" s="79" t="str">
        <f>LeaveData[[#This Row],[ EMP ID]]&amp;LeaveData[[#This Row],[Date]]</f>
        <v>20242100245964</v>
      </c>
      <c r="B2132" s="124">
        <v>202421002</v>
      </c>
      <c r="C2132" s="122" t="s">
        <v>223</v>
      </c>
      <c r="D2132" s="101">
        <v>45964</v>
      </c>
      <c r="E2132" s="79" t="s">
        <v>16</v>
      </c>
      <c r="F2132" s="79" t="s">
        <v>29</v>
      </c>
      <c r="G2132" s="79"/>
      <c r="H2132" s="79" t="s">
        <v>415</v>
      </c>
    </row>
    <row r="2133" spans="1:8">
      <c r="A2133" s="79" t="str">
        <f>LeaveData[[#This Row],[ EMP ID]]&amp;LeaveData[[#This Row],[Date]]</f>
        <v>20242100245965</v>
      </c>
      <c r="B2133" s="124">
        <v>202421002</v>
      </c>
      <c r="C2133" s="122" t="s">
        <v>223</v>
      </c>
      <c r="D2133" s="101">
        <v>45965</v>
      </c>
      <c r="E2133" s="79" t="s">
        <v>16</v>
      </c>
      <c r="F2133" s="79" t="s">
        <v>29</v>
      </c>
      <c r="G2133" s="79"/>
      <c r="H2133" s="79" t="s">
        <v>415</v>
      </c>
    </row>
    <row r="2134" spans="1:8">
      <c r="A2134" s="79" t="str">
        <f>LeaveData[[#This Row],[ EMP ID]]&amp;LeaveData[[#This Row],[Date]]</f>
        <v>20242100245966</v>
      </c>
      <c r="B2134" s="124">
        <v>202421002</v>
      </c>
      <c r="C2134" s="122" t="s">
        <v>223</v>
      </c>
      <c r="D2134" s="101">
        <v>45966</v>
      </c>
      <c r="E2134" s="79" t="s">
        <v>16</v>
      </c>
      <c r="F2134" s="79" t="s">
        <v>29</v>
      </c>
      <c r="G2134" s="79"/>
      <c r="H2134" s="79" t="s">
        <v>415</v>
      </c>
    </row>
    <row r="2135" spans="1:8">
      <c r="A2135" s="79" t="str">
        <f>LeaveData[[#This Row],[ EMP ID]]&amp;LeaveData[[#This Row],[Date]]</f>
        <v>20242100245967</v>
      </c>
      <c r="B2135" s="124">
        <v>202421002</v>
      </c>
      <c r="C2135" s="122" t="s">
        <v>223</v>
      </c>
      <c r="D2135" s="101">
        <v>45967</v>
      </c>
      <c r="E2135" s="79" t="s">
        <v>16</v>
      </c>
      <c r="F2135" s="79" t="s">
        <v>29</v>
      </c>
      <c r="G2135" s="79"/>
      <c r="H2135" s="79" t="s">
        <v>415</v>
      </c>
    </row>
    <row r="2136" spans="1:8">
      <c r="A2136" s="79" t="str">
        <f>LeaveData[[#This Row],[ EMP ID]]&amp;LeaveData[[#This Row],[Date]]</f>
        <v>20242100245968</v>
      </c>
      <c r="B2136" s="124">
        <v>202421002</v>
      </c>
      <c r="C2136" s="122" t="s">
        <v>223</v>
      </c>
      <c r="D2136" s="101">
        <v>45968</v>
      </c>
      <c r="E2136" s="79" t="s">
        <v>16</v>
      </c>
      <c r="F2136" s="79" t="s">
        <v>29</v>
      </c>
      <c r="G2136" s="79"/>
      <c r="H2136" s="79" t="s">
        <v>415</v>
      </c>
    </row>
    <row r="2137" spans="1:8">
      <c r="A2137" s="79" t="str">
        <f>LeaveData[[#This Row],[ EMP ID]]&amp;LeaveData[[#This Row],[Date]]</f>
        <v>20201800645900</v>
      </c>
      <c r="B2137" s="79">
        <v>202018006</v>
      </c>
      <c r="C2137" s="79" t="s">
        <v>23</v>
      </c>
      <c r="D2137" s="101">
        <v>45900</v>
      </c>
      <c r="E2137" s="79" t="s">
        <v>195</v>
      </c>
      <c r="F2137" s="79" t="s">
        <v>104</v>
      </c>
      <c r="G2137" s="79"/>
      <c r="H2137" s="79" t="s">
        <v>196</v>
      </c>
    </row>
    <row r="2138" spans="1:8">
      <c r="A2138" s="79" t="str">
        <f>LeaveData[[#This Row],[ EMP ID]]&amp;LeaveData[[#This Row],[Date]]</f>
        <v>20171800145961</v>
      </c>
      <c r="B2138" s="79">
        <v>201718001</v>
      </c>
      <c r="C2138" s="79" t="s">
        <v>17</v>
      </c>
      <c r="D2138" s="101">
        <v>45961</v>
      </c>
      <c r="E2138" s="79" t="s">
        <v>195</v>
      </c>
      <c r="F2138" s="79" t="s">
        <v>106</v>
      </c>
      <c r="G2138" s="79"/>
      <c r="H2138" s="79" t="s">
        <v>196</v>
      </c>
    </row>
    <row r="2139" spans="1:8">
      <c r="A2139" s="79" t="str">
        <f>LeaveData[[#This Row],[ EMP ID]]&amp;LeaveData[[#This Row],[Date]]</f>
        <v>20251804345907</v>
      </c>
      <c r="B2139" s="92">
        <v>202518043</v>
      </c>
      <c r="C2139" s="122" t="s">
        <v>403</v>
      </c>
      <c r="D2139" s="101">
        <v>45907</v>
      </c>
      <c r="E2139" s="79" t="s">
        <v>154</v>
      </c>
      <c r="F2139" s="79" t="s">
        <v>43</v>
      </c>
      <c r="G2139" s="79"/>
      <c r="H2139" s="79" t="s">
        <v>1474</v>
      </c>
    </row>
    <row r="2140" spans="1:8">
      <c r="A2140" s="79" t="str">
        <f>LeaveData[[#This Row],[ EMP ID]]&amp;LeaveData[[#This Row],[Date]]</f>
        <v>20231802645929</v>
      </c>
      <c r="B2140" s="92">
        <v>202318026</v>
      </c>
      <c r="C2140" s="92" t="s">
        <v>53</v>
      </c>
      <c r="D2140" s="101">
        <v>45929</v>
      </c>
      <c r="E2140" s="79" t="s">
        <v>13</v>
      </c>
      <c r="F2140" s="79" t="s">
        <v>104</v>
      </c>
      <c r="G2140" s="79"/>
      <c r="H2140" s="79" t="s">
        <v>169</v>
      </c>
    </row>
    <row r="2141" spans="1:8">
      <c r="A2141" s="79" t="str">
        <f>LeaveData[[#This Row],[ EMP ID]]&amp;LeaveData[[#This Row],[Date]]</f>
        <v>20231802645930</v>
      </c>
      <c r="B2141" s="92">
        <v>202318026</v>
      </c>
      <c r="C2141" s="92" t="s">
        <v>53</v>
      </c>
      <c r="D2141" s="101">
        <v>45930</v>
      </c>
      <c r="E2141" s="79" t="s">
        <v>13</v>
      </c>
      <c r="F2141" s="79" t="s">
        <v>104</v>
      </c>
      <c r="G2141" s="79"/>
      <c r="H2141" s="79" t="s">
        <v>169</v>
      </c>
    </row>
    <row r="2142" spans="1:8">
      <c r="A2142" s="79" t="str">
        <f>LeaveData[[#This Row],[ EMP ID]]&amp;LeaveData[[#This Row],[Date]]</f>
        <v>20232000945912</v>
      </c>
      <c r="B2142" s="92">
        <v>202320009</v>
      </c>
      <c r="C2142" s="92" t="s">
        <v>143</v>
      </c>
      <c r="D2142" s="101">
        <v>45912</v>
      </c>
      <c r="E2142" s="79" t="s">
        <v>14</v>
      </c>
      <c r="F2142" s="79" t="s">
        <v>1365</v>
      </c>
      <c r="G2142" s="79"/>
      <c r="H2142" s="79" t="s">
        <v>169</v>
      </c>
    </row>
    <row r="2143" spans="1:8">
      <c r="A2143" s="79" t="str">
        <f>LeaveData[[#This Row],[ EMP ID]]&amp;LeaveData[[#This Row],[Date]]</f>
        <v>20242101845912</v>
      </c>
      <c r="B2143" s="92">
        <v>202421018</v>
      </c>
      <c r="C2143" s="122" t="s">
        <v>378</v>
      </c>
      <c r="D2143" s="101">
        <v>45912</v>
      </c>
      <c r="E2143" s="79" t="s">
        <v>16</v>
      </c>
      <c r="F2143" s="79" t="s">
        <v>29</v>
      </c>
      <c r="G2143" s="79"/>
      <c r="H2143" s="79" t="s">
        <v>1475</v>
      </c>
    </row>
    <row r="2144" spans="1:8">
      <c r="A2144" s="79" t="str">
        <f>LeaveData[[#This Row],[ EMP ID]]&amp;LeaveData[[#This Row],[Date]]</f>
        <v>20242101845913</v>
      </c>
      <c r="B2144" s="92">
        <v>202421018</v>
      </c>
      <c r="C2144" s="122" t="s">
        <v>378</v>
      </c>
      <c r="D2144" s="101">
        <v>45913</v>
      </c>
      <c r="E2144" s="79" t="s">
        <v>16</v>
      </c>
      <c r="F2144" s="79" t="s">
        <v>29</v>
      </c>
      <c r="G2144" s="79"/>
      <c r="H2144" s="79" t="s">
        <v>1475</v>
      </c>
    </row>
    <row r="2145" spans="1:8">
      <c r="A2145" s="79" t="str">
        <f>LeaveData[[#This Row],[ EMP ID]]&amp;LeaveData[[#This Row],[Date]]</f>
        <v>20242100145912</v>
      </c>
      <c r="B2145" s="92">
        <v>202421001</v>
      </c>
      <c r="C2145" s="122" t="s">
        <v>221</v>
      </c>
      <c r="D2145" s="101">
        <v>45912</v>
      </c>
      <c r="E2145" s="79" t="s">
        <v>16</v>
      </c>
      <c r="F2145" s="79" t="s">
        <v>29</v>
      </c>
      <c r="G2145" s="79"/>
      <c r="H2145" s="79" t="s">
        <v>132</v>
      </c>
    </row>
    <row r="2146" spans="1:8">
      <c r="A2146" s="79" t="str">
        <f>LeaveData[[#This Row],[ EMP ID]]&amp;LeaveData[[#This Row],[Date]]</f>
        <v>20251804345912</v>
      </c>
      <c r="B2146" s="92">
        <v>202518043</v>
      </c>
      <c r="C2146" s="122" t="s">
        <v>403</v>
      </c>
      <c r="D2146" s="101">
        <v>45912</v>
      </c>
      <c r="E2146" s="79" t="s">
        <v>16</v>
      </c>
      <c r="F2146" s="79" t="s">
        <v>43</v>
      </c>
      <c r="G2146" s="79"/>
      <c r="H2146" s="79" t="s">
        <v>132</v>
      </c>
    </row>
    <row r="2147" spans="1:8">
      <c r="A2147" s="79" t="str">
        <f>LeaveData[[#This Row],[ EMP ID]]&amp;LeaveData[[#This Row],[Date]]</f>
        <v>20251804345913</v>
      </c>
      <c r="B2147" s="92">
        <v>202518043</v>
      </c>
      <c r="C2147" s="122" t="s">
        <v>403</v>
      </c>
      <c r="D2147" s="101">
        <v>45913</v>
      </c>
      <c r="E2147" s="79" t="s">
        <v>16</v>
      </c>
      <c r="F2147" s="79" t="s">
        <v>43</v>
      </c>
      <c r="G2147" s="79"/>
      <c r="H2147" s="79" t="s">
        <v>132</v>
      </c>
    </row>
    <row r="2148" spans="1:8">
      <c r="A2148" s="79" t="str">
        <f>LeaveData[[#This Row],[ EMP ID]]&amp;LeaveData[[#This Row],[Date]]</f>
        <v>20250101245915</v>
      </c>
      <c r="B2148" s="79">
        <v>202501012</v>
      </c>
      <c r="C2148" s="79" t="s">
        <v>1394</v>
      </c>
      <c r="D2148" s="101">
        <v>45915</v>
      </c>
      <c r="E2148" s="79" t="s">
        <v>13</v>
      </c>
      <c r="F2148" s="79" t="s">
        <v>125</v>
      </c>
      <c r="G2148" s="79"/>
      <c r="H2148" s="79" t="s">
        <v>1523</v>
      </c>
    </row>
    <row r="2149" spans="1:8">
      <c r="A2149" s="79" t="str">
        <f>LeaveData[[#This Row],[ EMP ID]]&amp;LeaveData[[#This Row],[Date]]</f>
        <v>20250101545901</v>
      </c>
      <c r="B2149" s="92">
        <v>202501015</v>
      </c>
      <c r="C2149" s="92" t="s">
        <v>1402</v>
      </c>
      <c r="D2149" s="101">
        <v>45901</v>
      </c>
      <c r="E2149" s="79" t="s">
        <v>12</v>
      </c>
      <c r="F2149" s="79" t="s">
        <v>1365</v>
      </c>
      <c r="G2149" s="79"/>
      <c r="H2149" s="129" t="s">
        <v>1476</v>
      </c>
    </row>
    <row r="2150" spans="1:8">
      <c r="A2150" s="79" t="str">
        <f>LeaveData[[#This Row],[ EMP ID]]&amp;LeaveData[[#This Row],[Date]]</f>
        <v>20250101545902</v>
      </c>
      <c r="B2150" s="92">
        <v>202501015</v>
      </c>
      <c r="C2150" s="92" t="s">
        <v>1402</v>
      </c>
      <c r="D2150" s="101">
        <v>45902</v>
      </c>
      <c r="E2150" s="79" t="s">
        <v>12</v>
      </c>
      <c r="F2150" s="79" t="s">
        <v>1365</v>
      </c>
      <c r="G2150" s="79"/>
      <c r="H2150" s="129" t="s">
        <v>1476</v>
      </c>
    </row>
    <row r="2151" spans="1:8">
      <c r="A2151" s="79" t="str">
        <f>LeaveData[[#This Row],[ EMP ID]]&amp;LeaveData[[#This Row],[Date]]</f>
        <v>20250101545903</v>
      </c>
      <c r="B2151" s="92">
        <v>202501015</v>
      </c>
      <c r="C2151" s="92" t="s">
        <v>1402</v>
      </c>
      <c r="D2151" s="101">
        <v>45903</v>
      </c>
      <c r="E2151" s="79" t="s">
        <v>12</v>
      </c>
      <c r="F2151" s="79" t="s">
        <v>1365</v>
      </c>
      <c r="G2151" s="79"/>
      <c r="H2151" s="129" t="s">
        <v>1476</v>
      </c>
    </row>
    <row r="2152" spans="1:8">
      <c r="A2152" s="79" t="str">
        <f>LeaveData[[#This Row],[ EMP ID]]&amp;LeaveData[[#This Row],[Date]]</f>
        <v>20250101545904</v>
      </c>
      <c r="B2152" s="92">
        <v>202501015</v>
      </c>
      <c r="C2152" s="92" t="s">
        <v>1402</v>
      </c>
      <c r="D2152" s="101">
        <v>45904</v>
      </c>
      <c r="E2152" s="79" t="s">
        <v>12</v>
      </c>
      <c r="F2152" s="79" t="s">
        <v>1365</v>
      </c>
      <c r="G2152" s="79"/>
      <c r="H2152" s="129" t="s">
        <v>1476</v>
      </c>
    </row>
    <row r="2153" spans="1:8">
      <c r="A2153" s="79" t="str">
        <f>LeaveData[[#This Row],[ EMP ID]]&amp;LeaveData[[#This Row],[Date]]</f>
        <v>20250101545905</v>
      </c>
      <c r="B2153" s="92">
        <v>202501015</v>
      </c>
      <c r="C2153" s="92" t="s">
        <v>1402</v>
      </c>
      <c r="D2153" s="101">
        <v>45905</v>
      </c>
      <c r="E2153" s="79" t="s">
        <v>12</v>
      </c>
      <c r="F2153" s="79" t="s">
        <v>1365</v>
      </c>
      <c r="G2153" s="79"/>
      <c r="H2153" s="129" t="s">
        <v>1476</v>
      </c>
    </row>
    <row r="2154" spans="1:8">
      <c r="A2154" s="79" t="str">
        <f>LeaveData[[#This Row],[ EMP ID]]&amp;LeaveData[[#This Row],[Date]]</f>
        <v>20250101545906</v>
      </c>
      <c r="B2154" s="92">
        <v>202501015</v>
      </c>
      <c r="C2154" s="92" t="s">
        <v>1402</v>
      </c>
      <c r="D2154" s="101">
        <v>45906</v>
      </c>
      <c r="E2154" s="79" t="s">
        <v>12</v>
      </c>
      <c r="F2154" s="79" t="s">
        <v>1365</v>
      </c>
      <c r="G2154" s="79"/>
      <c r="H2154" s="129" t="s">
        <v>1476</v>
      </c>
    </row>
    <row r="2155" spans="1:8">
      <c r="A2155" s="79" t="str">
        <f>LeaveData[[#This Row],[ EMP ID]]&amp;LeaveData[[#This Row],[Date]]</f>
        <v>20250101545908</v>
      </c>
      <c r="B2155" s="92">
        <v>202501015</v>
      </c>
      <c r="C2155" s="92" t="s">
        <v>1402</v>
      </c>
      <c r="D2155" s="101">
        <v>45908</v>
      </c>
      <c r="E2155" s="79" t="s">
        <v>12</v>
      </c>
      <c r="F2155" s="79" t="s">
        <v>1365</v>
      </c>
      <c r="G2155" s="79"/>
      <c r="H2155" s="129" t="s">
        <v>1476</v>
      </c>
    </row>
    <row r="2156" spans="1:8">
      <c r="A2156" s="79" t="str">
        <f>LeaveData[[#This Row],[ EMP ID]]&amp;LeaveData[[#This Row],[Date]]</f>
        <v>20250101545909</v>
      </c>
      <c r="B2156" s="92">
        <v>202501015</v>
      </c>
      <c r="C2156" s="92" t="s">
        <v>1402</v>
      </c>
      <c r="D2156" s="101">
        <v>45909</v>
      </c>
      <c r="E2156" s="79" t="s">
        <v>12</v>
      </c>
      <c r="F2156" s="79" t="s">
        <v>1365</v>
      </c>
      <c r="G2156" s="79"/>
      <c r="H2156" s="129" t="s">
        <v>1476</v>
      </c>
    </row>
    <row r="2157" spans="1:8">
      <c r="A2157" s="79" t="str">
        <f>LeaveData[[#This Row],[ EMP ID]]&amp;LeaveData[[#This Row],[Date]]</f>
        <v>20250101545910</v>
      </c>
      <c r="B2157" s="92">
        <v>202501015</v>
      </c>
      <c r="C2157" s="92" t="s">
        <v>1402</v>
      </c>
      <c r="D2157" s="101">
        <v>45910</v>
      </c>
      <c r="E2157" s="79" t="s">
        <v>12</v>
      </c>
      <c r="F2157" s="79" t="s">
        <v>1365</v>
      </c>
      <c r="G2157" s="79"/>
      <c r="H2157" s="129" t="s">
        <v>1476</v>
      </c>
    </row>
    <row r="2158" spans="1:8">
      <c r="A2158" s="79" t="str">
        <f>LeaveData[[#This Row],[ EMP ID]]&amp;LeaveData[[#This Row],[Date]]</f>
        <v>20250101545911</v>
      </c>
      <c r="B2158" s="92">
        <v>202501015</v>
      </c>
      <c r="C2158" s="92" t="s">
        <v>1402</v>
      </c>
      <c r="D2158" s="101">
        <v>45911</v>
      </c>
      <c r="E2158" s="79" t="s">
        <v>12</v>
      </c>
      <c r="F2158" s="79" t="s">
        <v>1365</v>
      </c>
      <c r="G2158" s="79"/>
      <c r="H2158" s="129" t="s">
        <v>1476</v>
      </c>
    </row>
    <row r="2159" spans="1:8">
      <c r="A2159" s="79" t="str">
        <f>LeaveData[[#This Row],[ EMP ID]]&amp;LeaveData[[#This Row],[Date]]</f>
        <v>20250101545912</v>
      </c>
      <c r="B2159" s="92">
        <v>202501015</v>
      </c>
      <c r="C2159" s="92" t="s">
        <v>1402</v>
      </c>
      <c r="D2159" s="101">
        <v>45912</v>
      </c>
      <c r="E2159" s="79" t="s">
        <v>12</v>
      </c>
      <c r="F2159" s="79" t="s">
        <v>1365</v>
      </c>
      <c r="G2159" s="79"/>
      <c r="H2159" s="129" t="s">
        <v>1476</v>
      </c>
    </row>
    <row r="2160" spans="1:8">
      <c r="A2160" s="79" t="str">
        <f>LeaveData[[#This Row],[ EMP ID]]&amp;LeaveData[[#This Row],[Date]]</f>
        <v>20250101545913</v>
      </c>
      <c r="B2160" s="92">
        <v>202501015</v>
      </c>
      <c r="C2160" s="92" t="s">
        <v>1402</v>
      </c>
      <c r="D2160" s="101">
        <v>45913</v>
      </c>
      <c r="E2160" s="79" t="s">
        <v>12</v>
      </c>
      <c r="F2160" s="79" t="s">
        <v>1365</v>
      </c>
      <c r="G2160" s="79"/>
      <c r="H2160" s="129" t="s">
        <v>1476</v>
      </c>
    </row>
    <row r="2161" spans="1:8">
      <c r="A2161" s="79" t="str">
        <f>LeaveData[[#This Row],[ EMP ID]]&amp;LeaveData[[#This Row],[Date]]</f>
        <v>20231801945915</v>
      </c>
      <c r="B2161" s="79">
        <v>202318019</v>
      </c>
      <c r="C2161" s="79" t="s">
        <v>89</v>
      </c>
      <c r="D2161" s="101">
        <v>45915</v>
      </c>
      <c r="E2161" s="79" t="s">
        <v>16</v>
      </c>
      <c r="F2161" s="79" t="s">
        <v>45</v>
      </c>
      <c r="G2161" s="79"/>
      <c r="H2161" s="79" t="s">
        <v>169</v>
      </c>
    </row>
    <row r="2162" spans="1:8">
      <c r="A2162" s="79" t="str">
        <f>LeaveData[[#This Row],[ EMP ID]]&amp;LeaveData[[#This Row],[Date]]</f>
        <v>20250102045916</v>
      </c>
      <c r="B2162" s="92">
        <v>202501020</v>
      </c>
      <c r="C2162" s="92" t="s">
        <v>1468</v>
      </c>
      <c r="D2162" s="101">
        <v>45916</v>
      </c>
      <c r="E2162" s="79" t="s">
        <v>130</v>
      </c>
      <c r="F2162" s="79" t="s">
        <v>125</v>
      </c>
      <c r="G2162" s="79"/>
      <c r="H2162" s="79" t="s">
        <v>299</v>
      </c>
    </row>
    <row r="2163" spans="1:8">
      <c r="A2163" s="79" t="str">
        <f>LeaveData[[#This Row],[ EMP ID]]&amp;LeaveData[[#This Row],[Date]]</f>
        <v>20250102045917</v>
      </c>
      <c r="B2163" s="92">
        <v>202501020</v>
      </c>
      <c r="C2163" s="92" t="s">
        <v>1468</v>
      </c>
      <c r="D2163" s="101">
        <v>45917</v>
      </c>
      <c r="E2163" s="79" t="s">
        <v>130</v>
      </c>
      <c r="F2163" s="79" t="s">
        <v>125</v>
      </c>
      <c r="G2163" s="79"/>
      <c r="H2163" s="79" t="s">
        <v>299</v>
      </c>
    </row>
    <row r="2164" spans="1:8">
      <c r="A2164" s="79" t="str">
        <f>LeaveData[[#This Row],[ EMP ID]]&amp;LeaveData[[#This Row],[Date]]</f>
        <v>20250101845919</v>
      </c>
      <c r="B2164" s="92">
        <v>202501018</v>
      </c>
      <c r="C2164" s="122" t="s">
        <v>1460</v>
      </c>
      <c r="D2164" s="101">
        <v>45919</v>
      </c>
      <c r="E2164" s="79" t="s">
        <v>12</v>
      </c>
      <c r="F2164" s="79" t="s">
        <v>235</v>
      </c>
      <c r="G2164" s="79"/>
      <c r="H2164" s="79" t="s">
        <v>140</v>
      </c>
    </row>
    <row r="2165" spans="1:8">
      <c r="A2165" s="79" t="str">
        <f>LeaveData[[#This Row],[ EMP ID]]&amp;LeaveData[[#This Row],[Date]]</f>
        <v>20211800745919</v>
      </c>
      <c r="B2165" s="79">
        <v>202118007</v>
      </c>
      <c r="C2165" s="79" t="s">
        <v>103</v>
      </c>
      <c r="D2165" s="101">
        <v>45919</v>
      </c>
      <c r="E2165" s="79" t="s">
        <v>13</v>
      </c>
      <c r="F2165" s="79" t="s">
        <v>104</v>
      </c>
      <c r="G2165" s="79"/>
      <c r="H2165" s="79" t="s">
        <v>1477</v>
      </c>
    </row>
    <row r="2166" spans="1:8">
      <c r="A2166" s="79" t="str">
        <f>LeaveData[[#This Row],[ EMP ID]]&amp;LeaveData[[#This Row],[Date]]</f>
        <v>20232000945920</v>
      </c>
      <c r="B2166" s="92">
        <v>202320009</v>
      </c>
      <c r="C2166" s="92" t="s">
        <v>143</v>
      </c>
      <c r="D2166" s="101">
        <v>45920</v>
      </c>
      <c r="E2166" s="79" t="s">
        <v>1437</v>
      </c>
      <c r="F2166" s="79" t="s">
        <v>1365</v>
      </c>
      <c r="G2166" s="79"/>
      <c r="H2166" s="79" t="s">
        <v>277</v>
      </c>
    </row>
    <row r="2167" spans="1:8">
      <c r="A2167" s="79" t="str">
        <f>LeaveData[[#This Row],[ EMP ID]]&amp;LeaveData[[#This Row],[Date]]</f>
        <v>20251804345920</v>
      </c>
      <c r="B2167" s="92">
        <v>202518043</v>
      </c>
      <c r="C2167" s="122" t="s">
        <v>403</v>
      </c>
      <c r="D2167" s="101">
        <v>45920</v>
      </c>
      <c r="E2167" s="79" t="s">
        <v>1437</v>
      </c>
      <c r="F2167" s="79" t="s">
        <v>43</v>
      </c>
      <c r="G2167" s="79"/>
      <c r="H2167" s="79" t="s">
        <v>277</v>
      </c>
    </row>
    <row r="2168" spans="1:8">
      <c r="A2168" s="79" t="str">
        <f>LeaveData[[#This Row],[ EMP ID]]&amp;LeaveData[[#This Row],[Date]]</f>
        <v>20231801745922</v>
      </c>
      <c r="B2168" s="92">
        <v>202318017</v>
      </c>
      <c r="C2168" s="92" t="s">
        <v>37</v>
      </c>
      <c r="D2168" s="101">
        <v>45922</v>
      </c>
      <c r="E2168" s="79" t="s">
        <v>14</v>
      </c>
      <c r="F2168" s="79" t="s">
        <v>1365</v>
      </c>
      <c r="G2168" s="79"/>
      <c r="H2168" s="79" t="s">
        <v>1478</v>
      </c>
    </row>
    <row r="2169" spans="1:8">
      <c r="A2169" s="79" t="str">
        <f>LeaveData[[#This Row],[ EMP ID]]&amp;LeaveData[[#This Row],[Date]]</f>
        <v>20240100145920</v>
      </c>
      <c r="B2169" s="92">
        <v>202401001</v>
      </c>
      <c r="C2169" s="92" t="s">
        <v>61</v>
      </c>
      <c r="D2169" s="101">
        <v>45920</v>
      </c>
      <c r="E2169" s="79" t="s">
        <v>12</v>
      </c>
      <c r="F2169" s="79" t="s">
        <v>43</v>
      </c>
      <c r="G2169" s="79"/>
      <c r="H2169" s="79" t="s">
        <v>140</v>
      </c>
    </row>
    <row r="2170" spans="1:8">
      <c r="A2170" s="79" t="str">
        <f>LeaveData[[#This Row],[ EMP ID]]&amp;LeaveData[[#This Row],[Date]]</f>
        <v>20241804245920</v>
      </c>
      <c r="B2170" s="79">
        <v>202418042</v>
      </c>
      <c r="C2170" s="79" t="s">
        <v>402</v>
      </c>
      <c r="D2170" s="101">
        <v>45920</v>
      </c>
      <c r="E2170" s="79" t="s">
        <v>12</v>
      </c>
      <c r="F2170" s="79" t="s">
        <v>235</v>
      </c>
      <c r="G2170" s="79"/>
      <c r="H2170" s="79" t="s">
        <v>140</v>
      </c>
    </row>
    <row r="2171" spans="1:8">
      <c r="A2171" s="79" t="str">
        <f>LeaveData[[#This Row],[ EMP ID]]&amp;LeaveData[[#This Row],[Date]]</f>
        <v>20242101845920</v>
      </c>
      <c r="B2171" s="92">
        <v>202421018</v>
      </c>
      <c r="C2171" s="122" t="s">
        <v>378</v>
      </c>
      <c r="D2171" s="101">
        <v>45920</v>
      </c>
      <c r="E2171" s="79" t="s">
        <v>16</v>
      </c>
      <c r="F2171" s="79" t="s">
        <v>29</v>
      </c>
      <c r="G2171" s="79"/>
      <c r="H2171" s="79" t="s">
        <v>1479</v>
      </c>
    </row>
    <row r="2172" spans="1:8">
      <c r="A2172" s="79" t="str">
        <f>LeaveData[[#This Row],[ EMP ID]]&amp;LeaveData[[#This Row],[Date]]</f>
        <v>20182000145922</v>
      </c>
      <c r="B2172" s="92">
        <v>201820001</v>
      </c>
      <c r="C2172" s="122" t="s">
        <v>18</v>
      </c>
      <c r="D2172" s="101">
        <v>45922</v>
      </c>
      <c r="E2172" s="79" t="s">
        <v>12</v>
      </c>
      <c r="F2172" s="79" t="s">
        <v>118</v>
      </c>
      <c r="G2172" s="79"/>
      <c r="H2172" s="79" t="s">
        <v>140</v>
      </c>
    </row>
    <row r="2173" spans="1:8">
      <c r="A2173" s="79" t="str">
        <f>LeaveData[[#This Row],[ EMP ID]]&amp;LeaveData[[#This Row],[Date]]</f>
        <v>20251804345922</v>
      </c>
      <c r="B2173" s="92">
        <v>202518043</v>
      </c>
      <c r="C2173" s="122" t="s">
        <v>403</v>
      </c>
      <c r="D2173" s="101">
        <v>45922</v>
      </c>
      <c r="E2173" s="79" t="s">
        <v>16</v>
      </c>
      <c r="F2173" s="79" t="s">
        <v>43</v>
      </c>
      <c r="G2173" s="79"/>
      <c r="H2173" s="79" t="s">
        <v>1480</v>
      </c>
    </row>
    <row r="2174" spans="1:8">
      <c r="A2174" s="79" t="str">
        <f>LeaveData[[#This Row],[ EMP ID]]&amp;LeaveData[[#This Row],[Date]]</f>
        <v>20251804345923</v>
      </c>
      <c r="B2174" s="92">
        <v>202518043</v>
      </c>
      <c r="C2174" s="122" t="s">
        <v>403</v>
      </c>
      <c r="D2174" s="101">
        <v>45923</v>
      </c>
      <c r="E2174" s="79" t="s">
        <v>16</v>
      </c>
      <c r="F2174" s="79" t="s">
        <v>43</v>
      </c>
      <c r="G2174" s="79"/>
      <c r="H2174" s="79" t="s">
        <v>1480</v>
      </c>
    </row>
    <row r="2175" spans="1:8">
      <c r="A2175" s="79" t="str">
        <f>LeaveData[[#This Row],[ EMP ID]]&amp;LeaveData[[#This Row],[Date]]</f>
        <v>20251804345924</v>
      </c>
      <c r="B2175" s="92">
        <v>202518043</v>
      </c>
      <c r="C2175" s="122" t="s">
        <v>403</v>
      </c>
      <c r="D2175" s="101">
        <v>45924</v>
      </c>
      <c r="E2175" s="79" t="s">
        <v>16</v>
      </c>
      <c r="F2175" s="79" t="s">
        <v>43</v>
      </c>
      <c r="G2175" s="79"/>
      <c r="H2175" s="79" t="s">
        <v>1480</v>
      </c>
    </row>
    <row r="2176" spans="1:8">
      <c r="A2176" s="79" t="str">
        <f>LeaveData[[#This Row],[ EMP ID]]&amp;LeaveData[[#This Row],[Date]]</f>
        <v>20251804345925</v>
      </c>
      <c r="B2176" s="92">
        <v>202518043</v>
      </c>
      <c r="C2176" s="122" t="s">
        <v>403</v>
      </c>
      <c r="D2176" s="101">
        <v>45925</v>
      </c>
      <c r="E2176" s="79" t="s">
        <v>16</v>
      </c>
      <c r="F2176" s="79" t="s">
        <v>43</v>
      </c>
      <c r="G2176" s="79"/>
      <c r="H2176" s="79" t="s">
        <v>1480</v>
      </c>
    </row>
    <row r="2177" spans="1:8">
      <c r="A2177" s="79" t="str">
        <f>LeaveData[[#This Row],[ EMP ID]]&amp;LeaveData[[#This Row],[Date]]</f>
        <v>20251804345926</v>
      </c>
      <c r="B2177" s="92">
        <v>202518043</v>
      </c>
      <c r="C2177" s="122" t="s">
        <v>403</v>
      </c>
      <c r="D2177" s="101">
        <v>45926</v>
      </c>
      <c r="E2177" s="79" t="s">
        <v>16</v>
      </c>
      <c r="F2177" s="79" t="s">
        <v>43</v>
      </c>
      <c r="G2177" s="79"/>
      <c r="H2177" s="79" t="s">
        <v>1480</v>
      </c>
    </row>
    <row r="2178" spans="1:8">
      <c r="A2178" s="79" t="str">
        <f>LeaveData[[#This Row],[ EMP ID]]&amp;LeaveData[[#This Row],[Date]]</f>
        <v>20250101945929</v>
      </c>
      <c r="B2178" s="92">
        <v>202501019</v>
      </c>
      <c r="C2178" s="92" t="s">
        <v>1461</v>
      </c>
      <c r="D2178" s="101">
        <v>45929</v>
      </c>
      <c r="E2178" s="79" t="s">
        <v>13</v>
      </c>
      <c r="F2178" s="79" t="s">
        <v>1365</v>
      </c>
      <c r="G2178" s="79"/>
      <c r="H2178" s="79" t="s">
        <v>1481</v>
      </c>
    </row>
    <row r="2179" spans="1:8">
      <c r="A2179" s="79" t="str">
        <f>LeaveData[[#This Row],[ EMP ID]]&amp;LeaveData[[#This Row],[Date]]</f>
        <v>20231802045921</v>
      </c>
      <c r="B2179" s="92">
        <v>202318020</v>
      </c>
      <c r="C2179" s="92" t="s">
        <v>43</v>
      </c>
      <c r="D2179" s="101">
        <v>45921</v>
      </c>
      <c r="E2179" s="79" t="s">
        <v>154</v>
      </c>
      <c r="F2179" s="79" t="s">
        <v>45</v>
      </c>
      <c r="G2179" s="79"/>
      <c r="H2179" s="79" t="s">
        <v>1474</v>
      </c>
    </row>
    <row r="2180" spans="1:8">
      <c r="A2180" s="79" t="str">
        <f>LeaveData[[#This Row],[ EMP ID]]&amp;LeaveData[[#This Row],[Date]]</f>
        <v>20242101845922</v>
      </c>
      <c r="B2180" s="92">
        <v>202421018</v>
      </c>
      <c r="C2180" s="122" t="s">
        <v>378</v>
      </c>
      <c r="D2180" s="101">
        <v>45922</v>
      </c>
      <c r="E2180" s="79" t="s">
        <v>12</v>
      </c>
      <c r="F2180" s="79" t="s">
        <v>29</v>
      </c>
      <c r="G2180" s="79"/>
      <c r="H2180" s="79" t="s">
        <v>140</v>
      </c>
    </row>
    <row r="2181" spans="1:8">
      <c r="A2181" s="79" t="str">
        <f>LeaveData[[#This Row],[ EMP ID]]&amp;LeaveData[[#This Row],[Date]]</f>
        <v>20242100145559</v>
      </c>
      <c r="B2181" s="92">
        <v>202421001</v>
      </c>
      <c r="C2181" s="122" t="s">
        <v>221</v>
      </c>
      <c r="D2181" s="101">
        <v>45559</v>
      </c>
      <c r="E2181" s="79" t="s">
        <v>14</v>
      </c>
      <c r="F2181" s="79" t="s">
        <v>29</v>
      </c>
      <c r="G2181" s="79"/>
      <c r="H2181" s="79" t="s">
        <v>168</v>
      </c>
    </row>
    <row r="2182" spans="1:8">
      <c r="A2182" s="79" t="str">
        <f>LeaveData[[#This Row],[ EMP ID]]&amp;LeaveData[[#This Row],[Date]]</f>
        <v>20242100245559</v>
      </c>
      <c r="B2182" s="124">
        <v>202421002</v>
      </c>
      <c r="C2182" s="122" t="s">
        <v>223</v>
      </c>
      <c r="D2182" s="101">
        <v>45559</v>
      </c>
      <c r="E2182" s="79" t="s">
        <v>14</v>
      </c>
      <c r="F2182" s="79" t="s">
        <v>29</v>
      </c>
      <c r="G2182" s="79"/>
      <c r="H2182" s="79" t="s">
        <v>168</v>
      </c>
    </row>
    <row r="2183" spans="1:8">
      <c r="A2183" s="79" t="str">
        <f>LeaveData[[#This Row],[ EMP ID]]&amp;LeaveData[[#This Row],[Date]]</f>
        <v>20250102045560</v>
      </c>
      <c r="B2183" s="92">
        <v>202501020</v>
      </c>
      <c r="C2183" s="92" t="s">
        <v>1468</v>
      </c>
      <c r="D2183" s="101">
        <v>45560</v>
      </c>
      <c r="E2183" s="79" t="s">
        <v>12</v>
      </c>
      <c r="F2183" s="79" t="s">
        <v>246</v>
      </c>
      <c r="G2183" s="79"/>
      <c r="H2183" s="79" t="s">
        <v>140</v>
      </c>
    </row>
    <row r="2184" spans="1:8">
      <c r="A2184" s="79" t="str">
        <f>LeaveData[[#This Row],[ EMP ID]]&amp;LeaveData[[#This Row],[Date]]</f>
        <v>20250102045561</v>
      </c>
      <c r="B2184" s="92">
        <v>202501020</v>
      </c>
      <c r="C2184" s="92" t="s">
        <v>1468</v>
      </c>
      <c r="D2184" s="101">
        <v>45561</v>
      </c>
      <c r="E2184" s="79" t="s">
        <v>12</v>
      </c>
      <c r="F2184" s="79" t="s">
        <v>246</v>
      </c>
      <c r="G2184" s="79"/>
      <c r="H2184" s="79" t="s">
        <v>140</v>
      </c>
    </row>
    <row r="2185" spans="1:8">
      <c r="A2185" s="79" t="str">
        <f>LeaveData[[#This Row],[ EMP ID]]&amp;LeaveData[[#This Row],[Date]]</f>
        <v>20221801045929</v>
      </c>
      <c r="B2185" s="92">
        <v>202218010</v>
      </c>
      <c r="C2185" s="92" t="s">
        <v>27</v>
      </c>
      <c r="D2185" s="101">
        <v>45929</v>
      </c>
      <c r="E2185" s="79" t="s">
        <v>13</v>
      </c>
      <c r="F2185" s="79" t="s">
        <v>104</v>
      </c>
      <c r="G2185" s="79"/>
      <c r="H2185" s="79" t="s">
        <v>169</v>
      </c>
    </row>
    <row r="2186" spans="1:8">
      <c r="A2186" s="79" t="str">
        <f>LeaveData[[#This Row],[ EMP ID]]&amp;LeaveData[[#This Row],[Date]]</f>
        <v>20221801045930</v>
      </c>
      <c r="B2186" s="92">
        <v>202218010</v>
      </c>
      <c r="C2186" s="92" t="s">
        <v>27</v>
      </c>
      <c r="D2186" s="101">
        <v>45930</v>
      </c>
      <c r="E2186" s="79" t="s">
        <v>13</v>
      </c>
      <c r="F2186" s="79" t="s">
        <v>104</v>
      </c>
      <c r="G2186" s="79"/>
      <c r="H2186" s="79" t="s">
        <v>169</v>
      </c>
    </row>
    <row r="2187" spans="1:8">
      <c r="A2187" s="79" t="str">
        <f>LeaveData[[#This Row],[ EMP ID]]&amp;LeaveData[[#This Row],[Date]]</f>
        <v>20231802845927</v>
      </c>
      <c r="B2187" s="79">
        <v>202318028</v>
      </c>
      <c r="C2187" s="79" t="s">
        <v>57</v>
      </c>
      <c r="D2187" s="101">
        <v>45927</v>
      </c>
      <c r="E2187" s="79" t="s">
        <v>154</v>
      </c>
      <c r="F2187" s="79" t="s">
        <v>104</v>
      </c>
      <c r="G2187" s="79"/>
      <c r="H2187" s="79" t="s">
        <v>1482</v>
      </c>
    </row>
    <row r="2188" spans="1:8">
      <c r="A2188" s="79" t="str">
        <f>LeaveData[[#This Row],[ EMP ID]]&amp;LeaveData[[#This Row],[Date]]</f>
        <v>20241804245927</v>
      </c>
      <c r="B2188" s="79">
        <v>202418042</v>
      </c>
      <c r="C2188" s="79" t="s">
        <v>402</v>
      </c>
      <c r="D2188" s="101">
        <v>45927</v>
      </c>
      <c r="E2188" s="79" t="s">
        <v>154</v>
      </c>
      <c r="F2188" s="79" t="s">
        <v>235</v>
      </c>
      <c r="G2188" s="79"/>
      <c r="H2188" s="79" t="s">
        <v>1482</v>
      </c>
    </row>
    <row r="2189" spans="1:8">
      <c r="A2189" s="79" t="str">
        <f>LeaveData[[#This Row],[ EMP ID]]&amp;LeaveData[[#This Row],[Date]]</f>
        <v>20241804245928</v>
      </c>
      <c r="B2189" s="79">
        <v>202418042</v>
      </c>
      <c r="C2189" s="79" t="s">
        <v>402</v>
      </c>
      <c r="D2189" s="101">
        <v>45928</v>
      </c>
      <c r="E2189" s="79" t="s">
        <v>154</v>
      </c>
      <c r="F2189" s="79" t="s">
        <v>235</v>
      </c>
      <c r="G2189" s="79"/>
      <c r="H2189" s="79" t="s">
        <v>1474</v>
      </c>
    </row>
    <row r="2190" spans="1:8">
      <c r="A2190" s="79" t="str">
        <f>LeaveData[[#This Row],[ EMP ID]]&amp;LeaveData[[#This Row],[Date]]</f>
        <v>20221801145931</v>
      </c>
      <c r="B2190" s="92">
        <v>202218011</v>
      </c>
      <c r="C2190" s="92" t="s">
        <v>28</v>
      </c>
      <c r="D2190" s="101">
        <v>45931</v>
      </c>
      <c r="E2190" s="79" t="s">
        <v>13</v>
      </c>
      <c r="F2190" s="79" t="s">
        <v>235</v>
      </c>
      <c r="G2190" s="79"/>
      <c r="H2190" s="79" t="s">
        <v>1483</v>
      </c>
    </row>
    <row r="2191" spans="1:8">
      <c r="A2191" s="79" t="str">
        <f>LeaveData[[#This Row],[ EMP ID]]&amp;LeaveData[[#This Row],[Date]]</f>
        <v>20182000145931</v>
      </c>
      <c r="B2191" s="92">
        <v>201820001</v>
      </c>
      <c r="C2191" s="122" t="s">
        <v>18</v>
      </c>
      <c r="D2191" s="101">
        <v>45931</v>
      </c>
      <c r="E2191" s="79" t="s">
        <v>13</v>
      </c>
      <c r="F2191" s="79" t="s">
        <v>118</v>
      </c>
      <c r="G2191" s="79"/>
      <c r="H2191" s="79" t="s">
        <v>1347</v>
      </c>
    </row>
    <row r="2192" spans="1:8">
      <c r="A2192" s="79" t="str">
        <f>LeaveData[[#This Row],[ EMP ID]]&amp;LeaveData[[#This Row],[Date]]</f>
        <v>20232000745929</v>
      </c>
      <c r="B2192" s="92">
        <v>202320007</v>
      </c>
      <c r="C2192" s="92" t="s">
        <v>183</v>
      </c>
      <c r="D2192" s="101">
        <v>45929</v>
      </c>
      <c r="E2192" s="79" t="s">
        <v>13</v>
      </c>
      <c r="F2192" s="79" t="s">
        <v>114</v>
      </c>
      <c r="G2192" s="79"/>
      <c r="H2192" s="79" t="s">
        <v>1484</v>
      </c>
    </row>
    <row r="2193" spans="1:8">
      <c r="A2193" s="79" t="str">
        <f>LeaveData[[#This Row],[ EMP ID]]&amp;LeaveData[[#This Row],[Date]]</f>
        <v>20232000745930</v>
      </c>
      <c r="B2193" s="92">
        <v>202320007</v>
      </c>
      <c r="C2193" s="92" t="s">
        <v>183</v>
      </c>
      <c r="D2193" s="101">
        <v>45930</v>
      </c>
      <c r="E2193" s="79" t="s">
        <v>13</v>
      </c>
      <c r="F2193" s="79" t="s">
        <v>114</v>
      </c>
      <c r="G2193" s="79"/>
      <c r="H2193" s="79" t="s">
        <v>1484</v>
      </c>
    </row>
    <row r="2194" spans="1:8">
      <c r="A2194" s="79" t="str">
        <f>LeaveData[[#This Row],[ EMP ID]]&amp;LeaveData[[#This Row],[Date]]</f>
        <v>20211800745931</v>
      </c>
      <c r="B2194" s="79">
        <v>202118007</v>
      </c>
      <c r="C2194" s="79" t="s">
        <v>103</v>
      </c>
      <c r="D2194" s="101">
        <v>45931</v>
      </c>
      <c r="E2194" s="79" t="s">
        <v>13</v>
      </c>
      <c r="F2194" s="79" t="s">
        <v>114</v>
      </c>
      <c r="G2194" s="79"/>
      <c r="H2194" s="79" t="s">
        <v>168</v>
      </c>
    </row>
    <row r="2195" spans="1:8">
      <c r="A2195" s="79" t="str">
        <f>LeaveData[[#This Row],[ EMP ID]]&amp;LeaveData[[#This Row],[Date]]</f>
        <v>20211800845930</v>
      </c>
      <c r="B2195" s="92">
        <v>202118008</v>
      </c>
      <c r="C2195" s="92" t="s">
        <v>25</v>
      </c>
      <c r="D2195" s="101">
        <v>45930</v>
      </c>
      <c r="E2195" s="79" t="s">
        <v>14</v>
      </c>
      <c r="F2195" s="79" t="s">
        <v>128</v>
      </c>
      <c r="G2195" s="79"/>
      <c r="H2195" s="79" t="s">
        <v>1485</v>
      </c>
    </row>
    <row r="2196" spans="1:8">
      <c r="A2196" s="79" t="str">
        <f>LeaveData[[#This Row],[ EMP ID]]&amp;LeaveData[[#This Row],[Date]]</f>
        <v>20251804345921</v>
      </c>
      <c r="B2196" s="92">
        <v>202518043</v>
      </c>
      <c r="C2196" s="122" t="s">
        <v>403</v>
      </c>
      <c r="D2196" s="101">
        <v>45921</v>
      </c>
      <c r="E2196" s="79" t="s">
        <v>154</v>
      </c>
      <c r="F2196" s="79" t="s">
        <v>43</v>
      </c>
      <c r="G2196" s="79"/>
      <c r="H2196" s="79" t="s">
        <v>1474</v>
      </c>
    </row>
    <row r="2197" spans="1:8">
      <c r="A2197" s="79" t="str">
        <f>LeaveData[[#This Row],[ EMP ID]]&amp;LeaveData[[#This Row],[Date]]</f>
        <v>20251804345927</v>
      </c>
      <c r="B2197" s="92">
        <v>202518043</v>
      </c>
      <c r="C2197" s="122" t="s">
        <v>403</v>
      </c>
      <c r="D2197" s="101">
        <v>45927</v>
      </c>
      <c r="E2197" s="79" t="s">
        <v>154</v>
      </c>
      <c r="F2197" s="79" t="s">
        <v>43</v>
      </c>
      <c r="G2197" s="79"/>
      <c r="H2197" s="79" t="s">
        <v>1482</v>
      </c>
    </row>
    <row r="2198" spans="1:8">
      <c r="A2198" s="79" t="str">
        <f>LeaveData[[#This Row],[ EMP ID]]&amp;LeaveData[[#This Row],[Date]]</f>
        <v>20251804345928</v>
      </c>
      <c r="B2198" s="92">
        <v>202518043</v>
      </c>
      <c r="C2198" s="122" t="s">
        <v>403</v>
      </c>
      <c r="D2198" s="101">
        <v>45928</v>
      </c>
      <c r="E2198" s="79" t="s">
        <v>154</v>
      </c>
      <c r="F2198" s="79" t="s">
        <v>43</v>
      </c>
      <c r="G2198" s="79"/>
      <c r="H2198" s="79" t="s">
        <v>1474</v>
      </c>
    </row>
    <row r="2199" spans="1:8">
      <c r="A2199" s="79" t="str">
        <f>LeaveData[[#This Row],[ EMP ID]]&amp;LeaveData[[#This Row],[Date]]</f>
        <v>20221800945931</v>
      </c>
      <c r="B2199" s="92">
        <v>202218009</v>
      </c>
      <c r="C2199" s="92" t="s">
        <v>26</v>
      </c>
      <c r="D2199" s="101">
        <v>45931</v>
      </c>
      <c r="E2199" s="79" t="s">
        <v>12</v>
      </c>
      <c r="F2199" s="79" t="s">
        <v>128</v>
      </c>
      <c r="G2199" s="79"/>
      <c r="H2199" s="79" t="s">
        <v>140</v>
      </c>
    </row>
    <row r="2200" spans="1:8">
      <c r="A2200" s="79" t="str">
        <f>LeaveData[[#This Row],[ EMP ID]]&amp;LeaveData[[#This Row],[Date]]</f>
        <v>20251804345931</v>
      </c>
      <c r="B2200" s="92">
        <v>202518043</v>
      </c>
      <c r="C2200" s="122" t="s">
        <v>403</v>
      </c>
      <c r="D2200" s="101">
        <v>45931</v>
      </c>
      <c r="E2200" s="79" t="s">
        <v>14</v>
      </c>
      <c r="F2200" s="79" t="s">
        <v>43</v>
      </c>
      <c r="G2200" s="79"/>
      <c r="H2200" s="79" t="s">
        <v>168</v>
      </c>
    </row>
    <row r="2201" spans="1:8">
      <c r="A2201" s="79" t="str">
        <f>LeaveData[[#This Row],[ EMP ID]]&amp;LeaveData[[#This Row],[Date]]</f>
        <v>20250101645927</v>
      </c>
      <c r="B2201" s="92">
        <v>202501016</v>
      </c>
      <c r="C2201" s="92" t="s">
        <v>1430</v>
      </c>
      <c r="D2201" s="101">
        <v>45927</v>
      </c>
      <c r="E2201" s="79" t="s">
        <v>154</v>
      </c>
      <c r="F2201" s="79" t="s">
        <v>235</v>
      </c>
      <c r="G2201" s="79"/>
      <c r="H2201" s="79" t="s">
        <v>1482</v>
      </c>
    </row>
    <row r="2202" spans="1:8">
      <c r="A2202" s="79" t="str">
        <f>LeaveData[[#This Row],[ EMP ID]]&amp;LeaveData[[#This Row],[Date]]</f>
        <v>20242001545922</v>
      </c>
      <c r="B2202" s="92">
        <v>202420015</v>
      </c>
      <c r="C2202" s="92" t="s">
        <v>64</v>
      </c>
      <c r="D2202" s="101">
        <v>45922</v>
      </c>
      <c r="E2202" s="79" t="s">
        <v>13</v>
      </c>
      <c r="F2202" s="79" t="s">
        <v>114</v>
      </c>
      <c r="G2202" s="79"/>
      <c r="H2202" s="79" t="s">
        <v>126</v>
      </c>
    </row>
    <row r="2203" spans="1:8">
      <c r="A2203" s="79" t="str">
        <f>LeaveData[[#This Row],[ EMP ID]]&amp;LeaveData[[#This Row],[Date]]</f>
        <v>20242001545923</v>
      </c>
      <c r="B2203" s="92">
        <v>202420015</v>
      </c>
      <c r="C2203" s="92" t="s">
        <v>64</v>
      </c>
      <c r="D2203" s="101">
        <v>45923</v>
      </c>
      <c r="E2203" s="79" t="s">
        <v>13</v>
      </c>
      <c r="F2203" s="79" t="s">
        <v>114</v>
      </c>
      <c r="G2203" s="79"/>
      <c r="H2203" s="79" t="s">
        <v>126</v>
      </c>
    </row>
    <row r="2204" spans="1:8">
      <c r="A2204" s="79" t="str">
        <f>LeaveData[[#This Row],[ EMP ID]]&amp;LeaveData[[#This Row],[Date]]</f>
        <v>20242001545924</v>
      </c>
      <c r="B2204" s="92">
        <v>202420015</v>
      </c>
      <c r="C2204" s="92" t="s">
        <v>64</v>
      </c>
      <c r="D2204" s="101">
        <v>45924</v>
      </c>
      <c r="E2204" s="79" t="s">
        <v>13</v>
      </c>
      <c r="F2204" s="79" t="s">
        <v>114</v>
      </c>
      <c r="G2204" s="79"/>
      <c r="H2204" s="79" t="s">
        <v>126</v>
      </c>
    </row>
    <row r="2205" spans="1:8">
      <c r="A2205" s="79" t="str">
        <f>LeaveData[[#This Row],[ EMP ID]]&amp;LeaveData[[#This Row],[Date]]</f>
        <v>20242001545925</v>
      </c>
      <c r="B2205" s="92">
        <v>202420015</v>
      </c>
      <c r="C2205" s="92" t="s">
        <v>64</v>
      </c>
      <c r="D2205" s="101">
        <v>45925</v>
      </c>
      <c r="E2205" s="79" t="s">
        <v>13</v>
      </c>
      <c r="F2205" s="79" t="s">
        <v>114</v>
      </c>
      <c r="G2205" s="79"/>
      <c r="H2205" s="79" t="s">
        <v>126</v>
      </c>
    </row>
    <row r="2206" spans="1:8">
      <c r="A2206" s="79" t="str">
        <f>LeaveData[[#This Row],[ EMP ID]]&amp;LeaveData[[#This Row],[Date]]</f>
        <v>20242001545926</v>
      </c>
      <c r="B2206" s="92">
        <v>202420015</v>
      </c>
      <c r="C2206" s="92" t="s">
        <v>64</v>
      </c>
      <c r="D2206" s="101">
        <v>45926</v>
      </c>
      <c r="E2206" s="79" t="s">
        <v>13</v>
      </c>
      <c r="F2206" s="79" t="s">
        <v>114</v>
      </c>
      <c r="G2206" s="79"/>
      <c r="H2206" s="79" t="s">
        <v>126</v>
      </c>
    </row>
    <row r="2207" spans="1:8">
      <c r="A2207" s="79" t="str">
        <f>LeaveData[[#This Row],[ EMP ID]]&amp;LeaveData[[#This Row],[Date]]</f>
        <v>20250102045918</v>
      </c>
      <c r="B2207" s="79">
        <v>202501020</v>
      </c>
      <c r="C2207" s="79" t="s">
        <v>1468</v>
      </c>
      <c r="D2207" s="101">
        <v>45918</v>
      </c>
      <c r="E2207" s="79" t="s">
        <v>15</v>
      </c>
      <c r="F2207" s="79" t="s">
        <v>125</v>
      </c>
      <c r="G2207" s="79"/>
      <c r="H2207" s="79" t="s">
        <v>140</v>
      </c>
    </row>
    <row r="2208" spans="1:8">
      <c r="A2208" s="79" t="str">
        <f>LeaveData[[#This Row],[ EMP ID]]&amp;LeaveData[[#This Row],[Date]]</f>
        <v>20231801945930</v>
      </c>
      <c r="B2208" s="79">
        <v>202318019</v>
      </c>
      <c r="C2208" s="79" t="s">
        <v>89</v>
      </c>
      <c r="D2208" s="101">
        <v>45930</v>
      </c>
      <c r="E2208" s="79" t="s">
        <v>16</v>
      </c>
      <c r="F2208" s="79" t="s">
        <v>45</v>
      </c>
      <c r="G2208" s="79"/>
      <c r="H2208" s="79" t="s">
        <v>140</v>
      </c>
    </row>
    <row r="2209" spans="1:8">
      <c r="A2209" s="79" t="str">
        <f>LeaveData[[#This Row],[ EMP ID]]&amp;LeaveData[[#This Row],[Date]]</f>
        <v>20231801945906</v>
      </c>
      <c r="B2209" s="79">
        <v>202318019</v>
      </c>
      <c r="C2209" s="79" t="s">
        <v>89</v>
      </c>
      <c r="D2209" s="101">
        <v>45906</v>
      </c>
      <c r="E2209" s="79" t="s">
        <v>12</v>
      </c>
      <c r="F2209" s="79" t="s">
        <v>45</v>
      </c>
      <c r="G2209" s="79"/>
      <c r="H2209" s="79" t="s">
        <v>140</v>
      </c>
    </row>
    <row r="2210" spans="1:8">
      <c r="A2210" s="79" t="str">
        <f>LeaveData[[#This Row],[ EMP ID]]&amp;LeaveData[[#This Row],[Date]]</f>
        <v>20231801745930</v>
      </c>
      <c r="B2210" s="92">
        <v>202318017</v>
      </c>
      <c r="C2210" s="92" t="s">
        <v>37</v>
      </c>
      <c r="D2210" s="101">
        <v>45930</v>
      </c>
      <c r="E2210" s="79" t="s">
        <v>16</v>
      </c>
      <c r="F2210" s="79" t="s">
        <v>118</v>
      </c>
      <c r="G2210" s="79"/>
      <c r="H2210" s="79" t="s">
        <v>169</v>
      </c>
    </row>
    <row r="2211" spans="1:8">
      <c r="A2211" s="79" t="str">
        <f>LeaveData[[#This Row],[ EMP ID]]&amp;LeaveData[[#This Row],[Date]]</f>
        <v>20241803845901</v>
      </c>
      <c r="B2211" s="79">
        <v>202418038</v>
      </c>
      <c r="C2211" s="79" t="s">
        <v>246</v>
      </c>
      <c r="D2211" s="101">
        <v>45901</v>
      </c>
      <c r="E2211" s="79" t="s">
        <v>1437</v>
      </c>
      <c r="F2211" s="79" t="s">
        <v>125</v>
      </c>
      <c r="G2211" s="79"/>
      <c r="H2211" s="79" t="s">
        <v>277</v>
      </c>
    </row>
    <row r="2212" spans="1:8">
      <c r="A2212" s="79" t="str">
        <f>LeaveData[[#This Row],[ EMP ID]]&amp;LeaveData[[#This Row],[Date]]</f>
        <v>20242100145904</v>
      </c>
      <c r="B2212" s="92">
        <v>202421001</v>
      </c>
      <c r="C2212" s="122" t="s">
        <v>221</v>
      </c>
      <c r="D2212" s="101">
        <v>45904</v>
      </c>
      <c r="E2212" s="79" t="s">
        <v>1437</v>
      </c>
      <c r="F2212" s="79" t="s">
        <v>29</v>
      </c>
      <c r="G2212" s="79"/>
      <c r="H2212" s="79" t="s">
        <v>277</v>
      </c>
    </row>
    <row r="2213" spans="1:8">
      <c r="A2213" s="79" t="str">
        <f>LeaveData[[#This Row],[ EMP ID]]&amp;LeaveData[[#This Row],[Date]]</f>
        <v>20231801945932</v>
      </c>
      <c r="B2213" s="79">
        <v>202318019</v>
      </c>
      <c r="C2213" s="79" t="s">
        <v>89</v>
      </c>
      <c r="D2213" s="101">
        <v>45932</v>
      </c>
      <c r="E2213" s="79" t="s">
        <v>154</v>
      </c>
      <c r="F2213" s="79" t="s">
        <v>45</v>
      </c>
      <c r="G2213" s="79"/>
      <c r="H2213" s="79" t="s">
        <v>423</v>
      </c>
    </row>
    <row r="2214" spans="1:8">
      <c r="A2214" s="79" t="str">
        <f>LeaveData[[#This Row],[ EMP ID]]&amp;LeaveData[[#This Row],[Date]]</f>
        <v>20250100845933</v>
      </c>
      <c r="B2214" s="92">
        <v>202501008</v>
      </c>
      <c r="C2214" s="92" t="s">
        <v>1368</v>
      </c>
      <c r="D2214" s="101">
        <v>45933</v>
      </c>
      <c r="E2214" s="79" t="s">
        <v>14</v>
      </c>
      <c r="F2214" s="79" t="s">
        <v>235</v>
      </c>
      <c r="G2214" s="79"/>
      <c r="H2214" s="79" t="s">
        <v>299</v>
      </c>
    </row>
    <row r="2215" spans="1:8">
      <c r="A2215" s="79" t="str">
        <f>LeaveData[[#This Row],[ EMP ID]]&amp;LeaveData[[#This Row],[Date]]</f>
        <v>20250100845934</v>
      </c>
      <c r="B2215" s="92">
        <v>202501008</v>
      </c>
      <c r="C2215" s="92" t="s">
        <v>1368</v>
      </c>
      <c r="D2215" s="101">
        <v>45934</v>
      </c>
      <c r="E2215" s="79" t="s">
        <v>14</v>
      </c>
      <c r="F2215" s="79" t="s">
        <v>235</v>
      </c>
      <c r="G2215" s="79"/>
      <c r="H2215" s="79" t="s">
        <v>299</v>
      </c>
    </row>
    <row r="2216" spans="1:8">
      <c r="A2216" s="79" t="str">
        <f>LeaveData[[#This Row],[ EMP ID]]&amp;LeaveData[[#This Row],[Date]]</f>
        <v>20250100845936</v>
      </c>
      <c r="B2216" s="92">
        <v>202501008</v>
      </c>
      <c r="C2216" s="92" t="s">
        <v>1368</v>
      </c>
      <c r="D2216" s="101">
        <v>45936</v>
      </c>
      <c r="E2216" s="79" t="s">
        <v>14</v>
      </c>
      <c r="F2216" s="79" t="s">
        <v>235</v>
      </c>
      <c r="G2216" s="79"/>
      <c r="H2216" s="79" t="s">
        <v>299</v>
      </c>
    </row>
    <row r="2217" spans="1:8">
      <c r="A2217" s="79" t="str">
        <f>LeaveData[[#This Row],[ EMP ID]]&amp;LeaveData[[#This Row],[Date]]</f>
        <v>20250100845937</v>
      </c>
      <c r="B2217" s="92">
        <v>202501008</v>
      </c>
      <c r="C2217" s="92" t="s">
        <v>1368</v>
      </c>
      <c r="D2217" s="101">
        <v>45937</v>
      </c>
      <c r="E2217" s="79" t="s">
        <v>14</v>
      </c>
      <c r="F2217" s="79" t="s">
        <v>235</v>
      </c>
      <c r="G2217" s="79"/>
      <c r="H2217" s="79" t="s">
        <v>299</v>
      </c>
    </row>
    <row r="2218" spans="1:8">
      <c r="A2218" s="79" t="str">
        <f>LeaveData[[#This Row],[ EMP ID]]&amp;LeaveData[[#This Row],[Date]]</f>
        <v>20250101845934</v>
      </c>
      <c r="B2218" s="92">
        <v>202501018</v>
      </c>
      <c r="C2218" s="92" t="s">
        <v>1460</v>
      </c>
      <c r="D2218" s="101">
        <v>45934</v>
      </c>
      <c r="E2218" s="79" t="s">
        <v>13</v>
      </c>
      <c r="F2218" s="79" t="s">
        <v>235</v>
      </c>
      <c r="G2218" s="79"/>
      <c r="H2218" s="79" t="s">
        <v>105</v>
      </c>
    </row>
    <row r="2219" spans="1:8">
      <c r="A2219" s="79" t="str">
        <f>LeaveData[[#This Row],[ EMP ID]]&amp;LeaveData[[#This Row],[Date]]</f>
        <v>20250101645933</v>
      </c>
      <c r="B2219" s="92">
        <v>202501016</v>
      </c>
      <c r="C2219" s="92" t="s">
        <v>1430</v>
      </c>
      <c r="D2219" s="101">
        <v>45933</v>
      </c>
      <c r="E2219" s="79" t="s">
        <v>16</v>
      </c>
      <c r="F2219" s="79" t="s">
        <v>235</v>
      </c>
      <c r="G2219" s="79"/>
      <c r="H2219" s="79" t="s">
        <v>1462</v>
      </c>
    </row>
    <row r="2220" spans="1:8">
      <c r="A2220" s="79" t="str">
        <f>LeaveData[[#This Row],[ EMP ID]]&amp;LeaveData[[#This Row],[Date]]</f>
        <v>20250101945933</v>
      </c>
      <c r="B2220" s="92">
        <v>202501019</v>
      </c>
      <c r="C2220" s="92" t="s">
        <v>1461</v>
      </c>
      <c r="D2220" s="101">
        <v>45933</v>
      </c>
      <c r="E2220" s="79" t="s">
        <v>13</v>
      </c>
      <c r="F2220" s="79" t="s">
        <v>1486</v>
      </c>
      <c r="G2220" s="79"/>
      <c r="H2220" s="79" t="s">
        <v>1487</v>
      </c>
    </row>
    <row r="2221" spans="1:8">
      <c r="A2221" s="79" t="str">
        <f>LeaveData[[#This Row],[ EMP ID]]&amp;LeaveData[[#This Row],[Date]]</f>
        <v>20231802245933</v>
      </c>
      <c r="B2221" s="79">
        <v>202318022</v>
      </c>
      <c r="C2221" s="79" t="s">
        <v>45</v>
      </c>
      <c r="D2221" s="101">
        <v>45933</v>
      </c>
      <c r="E2221" s="79" t="s">
        <v>12</v>
      </c>
      <c r="F2221" s="79" t="s">
        <v>1365</v>
      </c>
      <c r="G2221" s="79"/>
      <c r="H2221" s="79" t="s">
        <v>140</v>
      </c>
    </row>
    <row r="2222" spans="1:8">
      <c r="A2222" s="79" t="str">
        <f>LeaveData[[#This Row],[ EMP ID]]&amp;LeaveData[[#This Row],[Date]]</f>
        <v>20182000145933</v>
      </c>
      <c r="B2222" s="92">
        <v>201820001</v>
      </c>
      <c r="C2222" s="122" t="s">
        <v>18</v>
      </c>
      <c r="D2222" s="101">
        <v>45933</v>
      </c>
      <c r="E2222" s="79" t="s">
        <v>12</v>
      </c>
      <c r="F2222" s="79" t="s">
        <v>118</v>
      </c>
      <c r="G2222" s="79"/>
      <c r="H2222" s="79" t="s">
        <v>140</v>
      </c>
    </row>
    <row r="2223" spans="1:8">
      <c r="A2223" s="79" t="str">
        <f>LeaveData[[#This Row],[ EMP ID]]&amp;LeaveData[[#This Row],[Date]]</f>
        <v>20251804845922</v>
      </c>
      <c r="B2223" s="92">
        <v>202518048</v>
      </c>
      <c r="C2223" s="92" t="s">
        <v>1488</v>
      </c>
      <c r="D2223" s="101">
        <v>45922</v>
      </c>
      <c r="E2223" s="79" t="s">
        <v>199</v>
      </c>
      <c r="F2223" s="79" t="s">
        <v>246</v>
      </c>
      <c r="G2223" s="79"/>
      <c r="H2223" s="79" t="s">
        <v>200</v>
      </c>
    </row>
    <row r="2224" spans="1:8">
      <c r="A2224" s="79" t="str">
        <f>LeaveData[[#This Row],[ EMP ID]]&amp;LeaveData[[#This Row],[Date]]</f>
        <v>20250102145915</v>
      </c>
      <c r="B2224" s="92">
        <v>202501021</v>
      </c>
      <c r="C2224" s="92" t="s">
        <v>1489</v>
      </c>
      <c r="D2224" s="101">
        <v>45915</v>
      </c>
      <c r="E2224" s="79" t="s">
        <v>199</v>
      </c>
      <c r="F2224" s="79" t="s">
        <v>246</v>
      </c>
      <c r="G2224" s="79"/>
      <c r="H2224" s="79" t="s">
        <v>200</v>
      </c>
    </row>
    <row r="2225" spans="1:8">
      <c r="A2225" s="79" t="str">
        <f>LeaveData[[#This Row],[ EMP ID]]&amp;LeaveData[[#This Row],[Date]]</f>
        <v>20250101445916</v>
      </c>
      <c r="B2225" s="79">
        <v>202501014</v>
      </c>
      <c r="C2225" s="79" t="s">
        <v>1396</v>
      </c>
      <c r="D2225" s="101">
        <v>45916</v>
      </c>
      <c r="E2225" s="79" t="s">
        <v>195</v>
      </c>
      <c r="F2225" s="79" t="s">
        <v>43</v>
      </c>
      <c r="G2225" s="79"/>
      <c r="H2225" s="79" t="s">
        <v>196</v>
      </c>
    </row>
    <row r="2226" spans="1:8">
      <c r="A2226" s="79" t="str">
        <f>LeaveData[[#This Row],[ EMP ID]]&amp;LeaveData[[#This Row],[Date]]</f>
        <v>20250101545915</v>
      </c>
      <c r="B2226" s="92">
        <v>202501015</v>
      </c>
      <c r="C2226" s="92" t="s">
        <v>1402</v>
      </c>
      <c r="D2226" s="101">
        <v>45915</v>
      </c>
      <c r="E2226" s="79" t="s">
        <v>195</v>
      </c>
      <c r="F2226" s="79" t="s">
        <v>1365</v>
      </c>
      <c r="G2226" s="79"/>
      <c r="H2226" s="79" t="s">
        <v>196</v>
      </c>
    </row>
    <row r="2227" spans="1:8">
      <c r="A2227" s="79" t="str">
        <f>LeaveData[[#This Row],[ EMP ID]]&amp;LeaveData[[#This Row],[Date]]</f>
        <v>20250102145930</v>
      </c>
      <c r="B2227" s="92">
        <v>202501021</v>
      </c>
      <c r="C2227" s="92" t="s">
        <v>1489</v>
      </c>
      <c r="D2227" s="101">
        <v>45930</v>
      </c>
      <c r="E2227" s="79" t="s">
        <v>12</v>
      </c>
      <c r="F2227" s="79" t="s">
        <v>246</v>
      </c>
      <c r="G2227" s="79"/>
      <c r="H2227" s="79" t="s">
        <v>140</v>
      </c>
    </row>
    <row r="2228" spans="1:8">
      <c r="A2228" s="79" t="str">
        <f>LeaveData[[#This Row],[ EMP ID]]&amp;LeaveData[[#This Row],[Date]]</f>
        <v>20232000945937</v>
      </c>
      <c r="B2228" s="92">
        <v>202320009</v>
      </c>
      <c r="C2228" s="92" t="s">
        <v>143</v>
      </c>
      <c r="D2228" s="101">
        <v>45937</v>
      </c>
      <c r="E2228" s="79" t="s">
        <v>13</v>
      </c>
      <c r="F2228" s="79" t="s">
        <v>1365</v>
      </c>
      <c r="G2228" s="79"/>
      <c r="H2228" s="79" t="s">
        <v>169</v>
      </c>
    </row>
    <row r="2229" spans="1:8">
      <c r="A2229" s="79" t="str">
        <f>LeaveData[[#This Row],[ EMP ID]]&amp;LeaveData[[#This Row],[Date]]</f>
        <v>20242100445934</v>
      </c>
      <c r="B2229" s="79" t="s">
        <v>1471</v>
      </c>
      <c r="C2229" s="79" t="s">
        <v>270</v>
      </c>
      <c r="D2229" s="101">
        <v>45934</v>
      </c>
      <c r="E2229" s="79" t="s">
        <v>13</v>
      </c>
      <c r="F2229" s="79" t="s">
        <v>29</v>
      </c>
      <c r="G2229" s="79"/>
      <c r="H2229" s="79" t="s">
        <v>169</v>
      </c>
    </row>
    <row r="2230" spans="1:8">
      <c r="A2230" s="79" t="str">
        <f>LeaveData[[#This Row],[ EMP ID]]&amp;LeaveData[[#This Row],[Date]]</f>
        <v>20182000145934</v>
      </c>
      <c r="B2230" s="92">
        <v>201820001</v>
      </c>
      <c r="C2230" s="122" t="s">
        <v>18</v>
      </c>
      <c r="D2230" s="101">
        <v>45934</v>
      </c>
      <c r="E2230" s="79" t="s">
        <v>12</v>
      </c>
      <c r="F2230" s="79" t="s">
        <v>118</v>
      </c>
      <c r="G2230" s="79"/>
      <c r="H2230" s="79" t="s">
        <v>140</v>
      </c>
    </row>
    <row r="2231" spans="1:8">
      <c r="A2231" s="79" t="str">
        <f>LeaveData[[#This Row],[ EMP ID]]&amp;LeaveData[[#This Row],[Date]]</f>
        <v>20251804345934</v>
      </c>
      <c r="B2231" s="92">
        <v>202518043</v>
      </c>
      <c r="C2231" s="122" t="s">
        <v>403</v>
      </c>
      <c r="D2231" s="101">
        <v>45934</v>
      </c>
      <c r="E2231" s="79" t="s">
        <v>16</v>
      </c>
      <c r="F2231" s="79" t="s">
        <v>43</v>
      </c>
      <c r="G2231" s="79"/>
      <c r="H2231" s="79" t="s">
        <v>1490</v>
      </c>
    </row>
    <row r="2232" spans="1:8">
      <c r="A2232" s="79" t="str">
        <f>LeaveData[[#This Row],[ EMP ID]]&amp;LeaveData[[#This Row],[Date]]</f>
        <v>20242101845926</v>
      </c>
      <c r="B2232" s="92">
        <v>202421018</v>
      </c>
      <c r="C2232" s="122" t="s">
        <v>378</v>
      </c>
      <c r="D2232" s="130">
        <v>45926</v>
      </c>
      <c r="E2232" s="79" t="s">
        <v>16</v>
      </c>
      <c r="F2232" s="79" t="s">
        <v>29</v>
      </c>
      <c r="G2232" s="79"/>
      <c r="H2232" s="79" t="s">
        <v>1491</v>
      </c>
    </row>
    <row r="2233" spans="1:8">
      <c r="A2233" s="79" t="str">
        <f>LeaveData[[#This Row],[ EMP ID]]&amp;LeaveData[[#This Row],[Date]]</f>
        <v>20242101845927</v>
      </c>
      <c r="B2233" s="92">
        <v>202421018</v>
      </c>
      <c r="C2233" s="122" t="s">
        <v>378</v>
      </c>
      <c r="D2233" s="130">
        <v>45927</v>
      </c>
      <c r="E2233" s="79" t="s">
        <v>16</v>
      </c>
      <c r="F2233" s="79" t="s">
        <v>29</v>
      </c>
      <c r="G2233" s="79"/>
      <c r="H2233" s="79" t="s">
        <v>1491</v>
      </c>
    </row>
    <row r="2234" spans="1:8">
      <c r="A2234" s="79" t="str">
        <f>LeaveData[[#This Row],[ EMP ID]]&amp;LeaveData[[#This Row],[Date]]</f>
        <v>20242101845929</v>
      </c>
      <c r="B2234" s="92">
        <v>202421018</v>
      </c>
      <c r="C2234" s="122" t="s">
        <v>378</v>
      </c>
      <c r="D2234" s="130">
        <v>45929</v>
      </c>
      <c r="E2234" s="79" t="s">
        <v>16</v>
      </c>
      <c r="F2234" s="79" t="s">
        <v>29</v>
      </c>
      <c r="G2234" s="79"/>
      <c r="H2234" s="79" t="s">
        <v>1491</v>
      </c>
    </row>
    <row r="2235" spans="1:8">
      <c r="A2235" s="79" t="str">
        <f>LeaveData[[#This Row],[ EMP ID]]&amp;LeaveData[[#This Row],[Date]]</f>
        <v>20242101845930</v>
      </c>
      <c r="B2235" s="92">
        <v>202421018</v>
      </c>
      <c r="C2235" s="122" t="s">
        <v>378</v>
      </c>
      <c r="D2235" s="130">
        <v>45930</v>
      </c>
      <c r="E2235" s="79" t="s">
        <v>16</v>
      </c>
      <c r="F2235" s="79" t="s">
        <v>29</v>
      </c>
      <c r="G2235" s="79"/>
      <c r="H2235" s="79" t="s">
        <v>1491</v>
      </c>
    </row>
    <row r="2236" spans="1:8">
      <c r="A2236" s="79" t="str">
        <f>LeaveData[[#This Row],[ EMP ID]]&amp;LeaveData[[#This Row],[Date]]</f>
        <v>20242101845931</v>
      </c>
      <c r="B2236" s="92">
        <v>202421018</v>
      </c>
      <c r="C2236" s="122" t="s">
        <v>378</v>
      </c>
      <c r="D2236" s="130">
        <v>45931</v>
      </c>
      <c r="E2236" s="79" t="s">
        <v>16</v>
      </c>
      <c r="F2236" s="79" t="s">
        <v>29</v>
      </c>
      <c r="G2236" s="79"/>
      <c r="H2236" s="79" t="s">
        <v>1491</v>
      </c>
    </row>
    <row r="2237" spans="1:8">
      <c r="A2237" s="79" t="str">
        <f>LeaveData[[#This Row],[ EMP ID]]&amp;LeaveData[[#This Row],[Date]]</f>
        <v>20242101845933</v>
      </c>
      <c r="B2237" s="92">
        <v>202421018</v>
      </c>
      <c r="C2237" s="122" t="s">
        <v>378</v>
      </c>
      <c r="D2237" s="130">
        <v>45933</v>
      </c>
      <c r="E2237" s="79" t="s">
        <v>16</v>
      </c>
      <c r="F2237" s="79" t="s">
        <v>29</v>
      </c>
      <c r="G2237" s="79"/>
      <c r="H2237" s="79" t="s">
        <v>1491</v>
      </c>
    </row>
    <row r="2238" spans="1:8">
      <c r="A2238" s="79" t="str">
        <f>LeaveData[[#This Row],[ EMP ID]]&amp;LeaveData[[#This Row],[Date]]</f>
        <v>20242101845934</v>
      </c>
      <c r="B2238" s="92">
        <v>202421018</v>
      </c>
      <c r="C2238" s="122" t="s">
        <v>378</v>
      </c>
      <c r="D2238" s="130">
        <v>45934</v>
      </c>
      <c r="E2238" s="79" t="s">
        <v>16</v>
      </c>
      <c r="F2238" s="79" t="s">
        <v>29</v>
      </c>
      <c r="G2238" s="79"/>
      <c r="H2238" s="79" t="s">
        <v>1491</v>
      </c>
    </row>
    <row r="2239" spans="1:8">
      <c r="A2239" s="79" t="str">
        <f>LeaveData[[#This Row],[ EMP ID]]&amp;LeaveData[[#This Row],[Date]]</f>
        <v>20242101845936</v>
      </c>
      <c r="B2239" s="92">
        <v>202421018</v>
      </c>
      <c r="C2239" s="122" t="s">
        <v>378</v>
      </c>
      <c r="D2239" s="130">
        <v>45936</v>
      </c>
      <c r="E2239" s="79" t="s">
        <v>16</v>
      </c>
      <c r="F2239" s="79" t="s">
        <v>29</v>
      </c>
      <c r="G2239" s="79"/>
      <c r="H2239" s="79" t="s">
        <v>1491</v>
      </c>
    </row>
    <row r="2240" spans="1:8">
      <c r="A2240" s="79" t="str">
        <f>LeaveData[[#This Row],[ EMP ID]]&amp;LeaveData[[#This Row],[Date]]</f>
        <v>20242101845937</v>
      </c>
      <c r="B2240" s="92">
        <v>202421018</v>
      </c>
      <c r="C2240" s="122" t="s">
        <v>378</v>
      </c>
      <c r="D2240" s="130">
        <v>45937</v>
      </c>
      <c r="E2240" s="79" t="s">
        <v>16</v>
      </c>
      <c r="F2240" s="79" t="s">
        <v>29</v>
      </c>
      <c r="G2240" s="79"/>
      <c r="H2240" s="79" t="s">
        <v>1491</v>
      </c>
    </row>
    <row r="2241" spans="1:8">
      <c r="A2241" s="79" t="str">
        <f>LeaveData[[#This Row],[ EMP ID]]&amp;LeaveData[[#This Row],[Date]]</f>
        <v>20242101845938</v>
      </c>
      <c r="B2241" s="92">
        <v>202421018</v>
      </c>
      <c r="C2241" s="122" t="s">
        <v>378</v>
      </c>
      <c r="D2241" s="130">
        <v>45938</v>
      </c>
      <c r="E2241" s="79" t="s">
        <v>16</v>
      </c>
      <c r="F2241" s="79" t="s">
        <v>29</v>
      </c>
      <c r="G2241" s="79"/>
      <c r="H2241" s="79" t="s">
        <v>1491</v>
      </c>
    </row>
    <row r="2242" spans="1:8">
      <c r="A2242" s="79" t="str">
        <f>LeaveData[[#This Row],[ EMP ID]]&amp;LeaveData[[#This Row],[Date]]</f>
        <v>20242101845939</v>
      </c>
      <c r="B2242" s="92">
        <v>202421018</v>
      </c>
      <c r="C2242" s="122" t="s">
        <v>378</v>
      </c>
      <c r="D2242" s="130">
        <v>45939</v>
      </c>
      <c r="E2242" s="79" t="s">
        <v>16</v>
      </c>
      <c r="F2242" s="79" t="s">
        <v>29</v>
      </c>
      <c r="G2242" s="79"/>
      <c r="H2242" s="79" t="s">
        <v>1491</v>
      </c>
    </row>
    <row r="2243" spans="1:8">
      <c r="A2243" s="79" t="str">
        <f>LeaveData[[#This Row],[ EMP ID]]&amp;LeaveData[[#This Row],[Date]]</f>
        <v>20242101845940</v>
      </c>
      <c r="B2243" s="92">
        <v>202421018</v>
      </c>
      <c r="C2243" s="122" t="s">
        <v>378</v>
      </c>
      <c r="D2243" s="130">
        <v>45940</v>
      </c>
      <c r="E2243" s="79" t="s">
        <v>16</v>
      </c>
      <c r="F2243" s="79" t="s">
        <v>29</v>
      </c>
      <c r="G2243" s="79"/>
      <c r="H2243" s="79" t="s">
        <v>1491</v>
      </c>
    </row>
    <row r="2244" spans="1:8">
      <c r="A2244" s="79" t="str">
        <f>LeaveData[[#This Row],[ EMP ID]]&amp;LeaveData[[#This Row],[Date]]</f>
        <v>20242101845943</v>
      </c>
      <c r="B2244" s="92">
        <v>202421018</v>
      </c>
      <c r="C2244" s="122" t="s">
        <v>378</v>
      </c>
      <c r="D2244" s="130">
        <v>45943</v>
      </c>
      <c r="E2244" s="79" t="s">
        <v>16</v>
      </c>
      <c r="F2244" s="79" t="s">
        <v>29</v>
      </c>
      <c r="G2244" s="79"/>
      <c r="H2244" s="79" t="s">
        <v>1491</v>
      </c>
    </row>
    <row r="2245" spans="1:8">
      <c r="A2245" s="79" t="str">
        <f>LeaveData[[#This Row],[ EMP ID]]&amp;LeaveData[[#This Row],[Date]]</f>
        <v>20242101845944</v>
      </c>
      <c r="B2245" s="92">
        <v>202421018</v>
      </c>
      <c r="C2245" s="122" t="s">
        <v>378</v>
      </c>
      <c r="D2245" s="130">
        <v>45944</v>
      </c>
      <c r="E2245" s="79" t="s">
        <v>16</v>
      </c>
      <c r="F2245" s="79" t="s">
        <v>29</v>
      </c>
      <c r="G2245" s="79"/>
      <c r="H2245" s="79" t="s">
        <v>1491</v>
      </c>
    </row>
    <row r="2246" spans="1:8">
      <c r="A2246" s="79" t="str">
        <f>LeaveData[[#This Row],[ EMP ID]]&amp;LeaveData[[#This Row],[Date]]</f>
        <v>20242101845945</v>
      </c>
      <c r="B2246" s="92">
        <v>202421018</v>
      </c>
      <c r="C2246" s="122" t="s">
        <v>378</v>
      </c>
      <c r="D2246" s="130">
        <v>45945</v>
      </c>
      <c r="E2246" s="79" t="s">
        <v>16</v>
      </c>
      <c r="F2246" s="79" t="s">
        <v>29</v>
      </c>
      <c r="G2246" s="79"/>
      <c r="H2246" s="79" t="s">
        <v>1491</v>
      </c>
    </row>
    <row r="2247" spans="1:8">
      <c r="A2247" s="79" t="str">
        <f>LeaveData[[#This Row],[ EMP ID]]&amp;LeaveData[[#This Row],[Date]]</f>
        <v>20242101845946</v>
      </c>
      <c r="B2247" s="92">
        <v>202421018</v>
      </c>
      <c r="C2247" s="122" t="s">
        <v>378</v>
      </c>
      <c r="D2247" s="130">
        <v>45946</v>
      </c>
      <c r="E2247" s="79" t="s">
        <v>16</v>
      </c>
      <c r="F2247" s="79" t="s">
        <v>29</v>
      </c>
      <c r="G2247" s="79"/>
      <c r="H2247" s="79" t="s">
        <v>1491</v>
      </c>
    </row>
    <row r="2248" spans="1:8">
      <c r="A2248" s="79" t="str">
        <f>LeaveData[[#This Row],[ EMP ID]]&amp;LeaveData[[#This Row],[Date]]</f>
        <v>20242101845947</v>
      </c>
      <c r="B2248" s="92">
        <v>202421018</v>
      </c>
      <c r="C2248" s="122" t="s">
        <v>378</v>
      </c>
      <c r="D2248" s="130">
        <v>45947</v>
      </c>
      <c r="E2248" s="79" t="s">
        <v>16</v>
      </c>
      <c r="F2248" s="79" t="s">
        <v>29</v>
      </c>
      <c r="G2248" s="79"/>
      <c r="H2248" s="79" t="s">
        <v>1491</v>
      </c>
    </row>
    <row r="2249" spans="1:8">
      <c r="A2249" s="79" t="str">
        <f>LeaveData[[#This Row],[ EMP ID]]&amp;LeaveData[[#This Row],[Date]]</f>
        <v>20242101845948</v>
      </c>
      <c r="B2249" s="92">
        <v>202421018</v>
      </c>
      <c r="C2249" s="122" t="s">
        <v>378</v>
      </c>
      <c r="D2249" s="130">
        <v>45948</v>
      </c>
      <c r="E2249" s="79" t="s">
        <v>16</v>
      </c>
      <c r="F2249" s="79" t="s">
        <v>29</v>
      </c>
      <c r="G2249" s="79"/>
      <c r="H2249" s="79" t="s">
        <v>1491</v>
      </c>
    </row>
    <row r="2250" spans="1:8">
      <c r="A2250" s="79" t="str">
        <f>LeaveData[[#This Row],[ EMP ID]]&amp;LeaveData[[#This Row],[Date]]</f>
        <v>20242101845949</v>
      </c>
      <c r="B2250" s="92">
        <v>202421018</v>
      </c>
      <c r="C2250" s="122" t="s">
        <v>378</v>
      </c>
      <c r="D2250" s="130">
        <v>45949</v>
      </c>
      <c r="E2250" s="79" t="s">
        <v>16</v>
      </c>
      <c r="F2250" s="79" t="s">
        <v>29</v>
      </c>
      <c r="G2250" s="79"/>
      <c r="H2250" s="79" t="s">
        <v>1491</v>
      </c>
    </row>
    <row r="2251" spans="1:8">
      <c r="A2251" s="79" t="str">
        <f>LeaveData[[#This Row],[ EMP ID]]&amp;LeaveData[[#This Row],[Date]]</f>
        <v>20242101845950</v>
      </c>
      <c r="B2251" s="92">
        <v>202421018</v>
      </c>
      <c r="C2251" s="122" t="s">
        <v>378</v>
      </c>
      <c r="D2251" s="130">
        <v>45950</v>
      </c>
      <c r="E2251" s="79" t="s">
        <v>16</v>
      </c>
      <c r="F2251" s="79" t="s">
        <v>29</v>
      </c>
      <c r="G2251" s="79"/>
      <c r="H2251" s="79" t="s">
        <v>1491</v>
      </c>
    </row>
    <row r="2252" spans="1:8">
      <c r="A2252" s="79" t="str">
        <f>LeaveData[[#This Row],[ EMP ID]]&amp;LeaveData[[#This Row],[Date]]</f>
        <v>20242101845957</v>
      </c>
      <c r="B2252" s="92">
        <v>202421018</v>
      </c>
      <c r="C2252" s="122" t="s">
        <v>378</v>
      </c>
      <c r="D2252" s="130">
        <v>45957</v>
      </c>
      <c r="E2252" s="79" t="s">
        <v>16</v>
      </c>
      <c r="F2252" s="79" t="s">
        <v>29</v>
      </c>
      <c r="G2252" s="79"/>
      <c r="H2252" s="79" t="s">
        <v>1491</v>
      </c>
    </row>
    <row r="2253" spans="1:8">
      <c r="A2253" s="79" t="str">
        <f>LeaveData[[#This Row],[ EMP ID]]&amp;LeaveData[[#This Row],[Date]]</f>
        <v>20242101845958</v>
      </c>
      <c r="B2253" s="92">
        <v>202421018</v>
      </c>
      <c r="C2253" s="122" t="s">
        <v>378</v>
      </c>
      <c r="D2253" s="130">
        <v>45958</v>
      </c>
      <c r="E2253" s="79" t="s">
        <v>16</v>
      </c>
      <c r="F2253" s="79" t="s">
        <v>29</v>
      </c>
      <c r="G2253" s="79"/>
      <c r="H2253" s="79" t="s">
        <v>1491</v>
      </c>
    </row>
    <row r="2254" spans="1:8">
      <c r="A2254" s="79" t="str">
        <f>LeaveData[[#This Row],[ EMP ID]]&amp;LeaveData[[#This Row],[Date]]</f>
        <v>20242101845959</v>
      </c>
      <c r="B2254" s="92">
        <v>202421018</v>
      </c>
      <c r="C2254" s="122" t="s">
        <v>378</v>
      </c>
      <c r="D2254" s="130">
        <v>45959</v>
      </c>
      <c r="E2254" s="79" t="s">
        <v>16</v>
      </c>
      <c r="F2254" s="79" t="s">
        <v>29</v>
      </c>
      <c r="G2254" s="79"/>
      <c r="H2254" s="79" t="s">
        <v>1491</v>
      </c>
    </row>
    <row r="2255" spans="1:8">
      <c r="A2255" s="79" t="str">
        <f>LeaveData[[#This Row],[ EMP ID]]&amp;LeaveData[[#This Row],[Date]]</f>
        <v>20242101845960</v>
      </c>
      <c r="B2255" s="92">
        <v>202421018</v>
      </c>
      <c r="C2255" s="122" t="s">
        <v>378</v>
      </c>
      <c r="D2255" s="130">
        <v>45960</v>
      </c>
      <c r="E2255" s="79" t="s">
        <v>16</v>
      </c>
      <c r="F2255" s="79" t="s">
        <v>29</v>
      </c>
      <c r="G2255" s="79"/>
      <c r="H2255" s="79" t="s">
        <v>1491</v>
      </c>
    </row>
    <row r="2256" spans="1:8">
      <c r="A2256" s="79" t="str">
        <f>LeaveData[[#This Row],[ EMP ID]]&amp;LeaveData[[#This Row],[Date]]</f>
        <v>20242101845961</v>
      </c>
      <c r="B2256" s="92">
        <v>202421018</v>
      </c>
      <c r="C2256" s="122" t="s">
        <v>378</v>
      </c>
      <c r="D2256" s="130">
        <v>45961</v>
      </c>
      <c r="E2256" s="79" t="s">
        <v>16</v>
      </c>
      <c r="F2256" s="79" t="s">
        <v>29</v>
      </c>
      <c r="G2256" s="79"/>
      <c r="H2256" s="79" t="s">
        <v>1491</v>
      </c>
    </row>
    <row r="2257" spans="1:8">
      <c r="A2257" s="79" t="str">
        <f>LeaveData[[#This Row],[ EMP ID]]&amp;LeaveData[[#This Row],[Date]]</f>
        <v>20242101845962</v>
      </c>
      <c r="B2257" s="92">
        <v>202421018</v>
      </c>
      <c r="C2257" s="122" t="s">
        <v>378</v>
      </c>
      <c r="D2257" s="130">
        <v>45962</v>
      </c>
      <c r="E2257" s="79" t="s">
        <v>16</v>
      </c>
      <c r="F2257" s="79" t="s">
        <v>29</v>
      </c>
      <c r="G2257" s="79"/>
      <c r="H2257" s="79" t="s">
        <v>1491</v>
      </c>
    </row>
    <row r="2258" spans="1:8">
      <c r="A2258" s="79" t="str">
        <f>LeaveData[[#This Row],[ EMP ID]]&amp;LeaveData[[#This Row],[Date]]</f>
        <v>20242101845963</v>
      </c>
      <c r="B2258" s="92">
        <v>202421018</v>
      </c>
      <c r="C2258" s="122" t="s">
        <v>378</v>
      </c>
      <c r="D2258" s="130">
        <v>45963</v>
      </c>
      <c r="E2258" s="79" t="s">
        <v>16</v>
      </c>
      <c r="F2258" s="79" t="s">
        <v>29</v>
      </c>
      <c r="G2258" s="79"/>
      <c r="H2258" s="79" t="s">
        <v>1491</v>
      </c>
    </row>
    <row r="2259" spans="1:8">
      <c r="A2259" s="79" t="str">
        <f>LeaveData[[#This Row],[ EMP ID]]&amp;LeaveData[[#This Row],[Date]]</f>
        <v>20242101845964</v>
      </c>
      <c r="B2259" s="92">
        <v>202421018</v>
      </c>
      <c r="C2259" s="122" t="s">
        <v>378</v>
      </c>
      <c r="D2259" s="130">
        <v>45964</v>
      </c>
      <c r="E2259" s="79" t="s">
        <v>16</v>
      </c>
      <c r="F2259" s="79" t="s">
        <v>29</v>
      </c>
      <c r="G2259" s="79"/>
      <c r="H2259" s="79" t="s">
        <v>1491</v>
      </c>
    </row>
    <row r="2260" spans="1:8">
      <c r="A2260" s="79" t="str">
        <f>LeaveData[[#This Row],[ EMP ID]]&amp;LeaveData[[#This Row],[Date]]</f>
        <v>20242101845965</v>
      </c>
      <c r="B2260" s="92">
        <v>202421018</v>
      </c>
      <c r="C2260" s="122" t="s">
        <v>378</v>
      </c>
      <c r="D2260" s="130">
        <v>45965</v>
      </c>
      <c r="E2260" s="79" t="s">
        <v>16</v>
      </c>
      <c r="F2260" s="79" t="s">
        <v>29</v>
      </c>
      <c r="G2260" s="79"/>
      <c r="H2260" s="79" t="s">
        <v>1491</v>
      </c>
    </row>
    <row r="2261" spans="1:8">
      <c r="A2261" s="79" t="str">
        <f>LeaveData[[#This Row],[ EMP ID]]&amp;LeaveData[[#This Row],[Date]]</f>
        <v>20242101845966</v>
      </c>
      <c r="B2261" s="92">
        <v>202421018</v>
      </c>
      <c r="C2261" s="122" t="s">
        <v>378</v>
      </c>
      <c r="D2261" s="130">
        <v>45966</v>
      </c>
      <c r="E2261" s="79" t="s">
        <v>16</v>
      </c>
      <c r="F2261" s="79" t="s">
        <v>29</v>
      </c>
      <c r="G2261" s="79"/>
      <c r="H2261" s="79" t="s">
        <v>1491</v>
      </c>
    </row>
    <row r="2262" spans="1:8">
      <c r="A2262" s="79" t="str">
        <f>LeaveData[[#This Row],[ EMP ID]]&amp;LeaveData[[#This Row],[Date]]</f>
        <v>20242101845967</v>
      </c>
      <c r="B2262" s="92">
        <v>202421018</v>
      </c>
      <c r="C2262" s="122" t="s">
        <v>378</v>
      </c>
      <c r="D2262" s="130">
        <v>45967</v>
      </c>
      <c r="E2262" s="79" t="s">
        <v>16</v>
      </c>
      <c r="F2262" s="79" t="s">
        <v>29</v>
      </c>
      <c r="G2262" s="79"/>
      <c r="H2262" s="79" t="s">
        <v>1491</v>
      </c>
    </row>
    <row r="2263" spans="1:8">
      <c r="A2263" s="79" t="str">
        <f>LeaveData[[#This Row],[ EMP ID]]&amp;LeaveData[[#This Row],[Date]]</f>
        <v>20242101845968</v>
      </c>
      <c r="B2263" s="92">
        <v>202421018</v>
      </c>
      <c r="C2263" s="122" t="s">
        <v>378</v>
      </c>
      <c r="D2263" s="130">
        <v>45968</v>
      </c>
      <c r="E2263" s="79" t="s">
        <v>16</v>
      </c>
      <c r="F2263" s="79" t="s">
        <v>29</v>
      </c>
      <c r="G2263" s="79"/>
      <c r="H2263" s="79" t="s">
        <v>1491</v>
      </c>
    </row>
    <row r="2264" spans="1:8">
      <c r="A2264" s="79" t="str">
        <f>LeaveData[[#This Row],[ EMP ID]]&amp;LeaveData[[#This Row],[Date]]</f>
        <v>20250102245910</v>
      </c>
      <c r="B2264" s="92">
        <v>202501022</v>
      </c>
      <c r="C2264" s="92" t="s">
        <v>1492</v>
      </c>
      <c r="D2264" s="101">
        <v>45910</v>
      </c>
      <c r="E2264" s="79" t="s">
        <v>199</v>
      </c>
      <c r="F2264" s="79" t="s">
        <v>45</v>
      </c>
      <c r="G2264" s="79"/>
      <c r="H2264" s="79" t="s">
        <v>200</v>
      </c>
    </row>
    <row r="2265" spans="1:8">
      <c r="A2265" s="79" t="str">
        <f>LeaveData[[#This Row],[ EMP ID]]&amp;LeaveData[[#This Row],[Date]]</f>
        <v>20231801845939</v>
      </c>
      <c r="B2265" s="92">
        <v>202318018</v>
      </c>
      <c r="C2265" s="92" t="s">
        <v>40</v>
      </c>
      <c r="D2265" s="130">
        <v>45939</v>
      </c>
      <c r="E2265" s="79" t="s">
        <v>13</v>
      </c>
      <c r="F2265" s="79" t="s">
        <v>125</v>
      </c>
      <c r="G2265" s="79"/>
      <c r="H2265" s="79" t="s">
        <v>1493</v>
      </c>
    </row>
    <row r="2266" spans="1:8">
      <c r="A2266" s="79" t="str">
        <f>LeaveData[[#This Row],[ EMP ID]]&amp;LeaveData[[#This Row],[Date]]</f>
        <v>20251804845934</v>
      </c>
      <c r="B2266" s="92">
        <v>202518048</v>
      </c>
      <c r="C2266" s="92" t="s">
        <v>1488</v>
      </c>
      <c r="D2266" s="130">
        <v>45934</v>
      </c>
      <c r="E2266" s="79" t="s">
        <v>12</v>
      </c>
      <c r="F2266" s="79" t="s">
        <v>246</v>
      </c>
      <c r="G2266" s="79"/>
      <c r="H2266" s="79" t="s">
        <v>140</v>
      </c>
    </row>
    <row r="2267" spans="1:8">
      <c r="A2267" s="79" t="str">
        <f>LeaveData[[#This Row],[ EMP ID]]&amp;LeaveData[[#This Row],[Date]]</f>
        <v>20241803545935</v>
      </c>
      <c r="B2267" s="79">
        <v>202418035</v>
      </c>
      <c r="C2267" s="79" t="s">
        <v>96</v>
      </c>
      <c r="D2267" s="101">
        <v>45935</v>
      </c>
      <c r="E2267" s="79" t="s">
        <v>154</v>
      </c>
      <c r="F2267" s="79" t="s">
        <v>1494</v>
      </c>
      <c r="G2267" s="79"/>
      <c r="H2267" s="79" t="s">
        <v>1495</v>
      </c>
    </row>
    <row r="2268" spans="1:8">
      <c r="A2268" s="79" t="str">
        <f>LeaveData[[#This Row],[ EMP ID]]&amp;LeaveData[[#This Row],[Date]]</f>
        <v>20250101845930</v>
      </c>
      <c r="B2268" s="92">
        <v>202501018</v>
      </c>
      <c r="C2268" s="92" t="s">
        <v>1460</v>
      </c>
      <c r="D2268" s="101">
        <v>45930</v>
      </c>
      <c r="E2268" s="79" t="s">
        <v>195</v>
      </c>
      <c r="F2268" s="79" t="s">
        <v>235</v>
      </c>
      <c r="G2268" s="79"/>
      <c r="H2268" s="79" t="s">
        <v>1496</v>
      </c>
    </row>
    <row r="2269" spans="1:8">
      <c r="A2269" s="79" t="str">
        <f>LeaveData[[#This Row],[ EMP ID]]&amp;LeaveData[[#This Row],[Date]]</f>
        <v>20232000745937</v>
      </c>
      <c r="B2269" s="92">
        <v>202320007</v>
      </c>
      <c r="C2269" s="92" t="s">
        <v>183</v>
      </c>
      <c r="D2269" s="101">
        <v>45937</v>
      </c>
      <c r="E2269" s="79" t="s">
        <v>1437</v>
      </c>
      <c r="F2269" s="79" t="s">
        <v>104</v>
      </c>
      <c r="G2269" s="79"/>
      <c r="H2269" s="79" t="s">
        <v>277</v>
      </c>
    </row>
    <row r="2270" spans="1:8">
      <c r="A2270" s="79" t="str">
        <f>LeaveData[[#This Row],[ EMP ID]]&amp;LeaveData[[#This Row],[Date]]</f>
        <v>20241803345938</v>
      </c>
      <c r="B2270" s="92">
        <v>202418033</v>
      </c>
      <c r="C2270" s="92" t="s">
        <v>65</v>
      </c>
      <c r="D2270" s="101">
        <v>45938</v>
      </c>
      <c r="E2270" s="79" t="s">
        <v>13</v>
      </c>
      <c r="F2270" s="79" t="s">
        <v>128</v>
      </c>
      <c r="G2270" s="79"/>
      <c r="H2270" s="79" t="s">
        <v>1497</v>
      </c>
    </row>
    <row r="2271" spans="1:8">
      <c r="A2271" s="79" t="str">
        <f>LeaveData[[#This Row],[ EMP ID]]&amp;LeaveData[[#This Row],[Date]]</f>
        <v>20241803345939</v>
      </c>
      <c r="B2271" s="92">
        <v>202418033</v>
      </c>
      <c r="C2271" s="92" t="s">
        <v>65</v>
      </c>
      <c r="D2271" s="101">
        <v>45939</v>
      </c>
      <c r="E2271" s="79" t="s">
        <v>13</v>
      </c>
      <c r="F2271" s="79" t="s">
        <v>128</v>
      </c>
      <c r="G2271" s="79"/>
      <c r="H2271" s="79" t="s">
        <v>1497</v>
      </c>
    </row>
    <row r="2272" spans="1:8">
      <c r="A2272" s="79" t="str">
        <f>LeaveData[[#This Row],[ EMP ID]]&amp;LeaveData[[#This Row],[Date]]</f>
        <v>20241804245936</v>
      </c>
      <c r="B2272" s="79">
        <v>202418042</v>
      </c>
      <c r="C2272" s="79" t="s">
        <v>402</v>
      </c>
      <c r="D2272" s="101">
        <v>45936</v>
      </c>
      <c r="E2272" s="79" t="s">
        <v>16</v>
      </c>
      <c r="F2272" s="79" t="s">
        <v>235</v>
      </c>
      <c r="G2272" s="79"/>
      <c r="H2272" s="79" t="s">
        <v>1498</v>
      </c>
    </row>
    <row r="2273" spans="1:8">
      <c r="A2273" s="79" t="str">
        <f>LeaveData[[#This Row],[ EMP ID]]&amp;LeaveData[[#This Row],[Date]]</f>
        <v>20250102145937</v>
      </c>
      <c r="B2273" s="92">
        <v>202501021</v>
      </c>
      <c r="C2273" s="92" t="s">
        <v>1489</v>
      </c>
      <c r="D2273" s="101">
        <v>45937</v>
      </c>
      <c r="E2273" s="79" t="s">
        <v>12</v>
      </c>
      <c r="F2273" s="79" t="s">
        <v>246</v>
      </c>
      <c r="G2273" s="79"/>
      <c r="H2273" s="79" t="s">
        <v>140</v>
      </c>
    </row>
    <row r="2274" spans="1:8">
      <c r="A2274" s="79" t="str">
        <f>LeaveData[[#This Row],[ EMP ID]]&amp;LeaveData[[#This Row],[Date]]</f>
        <v>20241803845939</v>
      </c>
      <c r="B2274" s="79">
        <v>202418038</v>
      </c>
      <c r="C2274" s="79" t="s">
        <v>246</v>
      </c>
      <c r="D2274" s="101">
        <v>45939</v>
      </c>
      <c r="E2274" s="79" t="s">
        <v>13</v>
      </c>
      <c r="F2274" s="79" t="s">
        <v>125</v>
      </c>
      <c r="G2274" s="79"/>
      <c r="H2274" s="79" t="s">
        <v>1524</v>
      </c>
    </row>
    <row r="2275" spans="1:8">
      <c r="A2275" s="79" t="str">
        <f>LeaveData[[#This Row],[ EMP ID]]&amp;LeaveData[[#This Row],[Date]]</f>
        <v>20241803845938</v>
      </c>
      <c r="B2275" s="79">
        <v>202418038</v>
      </c>
      <c r="C2275" s="79" t="s">
        <v>246</v>
      </c>
      <c r="D2275" s="101">
        <v>45938</v>
      </c>
      <c r="E2275" s="79" t="s">
        <v>15</v>
      </c>
      <c r="F2275" s="79" t="s">
        <v>125</v>
      </c>
      <c r="G2275" s="79"/>
      <c r="H2275" s="79" t="s">
        <v>1499</v>
      </c>
    </row>
    <row r="2276" spans="1:8">
      <c r="A2276" s="79" t="str">
        <f>LeaveData[[#This Row],[ EMP ID]]&amp;LeaveData[[#This Row],[Date]]</f>
        <v>20231802245940</v>
      </c>
      <c r="B2276" s="79">
        <v>202318022</v>
      </c>
      <c r="C2276" s="79" t="s">
        <v>45</v>
      </c>
      <c r="D2276" s="101">
        <v>45940</v>
      </c>
      <c r="E2276" s="79" t="s">
        <v>16</v>
      </c>
      <c r="F2276" s="79" t="s">
        <v>1365</v>
      </c>
      <c r="G2276" s="79"/>
      <c r="H2276" s="79" t="s">
        <v>169</v>
      </c>
    </row>
    <row r="2277" spans="1:8">
      <c r="A2277" s="79" t="str">
        <f>LeaveData[[#This Row],[ EMP ID]]&amp;LeaveData[[#This Row],[Date]]</f>
        <v>20231802045940</v>
      </c>
      <c r="B2277" s="79">
        <v>202318020</v>
      </c>
      <c r="C2277" s="92" t="s">
        <v>43</v>
      </c>
      <c r="D2277" s="101">
        <v>45940</v>
      </c>
      <c r="E2277" s="79" t="s">
        <v>16</v>
      </c>
      <c r="F2277" s="79" t="s">
        <v>45</v>
      </c>
      <c r="G2277" s="79"/>
      <c r="H2277" s="79" t="s">
        <v>169</v>
      </c>
    </row>
    <row r="2278" spans="1:8">
      <c r="A2278" s="79" t="str">
        <f>LeaveData[[#This Row],[ EMP ID]]&amp;LeaveData[[#This Row],[Date]]</f>
        <v>20231801945940</v>
      </c>
      <c r="B2278" s="79">
        <v>202318019</v>
      </c>
      <c r="C2278" s="79" t="s">
        <v>89</v>
      </c>
      <c r="D2278" s="101">
        <v>45940</v>
      </c>
      <c r="E2278" s="79" t="s">
        <v>16</v>
      </c>
      <c r="F2278" s="79" t="s">
        <v>45</v>
      </c>
      <c r="G2278" s="79"/>
      <c r="H2278" s="79" t="s">
        <v>140</v>
      </c>
    </row>
    <row r="2279" spans="1:8">
      <c r="A2279" s="79" t="str">
        <f>LeaveData[[#This Row],[ EMP ID]]&amp;LeaveData[[#This Row],[Date]]</f>
        <v>20231801945943</v>
      </c>
      <c r="B2279" s="79">
        <v>202318019</v>
      </c>
      <c r="C2279" s="79" t="s">
        <v>89</v>
      </c>
      <c r="D2279" s="101">
        <v>45943</v>
      </c>
      <c r="E2279" s="79" t="s">
        <v>16</v>
      </c>
      <c r="F2279" s="79" t="s">
        <v>45</v>
      </c>
      <c r="G2279" s="79"/>
      <c r="H2279" s="79" t="s">
        <v>169</v>
      </c>
    </row>
    <row r="2280" spans="1:8">
      <c r="A2280" s="79" t="str">
        <f>LeaveData[[#This Row],[ EMP ID]]&amp;LeaveData[[#This Row],[Date]]</f>
        <v>20231801945944</v>
      </c>
      <c r="B2280" s="79">
        <v>202318019</v>
      </c>
      <c r="C2280" s="79" t="s">
        <v>89</v>
      </c>
      <c r="D2280" s="101">
        <v>45944</v>
      </c>
      <c r="E2280" s="79" t="s">
        <v>16</v>
      </c>
      <c r="F2280" s="79" t="s">
        <v>45</v>
      </c>
      <c r="G2280" s="79"/>
      <c r="H2280" s="79" t="s">
        <v>169</v>
      </c>
    </row>
    <row r="2281" spans="1:8">
      <c r="A2281" s="79" t="str">
        <f>LeaveData[[#This Row],[ EMP ID]]&amp;LeaveData[[#This Row],[Date]]</f>
        <v>20231801945945</v>
      </c>
      <c r="B2281" s="79">
        <v>202318019</v>
      </c>
      <c r="C2281" s="79" t="s">
        <v>89</v>
      </c>
      <c r="D2281" s="101">
        <v>45945</v>
      </c>
      <c r="E2281" s="79" t="s">
        <v>16</v>
      </c>
      <c r="F2281" s="79" t="s">
        <v>45</v>
      </c>
      <c r="G2281" s="79"/>
      <c r="H2281" s="79" t="s">
        <v>169</v>
      </c>
    </row>
    <row r="2282" spans="1:8">
      <c r="A2282" s="79" t="str">
        <f>LeaveData[[#This Row],[ EMP ID]]&amp;LeaveData[[#This Row],[Date]]</f>
        <v>20242100445943</v>
      </c>
      <c r="B2282" s="79" t="s">
        <v>1471</v>
      </c>
      <c r="C2282" s="79" t="s">
        <v>270</v>
      </c>
      <c r="D2282" s="101">
        <v>45943</v>
      </c>
      <c r="E2282" s="79" t="s">
        <v>12</v>
      </c>
      <c r="F2282" s="79" t="s">
        <v>29</v>
      </c>
      <c r="G2282" s="79"/>
      <c r="H2282" s="79" t="s">
        <v>1500</v>
      </c>
    </row>
    <row r="2283" spans="1:8">
      <c r="A2283" s="79" t="str">
        <f>LeaveData[[#This Row],[ EMP ID]]&amp;LeaveData[[#This Row],[Date]]</f>
        <v>20241804245940</v>
      </c>
      <c r="B2283" s="79">
        <v>202418042</v>
      </c>
      <c r="C2283" s="79" t="s">
        <v>402</v>
      </c>
      <c r="D2283" s="101">
        <v>45940</v>
      </c>
      <c r="E2283" s="79" t="s">
        <v>12</v>
      </c>
      <c r="F2283" s="79" t="s">
        <v>235</v>
      </c>
      <c r="G2283" s="79"/>
      <c r="H2283" s="79" t="s">
        <v>140</v>
      </c>
    </row>
    <row r="2284" spans="1:8">
      <c r="A2284" s="79" t="str">
        <f>LeaveData[[#This Row],[ EMP ID]]&amp;LeaveData[[#This Row],[Date]]</f>
        <v>20232000945943</v>
      </c>
      <c r="B2284" s="92">
        <v>202320009</v>
      </c>
      <c r="C2284" s="92" t="s">
        <v>143</v>
      </c>
      <c r="D2284" s="101">
        <v>45943</v>
      </c>
      <c r="E2284" s="79" t="s">
        <v>13</v>
      </c>
      <c r="F2284" s="79" t="s">
        <v>1365</v>
      </c>
      <c r="G2284" s="79"/>
      <c r="H2284" s="79" t="s">
        <v>1501</v>
      </c>
    </row>
    <row r="2285" spans="1:8">
      <c r="A2285" s="79" t="str">
        <f>LeaveData[[#This Row],[ EMP ID]]&amp;LeaveData[[#This Row],[Date]]</f>
        <v>20250102045946</v>
      </c>
      <c r="B2285" s="92">
        <v>202501020</v>
      </c>
      <c r="C2285" s="92" t="s">
        <v>1468</v>
      </c>
      <c r="D2285" s="101">
        <v>45946</v>
      </c>
      <c r="E2285" s="79" t="s">
        <v>13</v>
      </c>
      <c r="F2285" s="79" t="s">
        <v>246</v>
      </c>
      <c r="G2285" s="79"/>
      <c r="H2285" s="79" t="s">
        <v>1502</v>
      </c>
    </row>
    <row r="2286" spans="1:8">
      <c r="A2286" s="79" t="str">
        <f>LeaveData[[#This Row],[ EMP ID]]&amp;LeaveData[[#This Row],[Date]]</f>
        <v>20250102045947</v>
      </c>
      <c r="B2286" s="92">
        <v>202501020</v>
      </c>
      <c r="C2286" s="92" t="s">
        <v>1468</v>
      </c>
      <c r="D2286" s="101">
        <v>45947</v>
      </c>
      <c r="E2286" s="79" t="s">
        <v>13</v>
      </c>
      <c r="F2286" s="79" t="s">
        <v>246</v>
      </c>
      <c r="G2286" s="79"/>
      <c r="H2286" s="79" t="s">
        <v>1502</v>
      </c>
    </row>
    <row r="2287" spans="1:8">
      <c r="A2287" s="79" t="str">
        <f>LeaveData[[#This Row],[ EMP ID]]&amp;LeaveData[[#This Row],[Date]]</f>
        <v>20250102045948</v>
      </c>
      <c r="B2287" s="92">
        <v>202501020</v>
      </c>
      <c r="C2287" s="92" t="s">
        <v>1468</v>
      </c>
      <c r="D2287" s="101">
        <v>45948</v>
      </c>
      <c r="E2287" s="79" t="s">
        <v>13</v>
      </c>
      <c r="F2287" s="79" t="s">
        <v>246</v>
      </c>
      <c r="G2287" s="79"/>
      <c r="H2287" s="79" t="s">
        <v>1502</v>
      </c>
    </row>
    <row r="2288" spans="1:8">
      <c r="A2288" s="79" t="str">
        <f>LeaveData[[#This Row],[ EMP ID]]&amp;LeaveData[[#This Row],[Date]]</f>
        <v>20241803845940</v>
      </c>
      <c r="B2288" s="79">
        <v>202418038</v>
      </c>
      <c r="C2288" s="79" t="s">
        <v>246</v>
      </c>
      <c r="D2288" s="101">
        <v>45940</v>
      </c>
      <c r="E2288" s="79" t="s">
        <v>13</v>
      </c>
      <c r="F2288" s="79" t="s">
        <v>125</v>
      </c>
      <c r="G2288" s="79"/>
      <c r="H2288" s="79" t="s">
        <v>1524</v>
      </c>
    </row>
    <row r="2289" spans="1:8">
      <c r="A2289" s="79" t="str">
        <f>LeaveData[[#This Row],[ EMP ID]]&amp;LeaveData[[#This Row],[Date]]</f>
        <v>20232000745944</v>
      </c>
      <c r="B2289" s="92">
        <v>202320007</v>
      </c>
      <c r="C2289" s="92" t="s">
        <v>183</v>
      </c>
      <c r="D2289" s="101">
        <v>45944</v>
      </c>
      <c r="E2289" s="79" t="s">
        <v>16</v>
      </c>
      <c r="F2289" s="79" t="s">
        <v>104</v>
      </c>
      <c r="G2289" s="79"/>
      <c r="H2289" s="79" t="s">
        <v>140</v>
      </c>
    </row>
    <row r="2290" spans="1:8">
      <c r="A2290" s="79" t="str">
        <f>LeaveData[[#This Row],[ EMP ID]]&amp;LeaveData[[#This Row],[Date]]</f>
        <v>20241804245948</v>
      </c>
      <c r="B2290" s="79">
        <v>202418042</v>
      </c>
      <c r="C2290" s="79" t="s">
        <v>402</v>
      </c>
      <c r="D2290" s="101">
        <v>45948</v>
      </c>
      <c r="E2290" s="79" t="s">
        <v>13</v>
      </c>
      <c r="F2290" s="79" t="s">
        <v>235</v>
      </c>
      <c r="G2290" s="79"/>
      <c r="H2290" s="79" t="s">
        <v>1502</v>
      </c>
    </row>
    <row r="2291" spans="1:8">
      <c r="A2291" s="79" t="str">
        <f>LeaveData[[#This Row],[ EMP ID]]&amp;LeaveData[[#This Row],[Date]]</f>
        <v>20241804245950</v>
      </c>
      <c r="B2291" s="79">
        <v>202418042</v>
      </c>
      <c r="C2291" s="79" t="s">
        <v>402</v>
      </c>
      <c r="D2291" s="101">
        <v>45950</v>
      </c>
      <c r="E2291" s="79" t="s">
        <v>13</v>
      </c>
      <c r="F2291" s="79" t="s">
        <v>235</v>
      </c>
      <c r="G2291" s="79"/>
      <c r="H2291" s="79" t="s">
        <v>1502</v>
      </c>
    </row>
    <row r="2292" spans="1:8">
      <c r="A2292" s="79" t="str">
        <f>LeaveData[[#This Row],[ EMP ID]]&amp;LeaveData[[#This Row],[Date]]</f>
        <v>20241804245955</v>
      </c>
      <c r="B2292" s="79">
        <v>202418042</v>
      </c>
      <c r="C2292" s="79" t="s">
        <v>402</v>
      </c>
      <c r="D2292" s="101">
        <v>45955</v>
      </c>
      <c r="E2292" s="79" t="s">
        <v>16</v>
      </c>
      <c r="F2292" s="79" t="s">
        <v>235</v>
      </c>
      <c r="G2292" s="79"/>
      <c r="H2292" s="79" t="s">
        <v>1502</v>
      </c>
    </row>
    <row r="2293" spans="1:8">
      <c r="A2293" s="79" t="str">
        <f>LeaveData[[#This Row],[ EMP ID]]&amp;LeaveData[[#This Row],[Date]]</f>
        <v>20241804245957</v>
      </c>
      <c r="B2293" s="79">
        <v>202418042</v>
      </c>
      <c r="C2293" s="79" t="s">
        <v>402</v>
      </c>
      <c r="D2293" s="101">
        <v>45957</v>
      </c>
      <c r="E2293" s="79" t="s">
        <v>16</v>
      </c>
      <c r="F2293" s="79" t="s">
        <v>235</v>
      </c>
      <c r="G2293" s="79"/>
      <c r="H2293" s="79" t="s">
        <v>1502</v>
      </c>
    </row>
    <row r="2294" spans="1:8">
      <c r="A2294" s="79" t="str">
        <f>LeaveData[[#This Row],[ EMP ID]]&amp;LeaveData[[#This Row],[Date]]</f>
        <v>20241804245958</v>
      </c>
      <c r="B2294" s="79">
        <v>202418042</v>
      </c>
      <c r="C2294" s="79" t="s">
        <v>402</v>
      </c>
      <c r="D2294" s="101">
        <v>45958</v>
      </c>
      <c r="E2294" s="79" t="s">
        <v>16</v>
      </c>
      <c r="F2294" s="79" t="s">
        <v>235</v>
      </c>
      <c r="G2294" s="79"/>
      <c r="H2294" s="79" t="s">
        <v>1502</v>
      </c>
    </row>
    <row r="2295" spans="1:8">
      <c r="A2295" s="79" t="str">
        <f>LeaveData[[#This Row],[ EMP ID]]&amp;LeaveData[[#This Row],[Date]]</f>
        <v>20241804245959</v>
      </c>
      <c r="B2295" s="79">
        <v>202418042</v>
      </c>
      <c r="C2295" s="79" t="s">
        <v>402</v>
      </c>
      <c r="D2295" s="101">
        <v>45959</v>
      </c>
      <c r="E2295" s="79" t="s">
        <v>13</v>
      </c>
      <c r="F2295" s="79" t="s">
        <v>235</v>
      </c>
      <c r="G2295" s="79"/>
      <c r="H2295" s="79" t="s">
        <v>181</v>
      </c>
    </row>
    <row r="2296" spans="1:8">
      <c r="A2296" s="79" t="str">
        <f>LeaveData[[#This Row],[ EMP ID]]&amp;LeaveData[[#This Row],[Date]]</f>
        <v>20241804245960</v>
      </c>
      <c r="B2296" s="79">
        <v>202418042</v>
      </c>
      <c r="C2296" s="79" t="s">
        <v>402</v>
      </c>
      <c r="D2296" s="101">
        <v>45960</v>
      </c>
      <c r="E2296" s="79" t="s">
        <v>13</v>
      </c>
      <c r="F2296" s="79" t="s">
        <v>235</v>
      </c>
      <c r="G2296" s="79"/>
      <c r="H2296" s="79" t="s">
        <v>181</v>
      </c>
    </row>
    <row r="2297" spans="1:8">
      <c r="A2297" s="79" t="str">
        <f>LeaveData[[#This Row],[ EMP ID]]&amp;LeaveData[[#This Row],[Date]]</f>
        <v>20241804245961</v>
      </c>
      <c r="B2297" s="79">
        <v>202418042</v>
      </c>
      <c r="C2297" s="79" t="s">
        <v>402</v>
      </c>
      <c r="D2297" s="101">
        <v>45961</v>
      </c>
      <c r="E2297" s="79" t="s">
        <v>13</v>
      </c>
      <c r="F2297" s="79" t="s">
        <v>235</v>
      </c>
      <c r="G2297" s="79"/>
      <c r="H2297" s="79" t="s">
        <v>181</v>
      </c>
    </row>
    <row r="2298" spans="1:8">
      <c r="A2298" s="79" t="str">
        <f>LeaveData[[#This Row],[ EMP ID]]&amp;LeaveData[[#This Row],[Date]]</f>
        <v>20241804245962</v>
      </c>
      <c r="B2298" s="79">
        <v>202418042</v>
      </c>
      <c r="C2298" s="79" t="s">
        <v>402</v>
      </c>
      <c r="D2298" s="101">
        <v>45962</v>
      </c>
      <c r="E2298" s="79" t="s">
        <v>13</v>
      </c>
      <c r="F2298" s="79" t="s">
        <v>235</v>
      </c>
      <c r="G2298" s="79"/>
      <c r="H2298" s="79" t="s">
        <v>181</v>
      </c>
    </row>
    <row r="2299" spans="1:8">
      <c r="A2299" s="79" t="str">
        <f>LeaveData[[#This Row],[ EMP ID]]&amp;LeaveData[[#This Row],[Date]]</f>
        <v>20241803845944</v>
      </c>
      <c r="B2299" s="79">
        <v>202418038</v>
      </c>
      <c r="C2299" s="79" t="s">
        <v>246</v>
      </c>
      <c r="D2299" s="101">
        <v>45944</v>
      </c>
      <c r="E2299" s="79" t="s">
        <v>13</v>
      </c>
      <c r="F2299" s="79" t="s">
        <v>125</v>
      </c>
      <c r="G2299" s="79"/>
      <c r="H2299" s="79" t="s">
        <v>1525</v>
      </c>
    </row>
    <row r="2300" spans="1:8">
      <c r="A2300" s="79" t="str">
        <f>LeaveData[[#This Row],[ EMP ID]]&amp;LeaveData[[#This Row],[Date]]</f>
        <v>20250101945945</v>
      </c>
      <c r="B2300" s="92">
        <v>202501019</v>
      </c>
      <c r="C2300" s="92" t="s">
        <v>1461</v>
      </c>
      <c r="D2300" s="101">
        <v>45945</v>
      </c>
      <c r="E2300" s="79" t="s">
        <v>14</v>
      </c>
      <c r="F2300" s="79" t="s">
        <v>1486</v>
      </c>
      <c r="G2300" s="79"/>
      <c r="H2300" s="79" t="s">
        <v>1503</v>
      </c>
    </row>
    <row r="2301" spans="1:8">
      <c r="A2301" s="79" t="str">
        <f>LeaveData[[#This Row],[ EMP ID]]&amp;LeaveData[[#This Row],[Date]]</f>
        <v>20250101945946</v>
      </c>
      <c r="B2301" s="92">
        <v>202501019</v>
      </c>
      <c r="C2301" s="92" t="s">
        <v>1461</v>
      </c>
      <c r="D2301" s="101">
        <v>45946</v>
      </c>
      <c r="E2301" s="79" t="s">
        <v>13</v>
      </c>
      <c r="F2301" s="79" t="s">
        <v>1486</v>
      </c>
      <c r="G2301" s="79"/>
      <c r="H2301" s="79" t="s">
        <v>1504</v>
      </c>
    </row>
    <row r="2302" spans="1:8">
      <c r="A2302" s="79" t="str">
        <f>LeaveData[[#This Row],[ EMP ID]]&amp;LeaveData[[#This Row],[Date]]</f>
        <v>20242100445948</v>
      </c>
      <c r="B2302" s="79" t="s">
        <v>1471</v>
      </c>
      <c r="C2302" s="79" t="s">
        <v>270</v>
      </c>
      <c r="D2302" s="101">
        <v>45948</v>
      </c>
      <c r="E2302" s="79" t="s">
        <v>14</v>
      </c>
      <c r="F2302" s="79" t="s">
        <v>29</v>
      </c>
      <c r="G2302" s="79"/>
      <c r="H2302" s="79" t="s">
        <v>1505</v>
      </c>
    </row>
    <row r="2303" spans="1:8">
      <c r="A2303" s="79" t="str">
        <f>LeaveData[[#This Row],[ EMP ID]]&amp;LeaveData[[#This Row],[Date]]</f>
        <v>20242100445955</v>
      </c>
      <c r="B2303" s="79" t="s">
        <v>1471</v>
      </c>
      <c r="C2303" s="79" t="s">
        <v>270</v>
      </c>
      <c r="D2303" s="101">
        <v>45955</v>
      </c>
      <c r="E2303" s="79" t="s">
        <v>16</v>
      </c>
      <c r="F2303" s="79" t="s">
        <v>29</v>
      </c>
      <c r="G2303" s="79"/>
      <c r="H2303" s="79" t="s">
        <v>1505</v>
      </c>
    </row>
    <row r="2304" spans="1:8">
      <c r="A2304" s="79" t="str">
        <f>LeaveData[[#This Row],[ EMP ID]]&amp;LeaveData[[#This Row],[Date]]</f>
        <v>20242100445957</v>
      </c>
      <c r="B2304" s="79" t="s">
        <v>1471</v>
      </c>
      <c r="C2304" s="79" t="s">
        <v>270</v>
      </c>
      <c r="D2304" s="101">
        <v>45957</v>
      </c>
      <c r="E2304" s="79" t="s">
        <v>16</v>
      </c>
      <c r="F2304" s="79" t="s">
        <v>29</v>
      </c>
      <c r="G2304" s="79"/>
      <c r="H2304" s="79" t="s">
        <v>1505</v>
      </c>
    </row>
    <row r="2305" spans="1:8">
      <c r="A2305" s="79" t="str">
        <f>LeaveData[[#This Row],[ EMP ID]]&amp;LeaveData[[#This Row],[Date]]</f>
        <v>20242100445958</v>
      </c>
      <c r="B2305" s="79" t="s">
        <v>1471</v>
      </c>
      <c r="C2305" s="79" t="s">
        <v>270</v>
      </c>
      <c r="D2305" s="101">
        <v>45958</v>
      </c>
      <c r="E2305" s="79" t="s">
        <v>13</v>
      </c>
      <c r="F2305" s="79" t="s">
        <v>29</v>
      </c>
      <c r="G2305" s="79"/>
      <c r="H2305" s="132" t="s">
        <v>1511</v>
      </c>
    </row>
    <row r="2306" spans="1:8">
      <c r="A2306" s="79" t="str">
        <f>LeaveData[[#This Row],[ EMP ID]]&amp;LeaveData[[#This Row],[Date]]</f>
        <v>20242100445959</v>
      </c>
      <c r="B2306" s="79" t="s">
        <v>1471</v>
      </c>
      <c r="C2306" s="79" t="s">
        <v>270</v>
      </c>
      <c r="D2306" s="101">
        <v>45959</v>
      </c>
      <c r="E2306" s="79" t="s">
        <v>16</v>
      </c>
      <c r="F2306" s="79" t="s">
        <v>29</v>
      </c>
      <c r="G2306" s="79"/>
      <c r="H2306" s="79" t="s">
        <v>1505</v>
      </c>
    </row>
    <row r="2307" spans="1:8">
      <c r="A2307" s="79" t="str">
        <f>LeaveData[[#This Row],[ EMP ID]]&amp;LeaveData[[#This Row],[Date]]</f>
        <v>20242100445960</v>
      </c>
      <c r="B2307" s="79" t="s">
        <v>1471</v>
      </c>
      <c r="C2307" s="79" t="s">
        <v>270</v>
      </c>
      <c r="D2307" s="101">
        <v>45960</v>
      </c>
      <c r="E2307" s="79" t="s">
        <v>16</v>
      </c>
      <c r="F2307" s="79" t="s">
        <v>29</v>
      </c>
      <c r="G2307" s="79"/>
      <c r="H2307" s="79" t="s">
        <v>1505</v>
      </c>
    </row>
    <row r="2308" spans="1:8">
      <c r="A2308" s="79" t="str">
        <f>LeaveData[[#This Row],[ EMP ID]]&amp;LeaveData[[#This Row],[Date]]</f>
        <v>20242100445961</v>
      </c>
      <c r="B2308" s="79" t="s">
        <v>1471</v>
      </c>
      <c r="C2308" s="79" t="s">
        <v>270</v>
      </c>
      <c r="D2308" s="101">
        <v>45961</v>
      </c>
      <c r="E2308" s="79" t="s">
        <v>16</v>
      </c>
      <c r="F2308" s="79" t="s">
        <v>29</v>
      </c>
      <c r="G2308" s="79"/>
      <c r="H2308" s="79" t="s">
        <v>1505</v>
      </c>
    </row>
    <row r="2309" spans="1:8">
      <c r="A2309" s="79" t="str">
        <f>LeaveData[[#This Row],[ EMP ID]]&amp;LeaveData[[#This Row],[Date]]</f>
        <v>20242100445964</v>
      </c>
      <c r="B2309" s="79" t="s">
        <v>1471</v>
      </c>
      <c r="C2309" s="79" t="s">
        <v>270</v>
      </c>
      <c r="D2309" s="101">
        <v>45964</v>
      </c>
      <c r="E2309" s="79" t="s">
        <v>13</v>
      </c>
      <c r="F2309" s="79" t="s">
        <v>29</v>
      </c>
      <c r="G2309" s="79"/>
      <c r="H2309" s="79" t="s">
        <v>1506</v>
      </c>
    </row>
    <row r="2310" spans="1:8">
      <c r="A2310" s="79" t="str">
        <f>LeaveData[[#This Row],[ EMP ID]]&amp;LeaveData[[#This Row],[Date]]</f>
        <v>20250101245948</v>
      </c>
      <c r="B2310" s="79">
        <v>202501012</v>
      </c>
      <c r="C2310" s="79" t="s">
        <v>1394</v>
      </c>
      <c r="D2310" s="101">
        <v>45948</v>
      </c>
      <c r="E2310" s="79" t="s">
        <v>14</v>
      </c>
      <c r="F2310" s="79" t="s">
        <v>246</v>
      </c>
      <c r="G2310" s="79"/>
      <c r="H2310" s="79" t="s">
        <v>169</v>
      </c>
    </row>
    <row r="2311" spans="1:8">
      <c r="A2311" s="79" t="str">
        <f>LeaveData[[#This Row],[ EMP ID]]&amp;LeaveData[[#This Row],[Date]]</f>
        <v>20241803845946</v>
      </c>
      <c r="B2311" s="79">
        <v>202418038</v>
      </c>
      <c r="C2311" s="79" t="s">
        <v>246</v>
      </c>
      <c r="D2311" s="101">
        <v>45946</v>
      </c>
      <c r="E2311" s="79" t="s">
        <v>16</v>
      </c>
      <c r="F2311" s="79" t="s">
        <v>125</v>
      </c>
      <c r="G2311" s="79"/>
      <c r="H2311" s="79" t="s">
        <v>140</v>
      </c>
    </row>
    <row r="2312" spans="1:8">
      <c r="A2312" s="79" t="str">
        <f>LeaveData[[#This Row],[ EMP ID]]&amp;LeaveData[[#This Row],[Date]]</f>
        <v>20251804845946</v>
      </c>
      <c r="B2312" s="92">
        <v>202518048</v>
      </c>
      <c r="C2312" s="92" t="s">
        <v>1488</v>
      </c>
      <c r="D2312" s="101">
        <v>45946</v>
      </c>
      <c r="E2312" s="79" t="s">
        <v>14</v>
      </c>
      <c r="F2312" s="79" t="s">
        <v>246</v>
      </c>
      <c r="G2312" s="79"/>
      <c r="H2312" s="79" t="s">
        <v>1507</v>
      </c>
    </row>
    <row r="2313" spans="1:8">
      <c r="A2313" s="79" t="str">
        <f>LeaveData[[#This Row],[ EMP ID]]&amp;LeaveData[[#This Row],[Date]]</f>
        <v>20251804845947</v>
      </c>
      <c r="B2313" s="92">
        <v>202518048</v>
      </c>
      <c r="C2313" s="92" t="s">
        <v>1488</v>
      </c>
      <c r="D2313" s="101">
        <v>45947</v>
      </c>
      <c r="E2313" s="79" t="s">
        <v>13</v>
      </c>
      <c r="F2313" s="79" t="s">
        <v>246</v>
      </c>
      <c r="G2313" s="79"/>
      <c r="H2313" s="79" t="s">
        <v>1507</v>
      </c>
    </row>
    <row r="2314" spans="1:8">
      <c r="A2314" s="79" t="str">
        <f>LeaveData[[#This Row],[ EMP ID]]&amp;LeaveData[[#This Row],[Date]]</f>
        <v>20250101645957</v>
      </c>
      <c r="B2314" s="92">
        <v>202501016</v>
      </c>
      <c r="C2314" s="92" t="s">
        <v>1430</v>
      </c>
      <c r="D2314" s="101">
        <v>45957</v>
      </c>
      <c r="E2314" s="79" t="s">
        <v>13</v>
      </c>
      <c r="F2314" s="79" t="s">
        <v>235</v>
      </c>
      <c r="G2314" s="79"/>
      <c r="H2314" s="79" t="s">
        <v>1508</v>
      </c>
    </row>
    <row r="2315" spans="1:8">
      <c r="A2315" s="79" t="str">
        <f>LeaveData[[#This Row],[ EMP ID]]&amp;LeaveData[[#This Row],[Date]]</f>
        <v>20250101645958</v>
      </c>
      <c r="B2315" s="92">
        <v>202501016</v>
      </c>
      <c r="C2315" s="92" t="s">
        <v>1430</v>
      </c>
      <c r="D2315" s="101">
        <v>45958</v>
      </c>
      <c r="E2315" s="79" t="s">
        <v>13</v>
      </c>
      <c r="F2315" s="79" t="s">
        <v>235</v>
      </c>
      <c r="G2315" s="79"/>
      <c r="H2315" s="79" t="s">
        <v>1508</v>
      </c>
    </row>
    <row r="2316" spans="1:8">
      <c r="A2316" s="79" t="str">
        <f>LeaveData[[#This Row],[ EMP ID]]&amp;LeaveData[[#This Row],[Date]]</f>
        <v>20242101845948</v>
      </c>
      <c r="B2316" s="92">
        <v>202421018</v>
      </c>
      <c r="C2316" s="122" t="s">
        <v>378</v>
      </c>
      <c r="D2316" s="101">
        <v>45948</v>
      </c>
      <c r="E2316" s="79" t="s">
        <v>13</v>
      </c>
      <c r="F2316" s="79" t="s">
        <v>29</v>
      </c>
      <c r="G2316" s="79"/>
      <c r="H2316" s="79" t="s">
        <v>116</v>
      </c>
    </row>
    <row r="2317" spans="1:8">
      <c r="A2317" s="79" t="str">
        <f>LeaveData[[#This Row],[ EMP ID]]&amp;LeaveData[[#This Row],[Date]]</f>
        <v>20231802645958</v>
      </c>
      <c r="B2317" s="92">
        <v>202318026</v>
      </c>
      <c r="C2317" s="92" t="s">
        <v>53</v>
      </c>
      <c r="D2317" s="101">
        <v>45958</v>
      </c>
      <c r="E2317" s="79" t="s">
        <v>13</v>
      </c>
      <c r="F2317" s="79" t="s">
        <v>104</v>
      </c>
      <c r="G2317" s="79"/>
      <c r="H2317" s="79" t="s">
        <v>116</v>
      </c>
    </row>
    <row r="2318" spans="1:8">
      <c r="A2318" s="79" t="str">
        <f>LeaveData[[#This Row],[ EMP ID]]&amp;LeaveData[[#This Row],[Date]]</f>
        <v>20231801945955</v>
      </c>
      <c r="B2318" s="79">
        <v>202318019</v>
      </c>
      <c r="C2318" s="79" t="s">
        <v>89</v>
      </c>
      <c r="D2318" s="101">
        <v>45955</v>
      </c>
      <c r="E2318" s="79" t="s">
        <v>13</v>
      </c>
      <c r="F2318" s="79" t="s">
        <v>45</v>
      </c>
      <c r="G2318" s="79"/>
      <c r="H2318" s="79" t="s">
        <v>1509</v>
      </c>
    </row>
    <row r="2319" spans="1:8">
      <c r="A2319" s="79" t="str">
        <f>LeaveData[[#This Row],[ EMP ID]]&amp;LeaveData[[#This Row],[Date]]</f>
        <v>20231801945957</v>
      </c>
      <c r="B2319" s="79">
        <v>202318019</v>
      </c>
      <c r="C2319" s="79" t="s">
        <v>89</v>
      </c>
      <c r="D2319" s="101">
        <v>45957</v>
      </c>
      <c r="E2319" s="79" t="s">
        <v>13</v>
      </c>
      <c r="F2319" s="79" t="s">
        <v>45</v>
      </c>
      <c r="G2319" s="79"/>
      <c r="H2319" s="79" t="s">
        <v>1509</v>
      </c>
    </row>
    <row r="2320" spans="1:8">
      <c r="A2320" s="79" t="str">
        <f>LeaveData[[#This Row],[ EMP ID]]&amp;LeaveData[[#This Row],[Date]]</f>
        <v>20231802245955</v>
      </c>
      <c r="B2320" s="79">
        <v>202318022</v>
      </c>
      <c r="C2320" s="79" t="s">
        <v>45</v>
      </c>
      <c r="D2320" s="101">
        <v>45955</v>
      </c>
      <c r="E2320" s="79" t="s">
        <v>13</v>
      </c>
      <c r="F2320" s="79" t="s">
        <v>1365</v>
      </c>
      <c r="G2320" s="79"/>
      <c r="H2320" s="79" t="s">
        <v>1509</v>
      </c>
    </row>
    <row r="2321" spans="1:8">
      <c r="A2321" s="79" t="str">
        <f>LeaveData[[#This Row],[ EMP ID]]&amp;LeaveData[[#This Row],[Date]]</f>
        <v>20231802045955</v>
      </c>
      <c r="B2321" s="79">
        <v>202318020</v>
      </c>
      <c r="C2321" s="92" t="s">
        <v>43</v>
      </c>
      <c r="D2321" s="101">
        <v>45955</v>
      </c>
      <c r="E2321" s="79" t="s">
        <v>13</v>
      </c>
      <c r="F2321" s="79" t="s">
        <v>45</v>
      </c>
      <c r="G2321" s="79"/>
      <c r="H2321" s="79" t="s">
        <v>1509</v>
      </c>
    </row>
    <row r="2322" spans="1:8">
      <c r="A2322" s="79" t="str">
        <f>LeaveData[[#This Row],[ EMP ID]]&amp;LeaveData[[#This Row],[Date]]</f>
        <v>20242101845955</v>
      </c>
      <c r="B2322" s="92">
        <v>202421018</v>
      </c>
      <c r="C2322" s="122" t="s">
        <v>378</v>
      </c>
      <c r="D2322" s="101">
        <v>45955</v>
      </c>
      <c r="E2322" s="79" t="s">
        <v>12</v>
      </c>
      <c r="F2322" s="79" t="s">
        <v>29</v>
      </c>
      <c r="G2322" s="79"/>
      <c r="H2322" s="79" t="s">
        <v>140</v>
      </c>
    </row>
    <row r="2323" spans="1:8">
      <c r="A2323" s="79" t="str">
        <f>LeaveData[[#This Row],[ EMP ID]]&amp;LeaveData[[#This Row],[Date]]</f>
        <v>20231802345953</v>
      </c>
      <c r="B2323" s="92">
        <v>202318023</v>
      </c>
      <c r="C2323" s="122" t="s">
        <v>148</v>
      </c>
      <c r="D2323" s="101">
        <v>45953</v>
      </c>
      <c r="E2323" s="79" t="s">
        <v>154</v>
      </c>
      <c r="F2323" s="79" t="s">
        <v>104</v>
      </c>
      <c r="G2323" s="79"/>
      <c r="H2323" s="79" t="s">
        <v>155</v>
      </c>
    </row>
    <row r="2324" spans="1:8">
      <c r="A2324" s="79" t="str">
        <f>LeaveData[[#This Row],[ EMP ID]]&amp;LeaveData[[#This Row],[Date]]</f>
        <v>20231802345954</v>
      </c>
      <c r="B2324" s="92">
        <v>202318023</v>
      </c>
      <c r="C2324" s="122" t="s">
        <v>148</v>
      </c>
      <c r="D2324" s="101">
        <v>45954</v>
      </c>
      <c r="E2324" s="79" t="s">
        <v>154</v>
      </c>
      <c r="F2324" s="79" t="s">
        <v>104</v>
      </c>
      <c r="G2324" s="79"/>
      <c r="H2324" s="79" t="s">
        <v>155</v>
      </c>
    </row>
    <row r="2325" spans="1:8">
      <c r="A2325" s="79" t="str">
        <f>LeaveData[[#This Row],[ EMP ID]]&amp;LeaveData[[#This Row],[Date]]</f>
        <v>20231802845955</v>
      </c>
      <c r="B2325" s="92">
        <v>202318028</v>
      </c>
      <c r="C2325" s="92" t="s">
        <v>57</v>
      </c>
      <c r="D2325" s="101">
        <v>45955</v>
      </c>
      <c r="E2325" s="79" t="s">
        <v>16</v>
      </c>
      <c r="F2325" s="79" t="s">
        <v>104</v>
      </c>
      <c r="G2325" s="79"/>
      <c r="H2325" s="79" t="s">
        <v>169</v>
      </c>
    </row>
    <row r="2326" spans="1:8">
      <c r="A2326" s="79" t="str">
        <f>LeaveData[[#This Row],[ EMP ID]]&amp;LeaveData[[#This Row],[Date]]</f>
        <v>20231802545955</v>
      </c>
      <c r="B2326" s="92">
        <v>202318025</v>
      </c>
      <c r="C2326" s="92" t="s">
        <v>122</v>
      </c>
      <c r="D2326" s="101">
        <v>45955</v>
      </c>
      <c r="E2326" s="79" t="s">
        <v>14</v>
      </c>
      <c r="F2326" s="79" t="s">
        <v>1365</v>
      </c>
      <c r="G2326" s="79"/>
      <c r="H2326" s="79" t="s">
        <v>169</v>
      </c>
    </row>
    <row r="2327" spans="1:8">
      <c r="A2327" s="79" t="str">
        <f>LeaveData[[#This Row],[ EMP ID]]&amp;LeaveData[[#This Row],[Date]]</f>
        <v>20250102245957</v>
      </c>
      <c r="B2327" s="92">
        <v>202501022</v>
      </c>
      <c r="C2327" s="92" t="s">
        <v>1492</v>
      </c>
      <c r="D2327" s="130">
        <v>45957</v>
      </c>
      <c r="E2327" s="79" t="s">
        <v>13</v>
      </c>
      <c r="F2327" s="79" t="s">
        <v>45</v>
      </c>
      <c r="G2327" s="79"/>
      <c r="H2327" s="92" t="s">
        <v>1508</v>
      </c>
    </row>
    <row r="2328" spans="1:8">
      <c r="A2328" s="79" t="str">
        <f>LeaveData[[#This Row],[ EMP ID]]&amp;LeaveData[[#This Row],[Date]]</f>
        <v>20250102245958</v>
      </c>
      <c r="B2328" s="92">
        <v>202501022</v>
      </c>
      <c r="C2328" s="92" t="s">
        <v>1492</v>
      </c>
      <c r="D2328" s="130">
        <v>45958</v>
      </c>
      <c r="E2328" s="79" t="s">
        <v>13</v>
      </c>
      <c r="F2328" s="79" t="s">
        <v>45</v>
      </c>
      <c r="G2328" s="79"/>
      <c r="H2328" s="92" t="s">
        <v>1508</v>
      </c>
    </row>
    <row r="2329" spans="1:8">
      <c r="A2329" s="79" t="str">
        <f>LeaveData[[#This Row],[ EMP ID]]&amp;LeaveData[[#This Row],[Date]]</f>
        <v>20221800945957</v>
      </c>
      <c r="B2329" s="92">
        <v>202218009</v>
      </c>
      <c r="C2329" s="92" t="s">
        <v>26</v>
      </c>
      <c r="D2329" s="130">
        <v>45957</v>
      </c>
      <c r="E2329" s="79" t="s">
        <v>12</v>
      </c>
      <c r="F2329" s="79" t="s">
        <v>128</v>
      </c>
      <c r="G2329" s="79"/>
      <c r="H2329" s="79" t="s">
        <v>140</v>
      </c>
    </row>
    <row r="2330" spans="1:8">
      <c r="A2330" s="79" t="str">
        <f>LeaveData[[#This Row],[ EMP ID]]&amp;LeaveData[[#This Row],[Date]]</f>
        <v>20232000745958</v>
      </c>
      <c r="B2330" s="92">
        <v>202320007</v>
      </c>
      <c r="C2330" s="92" t="s">
        <v>183</v>
      </c>
      <c r="D2330" s="130">
        <v>45958</v>
      </c>
      <c r="E2330" s="79" t="s">
        <v>16</v>
      </c>
      <c r="F2330" s="79" t="s">
        <v>104</v>
      </c>
      <c r="G2330" s="79"/>
      <c r="H2330" s="79" t="s">
        <v>116</v>
      </c>
    </row>
    <row r="2331" spans="1:8">
      <c r="A2331" s="79" t="str">
        <f>LeaveData[[#This Row],[ EMP ID]]&amp;LeaveData[[#This Row],[Date]]</f>
        <v>20250101245955</v>
      </c>
      <c r="B2331" s="79">
        <v>202501012</v>
      </c>
      <c r="C2331" s="79" t="s">
        <v>1394</v>
      </c>
      <c r="D2331" s="101">
        <v>45955</v>
      </c>
      <c r="E2331" s="79" t="s">
        <v>13</v>
      </c>
      <c r="F2331" s="79" t="s">
        <v>246</v>
      </c>
      <c r="G2331" s="79"/>
      <c r="H2331" s="79" t="s">
        <v>189</v>
      </c>
    </row>
    <row r="2332" spans="1:8">
      <c r="A2332" s="131" t="str">
        <f>LeaveData[[#This Row],[ EMP ID]]&amp;LeaveData[[#This Row],[Date]]</f>
        <v>20250102045957</v>
      </c>
      <c r="B2332" s="92">
        <v>202501020</v>
      </c>
      <c r="C2332" s="92" t="s">
        <v>1468</v>
      </c>
      <c r="D2332" s="130">
        <v>45957</v>
      </c>
      <c r="E2332" s="79" t="s">
        <v>16</v>
      </c>
      <c r="F2332" s="79" t="s">
        <v>246</v>
      </c>
      <c r="G2332" s="79"/>
      <c r="H2332" s="126" t="s">
        <v>1510</v>
      </c>
    </row>
    <row r="2333" spans="1:8">
      <c r="A2333" s="79" t="str">
        <f>LeaveData[[#This Row],[ EMP ID]]&amp;LeaveData[[#This Row],[Date]]</f>
        <v>20250102045958</v>
      </c>
      <c r="B2333" s="92">
        <v>202501020</v>
      </c>
      <c r="C2333" s="92" t="s">
        <v>1468</v>
      </c>
      <c r="D2333" s="130">
        <v>45958</v>
      </c>
      <c r="E2333" s="79" t="s">
        <v>16</v>
      </c>
      <c r="F2333" s="79" t="s">
        <v>246</v>
      </c>
      <c r="G2333" s="79"/>
      <c r="H2333" s="126" t="s">
        <v>1510</v>
      </c>
    </row>
    <row r="2334" spans="1:8">
      <c r="A2334" s="79" t="str">
        <f>LeaveData[[#This Row],[ EMP ID]]&amp;LeaveData[[#This Row],[Date]]</f>
        <v>20250102045959</v>
      </c>
      <c r="B2334" s="92">
        <v>202501020</v>
      </c>
      <c r="C2334" s="92" t="s">
        <v>1468</v>
      </c>
      <c r="D2334" s="130">
        <v>45959</v>
      </c>
      <c r="E2334" s="79" t="s">
        <v>16</v>
      </c>
      <c r="F2334" s="79" t="s">
        <v>246</v>
      </c>
      <c r="G2334" s="79"/>
      <c r="H2334" s="126" t="s">
        <v>1510</v>
      </c>
    </row>
    <row r="2335" spans="1:8">
      <c r="A2335" s="79" t="str">
        <f>LeaveData[[#This Row],[ EMP ID]]&amp;LeaveData[[#This Row],[Date]]</f>
        <v>20250102045960</v>
      </c>
      <c r="B2335" s="92">
        <v>202501020</v>
      </c>
      <c r="C2335" s="92" t="s">
        <v>1468</v>
      </c>
      <c r="D2335" s="130">
        <v>45960</v>
      </c>
      <c r="E2335" s="79" t="s">
        <v>16</v>
      </c>
      <c r="F2335" s="79" t="s">
        <v>246</v>
      </c>
      <c r="G2335" s="79"/>
      <c r="H2335" s="126" t="s">
        <v>1510</v>
      </c>
    </row>
    <row r="2336" spans="1:8">
      <c r="A2336" s="79" t="str">
        <f>LeaveData[[#This Row],[ EMP ID]]&amp;LeaveData[[#This Row],[Date]]</f>
        <v>20250102045961</v>
      </c>
      <c r="B2336" s="92">
        <v>202501020</v>
      </c>
      <c r="C2336" s="92" t="s">
        <v>1468</v>
      </c>
      <c r="D2336" s="130">
        <v>45961</v>
      </c>
      <c r="E2336" s="79" t="s">
        <v>16</v>
      </c>
      <c r="F2336" s="79" t="s">
        <v>246</v>
      </c>
      <c r="G2336" s="79"/>
      <c r="H2336" s="126" t="s">
        <v>1510</v>
      </c>
    </row>
    <row r="2337" spans="1:8">
      <c r="A2337" s="79" t="str">
        <f>LeaveData[[#This Row],[ EMP ID]]&amp;LeaveData[[#This Row],[Date]]</f>
        <v>20250102045962</v>
      </c>
      <c r="B2337" s="92">
        <v>202501020</v>
      </c>
      <c r="C2337" s="92" t="s">
        <v>1468</v>
      </c>
      <c r="D2337" s="130">
        <v>45962</v>
      </c>
      <c r="E2337" s="79" t="s">
        <v>16</v>
      </c>
      <c r="F2337" s="79" t="s">
        <v>246</v>
      </c>
      <c r="G2337" s="79"/>
      <c r="H2337" s="126" t="s">
        <v>1510</v>
      </c>
    </row>
    <row r="2338" spans="1:8">
      <c r="A2338" s="79" t="str">
        <f>LeaveData[[#This Row],[ EMP ID]]&amp;LeaveData[[#This Row],[Date]]</f>
        <v>20251804845959</v>
      </c>
      <c r="B2338" s="92">
        <v>202518048</v>
      </c>
      <c r="C2338" s="92" t="s">
        <v>1488</v>
      </c>
      <c r="D2338" s="101">
        <v>45959</v>
      </c>
      <c r="E2338" s="79" t="s">
        <v>13</v>
      </c>
      <c r="F2338" s="79" t="s">
        <v>246</v>
      </c>
      <c r="G2338" s="79"/>
      <c r="H2338" s="79" t="s">
        <v>168</v>
      </c>
    </row>
    <row r="2339" spans="1:8">
      <c r="A2339" s="79" t="str">
        <f>LeaveData[[#This Row],[ EMP ID]]&amp;LeaveData[[#This Row],[Date]]</f>
        <v>20250100845960</v>
      </c>
      <c r="B2339" s="92">
        <v>202501008</v>
      </c>
      <c r="C2339" s="92" t="s">
        <v>1368</v>
      </c>
      <c r="D2339" s="101">
        <v>45960</v>
      </c>
      <c r="E2339" s="79" t="s">
        <v>16</v>
      </c>
      <c r="F2339" s="79" t="s">
        <v>235</v>
      </c>
      <c r="G2339" s="79"/>
      <c r="H2339" s="79" t="s">
        <v>1512</v>
      </c>
    </row>
    <row r="2340" spans="1:8">
      <c r="A2340" s="79" t="str">
        <f>LeaveData[[#This Row],[ EMP ID]]&amp;LeaveData[[#This Row],[Date]]</f>
        <v>20231802345973</v>
      </c>
      <c r="B2340" s="92">
        <v>202318023</v>
      </c>
      <c r="C2340" s="122" t="s">
        <v>148</v>
      </c>
      <c r="D2340" s="101">
        <v>45973</v>
      </c>
      <c r="E2340" s="79" t="s">
        <v>13</v>
      </c>
      <c r="F2340" s="79" t="s">
        <v>104</v>
      </c>
      <c r="G2340" s="79"/>
      <c r="H2340" s="79" t="s">
        <v>311</v>
      </c>
    </row>
    <row r="2341" spans="1:8">
      <c r="A2341" s="79" t="str">
        <f>LeaveData[[#This Row],[ EMP ID]]&amp;LeaveData[[#This Row],[Date]]</f>
        <v>20231802345974</v>
      </c>
      <c r="B2341" s="92">
        <v>202318023</v>
      </c>
      <c r="C2341" s="122" t="s">
        <v>148</v>
      </c>
      <c r="D2341" s="101">
        <v>45974</v>
      </c>
      <c r="E2341" s="79" t="s">
        <v>13</v>
      </c>
      <c r="F2341" s="79" t="s">
        <v>104</v>
      </c>
      <c r="G2341" s="79"/>
      <c r="H2341" s="79" t="s">
        <v>311</v>
      </c>
    </row>
    <row r="2342" spans="1:8">
      <c r="A2342" s="79" t="str">
        <f>LeaveData[[#This Row],[ EMP ID]]&amp;LeaveData[[#This Row],[Date]]</f>
        <v>20231802345975</v>
      </c>
      <c r="B2342" s="92">
        <v>202318023</v>
      </c>
      <c r="C2342" s="122" t="s">
        <v>148</v>
      </c>
      <c r="D2342" s="101">
        <v>45975</v>
      </c>
      <c r="E2342" s="79" t="s">
        <v>13</v>
      </c>
      <c r="F2342" s="79" t="s">
        <v>104</v>
      </c>
      <c r="G2342" s="79"/>
      <c r="H2342" s="79" t="s">
        <v>311</v>
      </c>
    </row>
    <row r="2343" spans="1:8">
      <c r="A2343" s="79" t="str">
        <f>LeaveData[[#This Row],[ EMP ID]]&amp;LeaveData[[#This Row],[Date]]</f>
        <v>20231802345976</v>
      </c>
      <c r="B2343" s="92">
        <v>202318023</v>
      </c>
      <c r="C2343" s="122" t="s">
        <v>148</v>
      </c>
      <c r="D2343" s="101">
        <v>45976</v>
      </c>
      <c r="E2343" s="79" t="s">
        <v>13</v>
      </c>
      <c r="F2343" s="79" t="s">
        <v>104</v>
      </c>
      <c r="G2343" s="79"/>
      <c r="H2343" s="79" t="s">
        <v>311</v>
      </c>
    </row>
    <row r="2344" spans="1:8">
      <c r="A2344" s="79" t="str">
        <f>LeaveData[[#This Row],[ EMP ID]]&amp;LeaveData[[#This Row],[Date]]</f>
        <v>20231802345978</v>
      </c>
      <c r="B2344" s="92">
        <v>202318023</v>
      </c>
      <c r="C2344" s="122" t="s">
        <v>148</v>
      </c>
      <c r="D2344" s="101">
        <v>45978</v>
      </c>
      <c r="E2344" s="79" t="s">
        <v>13</v>
      </c>
      <c r="F2344" s="79" t="s">
        <v>104</v>
      </c>
      <c r="G2344" s="79"/>
      <c r="H2344" s="79" t="s">
        <v>311</v>
      </c>
    </row>
    <row r="2345" spans="1:8">
      <c r="A2345" s="79" t="str">
        <f>LeaveData[[#This Row],[ EMP ID]]&amp;LeaveData[[#This Row],[Date]]</f>
        <v>20221801045962</v>
      </c>
      <c r="B2345" s="92">
        <v>202218010</v>
      </c>
      <c r="C2345" s="92" t="s">
        <v>27</v>
      </c>
      <c r="D2345" s="101">
        <v>45962</v>
      </c>
      <c r="E2345" s="79" t="s">
        <v>13</v>
      </c>
      <c r="F2345" s="79" t="s">
        <v>104</v>
      </c>
      <c r="G2345" s="79"/>
      <c r="H2345" s="79" t="s">
        <v>169</v>
      </c>
    </row>
    <row r="2346" spans="1:8">
      <c r="A2346" s="79" t="str">
        <f>LeaveData[[#This Row],[ EMP ID]]&amp;LeaveData[[#This Row],[Date]]</f>
        <v>20231802745955</v>
      </c>
      <c r="B2346" s="79">
        <v>202318027</v>
      </c>
      <c r="C2346" s="79" t="s">
        <v>54</v>
      </c>
      <c r="D2346" s="101">
        <v>45955</v>
      </c>
      <c r="E2346" s="79" t="s">
        <v>13</v>
      </c>
      <c r="F2346" s="79" t="s">
        <v>1365</v>
      </c>
      <c r="G2346" s="79"/>
      <c r="H2346" s="79" t="s">
        <v>189</v>
      </c>
    </row>
    <row r="2347" spans="1:8">
      <c r="A2347" s="79" t="str">
        <f>LeaveData[[#This Row],[ EMP ID]]&amp;LeaveData[[#This Row],[Date]]</f>
        <v>20231802845964</v>
      </c>
      <c r="B2347" s="92">
        <v>202318028</v>
      </c>
      <c r="C2347" s="92" t="s">
        <v>57</v>
      </c>
      <c r="D2347" s="101">
        <v>45964</v>
      </c>
      <c r="E2347" s="79" t="s">
        <v>14</v>
      </c>
      <c r="F2347" s="79" t="s">
        <v>104</v>
      </c>
      <c r="G2347" s="79"/>
      <c r="H2347" s="79" t="s">
        <v>169</v>
      </c>
    </row>
    <row r="2348" spans="1:8">
      <c r="A2348" s="79" t="str">
        <f>LeaveData[[#This Row],[ EMP ID]]&amp;LeaveData[[#This Row],[Date]]</f>
        <v>20211800745963</v>
      </c>
      <c r="B2348" s="79">
        <v>202118007</v>
      </c>
      <c r="C2348" s="79" t="s">
        <v>103</v>
      </c>
      <c r="D2348" s="101">
        <v>45963</v>
      </c>
      <c r="E2348" s="79" t="s">
        <v>154</v>
      </c>
      <c r="F2348" s="79" t="s">
        <v>114</v>
      </c>
      <c r="G2348" s="79"/>
      <c r="H2348" s="79" t="s">
        <v>422</v>
      </c>
    </row>
    <row r="2349" spans="1:8">
      <c r="A2349" s="79" t="str">
        <f>LeaveData[[#This Row],[ EMP ID]]&amp;LeaveData[[#This Row],[Date]]</f>
        <v>20242100245964</v>
      </c>
      <c r="B2349" s="124">
        <v>202421002</v>
      </c>
      <c r="C2349" s="122" t="s">
        <v>223</v>
      </c>
      <c r="D2349" s="101">
        <v>45964</v>
      </c>
      <c r="E2349" s="79" t="s">
        <v>12</v>
      </c>
      <c r="F2349" s="79" t="s">
        <v>29</v>
      </c>
      <c r="G2349" s="79"/>
      <c r="H2349" s="79" t="s">
        <v>140</v>
      </c>
    </row>
    <row r="2350" spans="1:8">
      <c r="A2350" s="79" t="str">
        <f>LeaveData[[#This Row],[ EMP ID]]&amp;LeaveData[[#This Row],[Date]]</f>
        <v>20231802745964</v>
      </c>
      <c r="B2350" s="92">
        <v>202318027</v>
      </c>
      <c r="C2350" s="122" t="s">
        <v>54</v>
      </c>
      <c r="D2350" s="101">
        <v>45964</v>
      </c>
      <c r="E2350" s="79" t="s">
        <v>13</v>
      </c>
      <c r="F2350" s="79" t="s">
        <v>1365</v>
      </c>
      <c r="G2350" s="79"/>
      <c r="H2350" s="79" t="s">
        <v>1513</v>
      </c>
    </row>
    <row r="2351" spans="1:8">
      <c r="A2351" s="79" t="str">
        <f>LeaveData[[#This Row],[ EMP ID]]&amp;LeaveData[[#This Row],[Date]]</f>
        <v>20231802245976</v>
      </c>
      <c r="B2351" s="79">
        <v>202318022</v>
      </c>
      <c r="C2351" s="79" t="s">
        <v>45</v>
      </c>
      <c r="D2351" s="101">
        <v>45976</v>
      </c>
      <c r="E2351" s="79" t="s">
        <v>13</v>
      </c>
      <c r="F2351" s="79" t="s">
        <v>1365</v>
      </c>
      <c r="G2351" s="79"/>
      <c r="H2351" s="79" t="s">
        <v>1514</v>
      </c>
    </row>
    <row r="2352" spans="1:8">
      <c r="A2352" s="79" t="str">
        <f>LeaveData[[#This Row],[ EMP ID]]&amp;LeaveData[[#This Row],[Date]]</f>
        <v>20231802245981</v>
      </c>
      <c r="B2352" s="79">
        <v>202318022</v>
      </c>
      <c r="C2352" s="79" t="s">
        <v>45</v>
      </c>
      <c r="D2352" s="101">
        <v>45981</v>
      </c>
      <c r="E2352" s="79" t="s">
        <v>13</v>
      </c>
      <c r="F2352" s="79" t="s">
        <v>1365</v>
      </c>
      <c r="G2352" s="79"/>
      <c r="H2352" s="79" t="s">
        <v>357</v>
      </c>
    </row>
    <row r="2353" spans="1:8">
      <c r="A2353" s="79" t="str">
        <f>LeaveData[[#This Row],[ EMP ID]]&amp;LeaveData[[#This Row],[Date]]</f>
        <v>20231802245982</v>
      </c>
      <c r="B2353" s="79">
        <v>202318022</v>
      </c>
      <c r="C2353" s="79" t="s">
        <v>45</v>
      </c>
      <c r="D2353" s="101">
        <v>45982</v>
      </c>
      <c r="E2353" s="79" t="s">
        <v>13</v>
      </c>
      <c r="F2353" s="79" t="s">
        <v>1365</v>
      </c>
      <c r="G2353" s="79"/>
      <c r="H2353" s="79" t="s">
        <v>357</v>
      </c>
    </row>
    <row r="2354" spans="1:8">
      <c r="A2354" s="79" t="str">
        <f>LeaveData[[#This Row],[ EMP ID]]&amp;LeaveData[[#This Row],[Date]]</f>
        <v>20231802245983</v>
      </c>
      <c r="B2354" s="79">
        <v>202318022</v>
      </c>
      <c r="C2354" s="79" t="s">
        <v>45</v>
      </c>
      <c r="D2354" s="101">
        <v>45983</v>
      </c>
      <c r="E2354" s="79" t="s">
        <v>13</v>
      </c>
      <c r="F2354" s="79" t="s">
        <v>1365</v>
      </c>
      <c r="G2354" s="79"/>
      <c r="H2354" s="79" t="s">
        <v>357</v>
      </c>
    </row>
    <row r="2355" spans="1:8">
      <c r="A2355" s="79" t="str">
        <f>LeaveData[[#This Row],[ EMP ID]]&amp;LeaveData[[#This Row],[Date]]</f>
        <v>20251804345951</v>
      </c>
      <c r="B2355" s="92">
        <v>202518043</v>
      </c>
      <c r="C2355" s="122" t="s">
        <v>403</v>
      </c>
      <c r="D2355" s="101">
        <v>45951</v>
      </c>
      <c r="E2355" s="79" t="s">
        <v>154</v>
      </c>
      <c r="F2355" s="79" t="s">
        <v>43</v>
      </c>
      <c r="G2355" s="79"/>
      <c r="H2355" s="79" t="s">
        <v>1515</v>
      </c>
    </row>
    <row r="2356" spans="1:8">
      <c r="A2356" s="79" t="str">
        <f>LeaveData[[#This Row],[ EMP ID]]&amp;LeaveData[[#This Row],[Date]]</f>
        <v>20251804345952</v>
      </c>
      <c r="B2356" s="92">
        <v>202518043</v>
      </c>
      <c r="C2356" s="122" t="s">
        <v>403</v>
      </c>
      <c r="D2356" s="101">
        <v>45952</v>
      </c>
      <c r="E2356" s="79" t="s">
        <v>154</v>
      </c>
      <c r="F2356" s="79" t="s">
        <v>43</v>
      </c>
      <c r="G2356" s="79"/>
      <c r="H2356" s="79" t="s">
        <v>1515</v>
      </c>
    </row>
    <row r="2357" spans="1:8">
      <c r="A2357" s="79" t="str">
        <f>LeaveData[[#This Row],[ EMP ID]]&amp;LeaveData[[#This Row],[Date]]</f>
        <v>20251804345953</v>
      </c>
      <c r="B2357" s="92">
        <v>202518043</v>
      </c>
      <c r="C2357" s="122" t="s">
        <v>403</v>
      </c>
      <c r="D2357" s="101">
        <v>45953</v>
      </c>
      <c r="E2357" s="79" t="s">
        <v>154</v>
      </c>
      <c r="F2357" s="79" t="s">
        <v>43</v>
      </c>
      <c r="G2357" s="79"/>
      <c r="H2357" s="79" t="s">
        <v>1515</v>
      </c>
    </row>
    <row r="2358" spans="1:8">
      <c r="A2358" s="79" t="str">
        <f>LeaveData[[#This Row],[ EMP ID]]&amp;LeaveData[[#This Row],[Date]]</f>
        <v>20251804345954</v>
      </c>
      <c r="B2358" s="92">
        <v>202518043</v>
      </c>
      <c r="C2358" s="122" t="s">
        <v>403</v>
      </c>
      <c r="D2358" s="101">
        <v>45954</v>
      </c>
      <c r="E2358" s="79" t="s">
        <v>154</v>
      </c>
      <c r="F2358" s="79" t="s">
        <v>43</v>
      </c>
      <c r="G2358" s="79"/>
      <c r="H2358" s="79" t="s">
        <v>1515</v>
      </c>
    </row>
    <row r="2359" spans="1:8">
      <c r="A2359" s="79" t="str">
        <f>LeaveData[[#This Row],[ EMP ID]]&amp;LeaveData[[#This Row],[Date]]</f>
        <v>20232000745962</v>
      </c>
      <c r="B2359" s="92">
        <v>202320007</v>
      </c>
      <c r="C2359" s="92" t="s">
        <v>183</v>
      </c>
      <c r="D2359" s="101">
        <v>45962</v>
      </c>
      <c r="E2359" s="79" t="s">
        <v>14</v>
      </c>
      <c r="F2359" s="79" t="s">
        <v>104</v>
      </c>
      <c r="G2359" s="79"/>
      <c r="H2359" s="79" t="s">
        <v>105</v>
      </c>
    </row>
    <row r="2360" spans="1:8">
      <c r="A2360" s="79" t="str">
        <f>LeaveData[[#This Row],[ EMP ID]]&amp;LeaveData[[#This Row],[Date]]</f>
        <v>20231802245960</v>
      </c>
      <c r="B2360" s="79">
        <v>202318022</v>
      </c>
      <c r="C2360" s="79" t="s">
        <v>45</v>
      </c>
      <c r="D2360" s="101">
        <v>45960</v>
      </c>
      <c r="E2360" s="79" t="s">
        <v>12</v>
      </c>
      <c r="F2360" s="79" t="s">
        <v>1365</v>
      </c>
      <c r="G2360" s="79"/>
      <c r="H2360" s="79" t="s">
        <v>140</v>
      </c>
    </row>
    <row r="2361" spans="1:8">
      <c r="A2361" s="79" t="str">
        <f>LeaveData[[#This Row],[ EMP ID]]&amp;LeaveData[[#This Row],[Date]]</f>
        <v>20231802045960</v>
      </c>
      <c r="B2361" s="79">
        <v>202318020</v>
      </c>
      <c r="C2361" s="92" t="s">
        <v>43</v>
      </c>
      <c r="D2361" s="101">
        <v>45960</v>
      </c>
      <c r="E2361" s="79" t="s">
        <v>16</v>
      </c>
      <c r="F2361" s="79" t="s">
        <v>45</v>
      </c>
      <c r="G2361" s="79"/>
      <c r="H2361" s="79" t="s">
        <v>1517</v>
      </c>
    </row>
    <row r="2362" spans="1:8">
      <c r="A2362" s="79" t="str">
        <f>LeaveData[[#This Row],[ EMP ID]]&amp;LeaveData[[#This Row],[Date]]</f>
        <v>20232000945955</v>
      </c>
      <c r="B2362" s="92">
        <v>202320009</v>
      </c>
      <c r="C2362" s="92" t="s">
        <v>143</v>
      </c>
      <c r="D2362" s="101">
        <v>45955</v>
      </c>
      <c r="E2362" s="79" t="s">
        <v>13</v>
      </c>
      <c r="F2362" s="79" t="s">
        <v>1365</v>
      </c>
      <c r="G2362" s="79"/>
      <c r="H2362" s="79" t="s">
        <v>169</v>
      </c>
    </row>
    <row r="2363" spans="1:8">
      <c r="A2363" s="79" t="str">
        <f>LeaveData[[#This Row],[ EMP ID]]&amp;LeaveData[[#This Row],[Date]]</f>
        <v>20211800745956</v>
      </c>
      <c r="B2363" s="79">
        <v>202118007</v>
      </c>
      <c r="C2363" s="79" t="s">
        <v>103</v>
      </c>
      <c r="D2363" s="101">
        <v>45956</v>
      </c>
      <c r="E2363" s="79" t="s">
        <v>154</v>
      </c>
      <c r="F2363" s="79" t="s">
        <v>114</v>
      </c>
      <c r="G2363" s="79"/>
      <c r="H2363" s="79" t="s">
        <v>422</v>
      </c>
    </row>
    <row r="2364" spans="1:8">
      <c r="A2364" s="79" t="str">
        <f>LeaveData[[#This Row],[ EMP ID]]&amp;LeaveData[[#This Row],[Date]]</f>
        <v>20251804345940</v>
      </c>
      <c r="B2364" s="92" t="s">
        <v>1518</v>
      </c>
      <c r="C2364" s="122" t="s">
        <v>403</v>
      </c>
      <c r="D2364" s="130">
        <v>45940</v>
      </c>
      <c r="E2364" s="79" t="s">
        <v>16</v>
      </c>
      <c r="F2364" s="79" t="s">
        <v>43</v>
      </c>
      <c r="G2364" s="79"/>
      <c r="H2364" s="79" t="s">
        <v>1491</v>
      </c>
    </row>
    <row r="2365" spans="1:8">
      <c r="A2365" s="79" t="str">
        <f>LeaveData[[#This Row],[ EMP ID]]&amp;LeaveData[[#This Row],[Date]]</f>
        <v>20251804345943</v>
      </c>
      <c r="B2365" s="92" t="s">
        <v>1518</v>
      </c>
      <c r="C2365" s="122" t="s">
        <v>403</v>
      </c>
      <c r="D2365" s="130">
        <v>45943</v>
      </c>
      <c r="E2365" s="79" t="s">
        <v>16</v>
      </c>
      <c r="F2365" s="79" t="s">
        <v>43</v>
      </c>
      <c r="G2365" s="79"/>
      <c r="H2365" s="79" t="s">
        <v>1491</v>
      </c>
    </row>
    <row r="2366" spans="1:8">
      <c r="A2366" s="79" t="str">
        <f>LeaveData[[#This Row],[ EMP ID]]&amp;LeaveData[[#This Row],[Date]]</f>
        <v>20251804345944</v>
      </c>
      <c r="B2366" s="92" t="s">
        <v>1518</v>
      </c>
      <c r="C2366" s="122" t="s">
        <v>403</v>
      </c>
      <c r="D2366" s="130">
        <v>45944</v>
      </c>
      <c r="E2366" s="79" t="s">
        <v>16</v>
      </c>
      <c r="F2366" s="79" t="s">
        <v>43</v>
      </c>
      <c r="G2366" s="79"/>
      <c r="H2366" s="79" t="s">
        <v>1491</v>
      </c>
    </row>
    <row r="2367" spans="1:8">
      <c r="A2367" s="79" t="str">
        <f>LeaveData[[#This Row],[ EMP ID]]&amp;LeaveData[[#This Row],[Date]]</f>
        <v>20251804345945</v>
      </c>
      <c r="B2367" s="92" t="s">
        <v>1518</v>
      </c>
      <c r="C2367" s="122" t="s">
        <v>403</v>
      </c>
      <c r="D2367" s="130">
        <v>45945</v>
      </c>
      <c r="E2367" s="79" t="s">
        <v>16</v>
      </c>
      <c r="F2367" s="79" t="s">
        <v>43</v>
      </c>
      <c r="G2367" s="79"/>
      <c r="H2367" s="79" t="s">
        <v>1491</v>
      </c>
    </row>
    <row r="2368" spans="1:8">
      <c r="A2368" s="79" t="str">
        <f>LeaveData[[#This Row],[ EMP ID]]&amp;LeaveData[[#This Row],[Date]]</f>
        <v>20251804345946</v>
      </c>
      <c r="B2368" s="92" t="s">
        <v>1518</v>
      </c>
      <c r="C2368" s="122" t="s">
        <v>403</v>
      </c>
      <c r="D2368" s="130">
        <v>45946</v>
      </c>
      <c r="E2368" s="79" t="s">
        <v>16</v>
      </c>
      <c r="F2368" s="79" t="s">
        <v>43</v>
      </c>
      <c r="G2368" s="79"/>
      <c r="H2368" s="79" t="s">
        <v>1491</v>
      </c>
    </row>
    <row r="2369" spans="1:8">
      <c r="A2369" s="79" t="str">
        <f>LeaveData[[#This Row],[ EMP ID]]&amp;LeaveData[[#This Row],[Date]]</f>
        <v>20251804345947</v>
      </c>
      <c r="B2369" s="92" t="s">
        <v>1518</v>
      </c>
      <c r="C2369" s="122" t="s">
        <v>403</v>
      </c>
      <c r="D2369" s="130">
        <v>45947</v>
      </c>
      <c r="E2369" s="79" t="s">
        <v>16</v>
      </c>
      <c r="F2369" s="79" t="s">
        <v>43</v>
      </c>
      <c r="G2369" s="79"/>
      <c r="H2369" s="79" t="s">
        <v>1491</v>
      </c>
    </row>
    <row r="2370" spans="1:8">
      <c r="A2370" s="79" t="str">
        <f>LeaveData[[#This Row],[ EMP ID]]&amp;LeaveData[[#This Row],[Date]]</f>
        <v>20251804345948</v>
      </c>
      <c r="B2370" s="92" t="s">
        <v>1518</v>
      </c>
      <c r="C2370" s="122" t="s">
        <v>403</v>
      </c>
      <c r="D2370" s="130">
        <v>45948</v>
      </c>
      <c r="E2370" s="79" t="s">
        <v>16</v>
      </c>
      <c r="F2370" s="79" t="s">
        <v>43</v>
      </c>
      <c r="G2370" s="79"/>
      <c r="H2370" s="79" t="s">
        <v>1491</v>
      </c>
    </row>
    <row r="2371" spans="1:8">
      <c r="A2371" s="79" t="str">
        <f>LeaveData[[#This Row],[ EMP ID]]&amp;LeaveData[[#This Row],[Date]]</f>
        <v>20251804345949</v>
      </c>
      <c r="B2371" s="92" t="s">
        <v>1518</v>
      </c>
      <c r="C2371" s="122" t="s">
        <v>403</v>
      </c>
      <c r="D2371" s="130">
        <v>45949</v>
      </c>
      <c r="E2371" s="79" t="s">
        <v>16</v>
      </c>
      <c r="F2371" s="79" t="s">
        <v>43</v>
      </c>
      <c r="G2371" s="79"/>
      <c r="H2371" s="79" t="s">
        <v>1491</v>
      </c>
    </row>
    <row r="2372" spans="1:8">
      <c r="A2372" s="79" t="str">
        <f>LeaveData[[#This Row],[ EMP ID]]&amp;LeaveData[[#This Row],[Date]]</f>
        <v>20251804345950</v>
      </c>
      <c r="B2372" s="92" t="s">
        <v>1518</v>
      </c>
      <c r="C2372" s="122" t="s">
        <v>403</v>
      </c>
      <c r="D2372" s="130">
        <v>45950</v>
      </c>
      <c r="E2372" s="79" t="s">
        <v>16</v>
      </c>
      <c r="F2372" s="79" t="s">
        <v>43</v>
      </c>
      <c r="G2372" s="79"/>
      <c r="H2372" s="79" t="s">
        <v>1491</v>
      </c>
    </row>
    <row r="2373" spans="1:8">
      <c r="A2373" s="79" t="str">
        <f>LeaveData[[#This Row],[ EMP ID]]&amp;LeaveData[[#This Row],[Date]]</f>
        <v>20251804345957</v>
      </c>
      <c r="B2373" s="92" t="s">
        <v>1518</v>
      </c>
      <c r="C2373" s="122" t="s">
        <v>403</v>
      </c>
      <c r="D2373" s="130">
        <v>45957</v>
      </c>
      <c r="E2373" s="79" t="s">
        <v>16</v>
      </c>
      <c r="F2373" s="79" t="s">
        <v>43</v>
      </c>
      <c r="G2373" s="79"/>
      <c r="H2373" s="79" t="s">
        <v>1491</v>
      </c>
    </row>
    <row r="2374" spans="1:8">
      <c r="A2374" s="79" t="str">
        <f>LeaveData[[#This Row],[ EMP ID]]&amp;LeaveData[[#This Row],[Date]]</f>
        <v>20251804345958</v>
      </c>
      <c r="B2374" s="92" t="s">
        <v>1518</v>
      </c>
      <c r="C2374" s="122" t="s">
        <v>403</v>
      </c>
      <c r="D2374" s="130">
        <v>45958</v>
      </c>
      <c r="E2374" s="79" t="s">
        <v>16</v>
      </c>
      <c r="F2374" s="79" t="s">
        <v>43</v>
      </c>
      <c r="G2374" s="79"/>
      <c r="H2374" s="79" t="s">
        <v>1491</v>
      </c>
    </row>
    <row r="2375" spans="1:8">
      <c r="A2375" s="79" t="str">
        <f>LeaveData[[#This Row],[ EMP ID]]&amp;LeaveData[[#This Row],[Date]]</f>
        <v>20251804345959</v>
      </c>
      <c r="B2375" s="92" t="s">
        <v>1518</v>
      </c>
      <c r="C2375" s="122" t="s">
        <v>403</v>
      </c>
      <c r="D2375" s="130">
        <v>45959</v>
      </c>
      <c r="E2375" s="79" t="s">
        <v>16</v>
      </c>
      <c r="F2375" s="79" t="s">
        <v>43</v>
      </c>
      <c r="G2375" s="79"/>
      <c r="H2375" s="79" t="s">
        <v>1491</v>
      </c>
    </row>
    <row r="2376" spans="1:8">
      <c r="A2376" s="79" t="str">
        <f>LeaveData[[#This Row],[ EMP ID]]&amp;LeaveData[[#This Row],[Date]]</f>
        <v>20251804345960</v>
      </c>
      <c r="B2376" s="92" t="s">
        <v>1518</v>
      </c>
      <c r="C2376" s="122" t="s">
        <v>403</v>
      </c>
      <c r="D2376" s="130">
        <v>45960</v>
      </c>
      <c r="E2376" s="79" t="s">
        <v>16</v>
      </c>
      <c r="F2376" s="79" t="s">
        <v>43</v>
      </c>
      <c r="G2376" s="79"/>
      <c r="H2376" s="79" t="s">
        <v>1491</v>
      </c>
    </row>
    <row r="2377" spans="1:8">
      <c r="A2377" s="79" t="str">
        <f>LeaveData[[#This Row],[ EMP ID]]&amp;LeaveData[[#This Row],[Date]]</f>
        <v>20251804345961</v>
      </c>
      <c r="B2377" s="92" t="s">
        <v>1518</v>
      </c>
      <c r="C2377" s="122" t="s">
        <v>403</v>
      </c>
      <c r="D2377" s="130">
        <v>45961</v>
      </c>
      <c r="E2377" s="79" t="s">
        <v>16</v>
      </c>
      <c r="F2377" s="79" t="s">
        <v>43</v>
      </c>
      <c r="G2377" s="79"/>
      <c r="H2377" s="79" t="s">
        <v>1491</v>
      </c>
    </row>
    <row r="2378" spans="1:8">
      <c r="A2378" s="79" t="str">
        <f>LeaveData[[#This Row],[ EMP ID]]&amp;LeaveData[[#This Row],[Date]]</f>
        <v>20251804345962</v>
      </c>
      <c r="B2378" s="92" t="s">
        <v>1518</v>
      </c>
      <c r="C2378" s="122" t="s">
        <v>403</v>
      </c>
      <c r="D2378" s="130">
        <v>45962</v>
      </c>
      <c r="E2378" s="79" t="s">
        <v>16</v>
      </c>
      <c r="F2378" s="79" t="s">
        <v>43</v>
      </c>
      <c r="G2378" s="79"/>
      <c r="H2378" s="79" t="s">
        <v>1491</v>
      </c>
    </row>
    <row r="2379" spans="1:8">
      <c r="A2379" s="79" t="str">
        <f>LeaveData[[#This Row],[ EMP ID]]&amp;LeaveData[[#This Row],[Date]]</f>
        <v>20251804345963</v>
      </c>
      <c r="B2379" s="92" t="s">
        <v>1518</v>
      </c>
      <c r="C2379" s="122" t="s">
        <v>403</v>
      </c>
      <c r="D2379" s="130">
        <v>45963</v>
      </c>
      <c r="E2379" s="79" t="s">
        <v>16</v>
      </c>
      <c r="F2379" s="79" t="s">
        <v>43</v>
      </c>
      <c r="G2379" s="79"/>
      <c r="H2379" s="79" t="s">
        <v>1491</v>
      </c>
    </row>
    <row r="2380" spans="1:8">
      <c r="A2380" s="79" t="str">
        <f>LeaveData[[#This Row],[ EMP ID]]&amp;LeaveData[[#This Row],[Date]]</f>
        <v>20251804345964</v>
      </c>
      <c r="B2380" s="92" t="s">
        <v>1518</v>
      </c>
      <c r="C2380" s="122" t="s">
        <v>403</v>
      </c>
      <c r="D2380" s="130">
        <v>45964</v>
      </c>
      <c r="E2380" s="79" t="s">
        <v>16</v>
      </c>
      <c r="F2380" s="79" t="s">
        <v>43</v>
      </c>
      <c r="G2380" s="79"/>
      <c r="H2380" s="79" t="s">
        <v>1491</v>
      </c>
    </row>
    <row r="2381" spans="1:8">
      <c r="A2381" s="79" t="str">
        <f>LeaveData[[#This Row],[ EMP ID]]&amp;LeaveData[[#This Row],[Date]]</f>
        <v>20251804345965</v>
      </c>
      <c r="B2381" s="92" t="s">
        <v>1518</v>
      </c>
      <c r="C2381" s="122" t="s">
        <v>403</v>
      </c>
      <c r="D2381" s="130">
        <v>45965</v>
      </c>
      <c r="E2381" s="79" t="s">
        <v>16</v>
      </c>
      <c r="F2381" s="79" t="s">
        <v>43</v>
      </c>
      <c r="G2381" s="79"/>
      <c r="H2381" s="79" t="s">
        <v>1491</v>
      </c>
    </row>
    <row r="2382" spans="1:8">
      <c r="A2382" s="79" t="str">
        <f>LeaveData[[#This Row],[ EMP ID]]&amp;LeaveData[[#This Row],[Date]]</f>
        <v>20251804345966</v>
      </c>
      <c r="B2382" s="92" t="s">
        <v>1518</v>
      </c>
      <c r="C2382" s="122" t="s">
        <v>403</v>
      </c>
      <c r="D2382" s="130">
        <v>45966</v>
      </c>
      <c r="E2382" s="79" t="s">
        <v>16</v>
      </c>
      <c r="F2382" s="79" t="s">
        <v>43</v>
      </c>
      <c r="G2382" s="79"/>
      <c r="H2382" s="79" t="s">
        <v>1491</v>
      </c>
    </row>
    <row r="2383" spans="1:8">
      <c r="A2383" s="79" t="str">
        <f>LeaveData[[#This Row],[ EMP ID]]&amp;LeaveData[[#This Row],[Date]]</f>
        <v>20251804345967</v>
      </c>
      <c r="B2383" s="92" t="s">
        <v>1518</v>
      </c>
      <c r="C2383" s="122" t="s">
        <v>403</v>
      </c>
      <c r="D2383" s="130">
        <v>45967</v>
      </c>
      <c r="E2383" s="79" t="s">
        <v>16</v>
      </c>
      <c r="F2383" s="79" t="s">
        <v>43</v>
      </c>
      <c r="G2383" s="79"/>
      <c r="H2383" s="79" t="s">
        <v>1491</v>
      </c>
    </row>
    <row r="2384" spans="1:8">
      <c r="A2384" s="79" t="str">
        <f>LeaveData[[#This Row],[ EMP ID]]&amp;LeaveData[[#This Row],[Date]]</f>
        <v>20251804345968</v>
      </c>
      <c r="B2384" s="92" t="s">
        <v>1518</v>
      </c>
      <c r="C2384" s="122" t="s">
        <v>403</v>
      </c>
      <c r="D2384" s="130">
        <v>45968</v>
      </c>
      <c r="E2384" s="79" t="s">
        <v>16</v>
      </c>
      <c r="F2384" s="79" t="s">
        <v>43</v>
      </c>
      <c r="G2384" s="79"/>
      <c r="H2384" s="79" t="s">
        <v>1491</v>
      </c>
    </row>
    <row r="2385" spans="1:8">
      <c r="A2385" s="79" t="str">
        <f>LeaveData[[#This Row],[ EMP ID]]&amp;LeaveData[[#This Row],[Date]]</f>
        <v>20251804345971</v>
      </c>
      <c r="B2385" s="92" t="s">
        <v>1518</v>
      </c>
      <c r="C2385" s="122" t="s">
        <v>403</v>
      </c>
      <c r="D2385" s="101">
        <v>45971</v>
      </c>
      <c r="E2385" s="79" t="s">
        <v>16</v>
      </c>
      <c r="F2385" s="79" t="s">
        <v>43</v>
      </c>
      <c r="G2385" s="79"/>
      <c r="H2385" s="79" t="s">
        <v>1491</v>
      </c>
    </row>
    <row r="2386" spans="1:8">
      <c r="A2386" s="79" t="str">
        <f>LeaveData[[#This Row],[ EMP ID]]&amp;LeaveData[[#This Row],[Date]]</f>
        <v>20251804345972</v>
      </c>
      <c r="B2386" s="92" t="s">
        <v>1518</v>
      </c>
      <c r="C2386" s="122" t="s">
        <v>403</v>
      </c>
      <c r="D2386" s="101">
        <v>45972</v>
      </c>
      <c r="E2386" s="79" t="s">
        <v>16</v>
      </c>
      <c r="F2386" s="79" t="s">
        <v>43</v>
      </c>
      <c r="G2386" s="79"/>
      <c r="H2386" s="79" t="s">
        <v>1491</v>
      </c>
    </row>
    <row r="2387" spans="1:8">
      <c r="A2387" s="79" t="str">
        <f>LeaveData[[#This Row],[ EMP ID]]&amp;LeaveData[[#This Row],[Date]]</f>
        <v>20251804345973</v>
      </c>
      <c r="B2387" s="92" t="s">
        <v>1518</v>
      </c>
      <c r="C2387" s="122" t="s">
        <v>403</v>
      </c>
      <c r="D2387" s="101">
        <v>45973</v>
      </c>
      <c r="E2387" s="79" t="s">
        <v>16</v>
      </c>
      <c r="F2387" s="79" t="s">
        <v>43</v>
      </c>
      <c r="G2387" s="79"/>
      <c r="H2387" s="79" t="s">
        <v>1491</v>
      </c>
    </row>
    <row r="2388" spans="1:8">
      <c r="A2388" s="79" t="str">
        <f>LeaveData[[#This Row],[ EMP ID]]&amp;LeaveData[[#This Row],[Date]]</f>
        <v>20250102045964</v>
      </c>
      <c r="B2388" s="92">
        <v>202501020</v>
      </c>
      <c r="C2388" s="92" t="s">
        <v>1468</v>
      </c>
      <c r="D2388" s="130">
        <v>45964</v>
      </c>
      <c r="E2388" s="79" t="s">
        <v>13</v>
      </c>
      <c r="F2388" s="79" t="s">
        <v>246</v>
      </c>
      <c r="G2388" s="79"/>
      <c r="H2388" s="79" t="s">
        <v>1519</v>
      </c>
    </row>
    <row r="2389" spans="1:8">
      <c r="A2389" s="79" t="str">
        <f>LeaveData[[#This Row],[ EMP ID]]&amp;LeaveData[[#This Row],[Date]]</f>
        <v>20250102045965</v>
      </c>
      <c r="B2389" s="92">
        <v>202501020</v>
      </c>
      <c r="C2389" s="92" t="s">
        <v>1468</v>
      </c>
      <c r="D2389" s="130">
        <v>45965</v>
      </c>
      <c r="E2389" s="79" t="s">
        <v>14</v>
      </c>
      <c r="F2389" s="79" t="s">
        <v>246</v>
      </c>
      <c r="G2389" s="79"/>
      <c r="H2389" s="79" t="s">
        <v>1519</v>
      </c>
    </row>
    <row r="2390" spans="1:8">
      <c r="A2390" s="79" t="str">
        <f>LeaveData[[#This Row],[ EMP ID]]&amp;LeaveData[[#This Row],[Date]]</f>
        <v>20231802545982</v>
      </c>
      <c r="B2390" s="92">
        <v>202318025</v>
      </c>
      <c r="C2390" s="92" t="s">
        <v>122</v>
      </c>
      <c r="D2390" s="101">
        <v>45982</v>
      </c>
      <c r="E2390" s="79" t="s">
        <v>13</v>
      </c>
      <c r="F2390" s="79" t="s">
        <v>1365</v>
      </c>
      <c r="G2390" s="79"/>
      <c r="H2390" s="79" t="s">
        <v>1520</v>
      </c>
    </row>
    <row r="2391" spans="1:8">
      <c r="A2391" s="79" t="str">
        <f>LeaveData[[#This Row],[ EMP ID]]&amp;LeaveData[[#This Row],[Date]]</f>
        <v>20231802545983</v>
      </c>
      <c r="B2391" s="92">
        <v>202318025</v>
      </c>
      <c r="C2391" s="92" t="s">
        <v>122</v>
      </c>
      <c r="D2391" s="101">
        <v>45983</v>
      </c>
      <c r="E2391" s="79" t="s">
        <v>13</v>
      </c>
      <c r="F2391" s="79" t="s">
        <v>1365</v>
      </c>
      <c r="G2391" s="79"/>
      <c r="H2391" s="79" t="s">
        <v>1520</v>
      </c>
    </row>
    <row r="2392" spans="1:8">
      <c r="A2392" s="79" t="str">
        <f>LeaveData[[#This Row],[ EMP ID]]&amp;LeaveData[[#This Row],[Date]]</f>
        <v>20232000945966</v>
      </c>
      <c r="B2392" s="92">
        <v>202320009</v>
      </c>
      <c r="C2392" s="92" t="s">
        <v>143</v>
      </c>
      <c r="D2392" s="101">
        <v>45966</v>
      </c>
      <c r="E2392" s="79" t="s">
        <v>13</v>
      </c>
      <c r="F2392" s="79" t="s">
        <v>1365</v>
      </c>
      <c r="G2392" s="79"/>
      <c r="H2392" s="79" t="s">
        <v>169</v>
      </c>
    </row>
    <row r="2393" spans="1:8">
      <c r="A2393" s="79" t="str">
        <f>LeaveData[[#This Row],[ EMP ID]]&amp;LeaveData[[#This Row],[Date]]</f>
        <v>20211800745967</v>
      </c>
      <c r="B2393" s="79">
        <v>202118007</v>
      </c>
      <c r="C2393" s="79" t="s">
        <v>103</v>
      </c>
      <c r="D2393" s="101">
        <v>45967</v>
      </c>
      <c r="E2393" s="79" t="s">
        <v>13</v>
      </c>
      <c r="F2393" s="79" t="s">
        <v>114</v>
      </c>
      <c r="G2393" s="79"/>
      <c r="H2393" s="79" t="s">
        <v>1521</v>
      </c>
    </row>
    <row r="2394" spans="1:8">
      <c r="A2394" s="79" t="str">
        <f>LeaveData[[#This Row],[ EMP ID]]&amp;LeaveData[[#This Row],[Date]]</f>
        <v>20211800745968</v>
      </c>
      <c r="B2394" s="79">
        <v>202118007</v>
      </c>
      <c r="C2394" s="79" t="s">
        <v>103</v>
      </c>
      <c r="D2394" s="101">
        <v>45968</v>
      </c>
      <c r="E2394" s="79" t="s">
        <v>13</v>
      </c>
      <c r="F2394" s="79" t="s">
        <v>114</v>
      </c>
      <c r="G2394" s="79"/>
      <c r="H2394" s="79" t="s">
        <v>1521</v>
      </c>
    </row>
    <row r="2395" spans="1:8">
      <c r="A2395" s="79" t="str">
        <f>LeaveData[[#This Row],[ EMP ID]]&amp;LeaveData[[#This Row],[Date]]</f>
        <v>20250101245965</v>
      </c>
      <c r="B2395" s="79">
        <v>202501012</v>
      </c>
      <c r="C2395" s="79" t="s">
        <v>1394</v>
      </c>
      <c r="D2395" s="130">
        <v>45965</v>
      </c>
      <c r="E2395" s="79" t="s">
        <v>16</v>
      </c>
      <c r="F2395" s="79" t="s">
        <v>246</v>
      </c>
      <c r="G2395" s="79"/>
      <c r="H2395" s="79" t="s">
        <v>132</v>
      </c>
    </row>
    <row r="2396" spans="1:8">
      <c r="A2396" s="79" t="str">
        <f>LeaveData[[#This Row],[ EMP ID]]&amp;LeaveData[[#This Row],[Date]]</f>
        <v>20242100245965</v>
      </c>
      <c r="B2396" s="124">
        <v>202421002</v>
      </c>
      <c r="C2396" s="122" t="s">
        <v>223</v>
      </c>
      <c r="D2396" s="130">
        <v>45965</v>
      </c>
      <c r="E2396" s="79" t="s">
        <v>12</v>
      </c>
      <c r="F2396" s="79" t="s">
        <v>29</v>
      </c>
      <c r="G2396" s="79"/>
      <c r="H2396" s="79" t="s">
        <v>416</v>
      </c>
    </row>
    <row r="2397" spans="1:8">
      <c r="A2397" s="79" t="str">
        <f>LeaveData[[#This Row],[ EMP ID]]&amp;LeaveData[[#This Row],[Date]]</f>
        <v>20250100645964</v>
      </c>
      <c r="B2397" s="92">
        <v>202501006</v>
      </c>
      <c r="C2397" s="92" t="s">
        <v>1330</v>
      </c>
      <c r="D2397" s="101">
        <v>45964</v>
      </c>
      <c r="E2397" s="79" t="s">
        <v>13</v>
      </c>
      <c r="F2397" s="79" t="s">
        <v>83</v>
      </c>
      <c r="G2397" s="79"/>
      <c r="H2397" s="79" t="s">
        <v>1522</v>
      </c>
    </row>
    <row r="2398" spans="1:8">
      <c r="A2398" s="79" t="str">
        <f>LeaveData[[#This Row],[ EMP ID]]&amp;LeaveData[[#This Row],[Date]]</f>
        <v>20231802845964</v>
      </c>
      <c r="B2398" s="92">
        <v>202318028</v>
      </c>
      <c r="C2398" s="92" t="s">
        <v>57</v>
      </c>
      <c r="D2398" s="101">
        <v>45964</v>
      </c>
      <c r="E2398" s="79" t="s">
        <v>14</v>
      </c>
      <c r="F2398" s="79" t="s">
        <v>104</v>
      </c>
      <c r="G2398" s="79"/>
      <c r="H2398" s="79" t="s">
        <v>1516</v>
      </c>
    </row>
    <row r="2399" spans="1:8">
      <c r="A2399" s="79" t="str">
        <f>LeaveData[[#This Row],[ EMP ID]]&amp;LeaveData[[#This Row],[Date]]</f>
        <v>20221801045941</v>
      </c>
      <c r="B2399" s="92">
        <v>202218010</v>
      </c>
      <c r="C2399" s="92" t="s">
        <v>27</v>
      </c>
      <c r="D2399" s="101">
        <v>45941</v>
      </c>
      <c r="E2399" s="79" t="s">
        <v>154</v>
      </c>
      <c r="F2399" s="79" t="s">
        <v>104</v>
      </c>
      <c r="G2399" s="79"/>
      <c r="H2399" s="79" t="s">
        <v>1527</v>
      </c>
    </row>
    <row r="2400" spans="1:8">
      <c r="A2400" s="79" t="str">
        <f>LeaveData[[#This Row],[ EMP ID]]&amp;LeaveData[[#This Row],[Date]]</f>
        <v>20221801045942</v>
      </c>
      <c r="B2400" s="92">
        <v>202218010</v>
      </c>
      <c r="C2400" s="92" t="s">
        <v>27</v>
      </c>
      <c r="D2400" s="101">
        <v>45942</v>
      </c>
      <c r="E2400" s="79" t="s">
        <v>154</v>
      </c>
      <c r="F2400" s="79" t="s">
        <v>104</v>
      </c>
      <c r="G2400" s="79"/>
      <c r="H2400" s="79" t="s">
        <v>1527</v>
      </c>
    </row>
    <row r="2401" spans="1:8">
      <c r="A2401" s="79" t="str">
        <f>LeaveData[[#This Row],[ EMP ID]]&amp;LeaveData[[#This Row],[Date]]</f>
        <v>20221801045949</v>
      </c>
      <c r="B2401" s="92">
        <v>202218010</v>
      </c>
      <c r="C2401" s="92" t="s">
        <v>27</v>
      </c>
      <c r="D2401" s="101">
        <v>45949</v>
      </c>
      <c r="E2401" s="79" t="s">
        <v>154</v>
      </c>
      <c r="F2401" s="79" t="s">
        <v>104</v>
      </c>
      <c r="G2401" s="79"/>
      <c r="H2401" s="79" t="s">
        <v>1527</v>
      </c>
    </row>
    <row r="2402" spans="1:8">
      <c r="A2402" s="79" t="str">
        <f>LeaveData[[#This Row],[ EMP ID]]&amp;LeaveData[[#This Row],[Date]]</f>
        <v>20221801045951</v>
      </c>
      <c r="B2402" s="92">
        <v>202218010</v>
      </c>
      <c r="C2402" s="92" t="s">
        <v>27</v>
      </c>
      <c r="D2402" s="101">
        <v>45951</v>
      </c>
      <c r="E2402" s="79" t="s">
        <v>154</v>
      </c>
      <c r="F2402" s="79" t="s">
        <v>104</v>
      </c>
      <c r="G2402" s="79"/>
      <c r="H2402" s="79" t="s">
        <v>1527</v>
      </c>
    </row>
    <row r="2403" spans="1:8">
      <c r="A2403" s="79" t="str">
        <f>LeaveData[[#This Row],[ EMP ID]]&amp;LeaveData[[#This Row],[Date]]</f>
        <v>20221801045952</v>
      </c>
      <c r="B2403" s="92">
        <v>202218010</v>
      </c>
      <c r="C2403" s="92" t="s">
        <v>27</v>
      </c>
      <c r="D2403" s="101">
        <v>45952</v>
      </c>
      <c r="E2403" s="79" t="s">
        <v>154</v>
      </c>
      <c r="F2403" s="79" t="s">
        <v>104</v>
      </c>
      <c r="G2403" s="79"/>
      <c r="H2403" s="79" t="s">
        <v>1527</v>
      </c>
    </row>
    <row r="2404" spans="1:8">
      <c r="A2404" s="79" t="str">
        <f>LeaveData[[#This Row],[ EMP ID]]&amp;LeaveData[[#This Row],[Date]]</f>
        <v>20221801045953</v>
      </c>
      <c r="B2404" s="92">
        <v>202218010</v>
      </c>
      <c r="C2404" s="92" t="s">
        <v>27</v>
      </c>
      <c r="D2404" s="101">
        <v>45953</v>
      </c>
      <c r="E2404" s="79" t="s">
        <v>154</v>
      </c>
      <c r="F2404" s="79" t="s">
        <v>104</v>
      </c>
      <c r="G2404" s="79"/>
      <c r="H2404" s="79" t="s">
        <v>1527</v>
      </c>
    </row>
    <row r="2405" spans="1:8">
      <c r="A2405" s="79" t="str">
        <f>LeaveData[[#This Row],[ EMP ID]]&amp;LeaveData[[#This Row],[Date]]</f>
        <v>20221801045954</v>
      </c>
      <c r="B2405" s="92">
        <v>202218010</v>
      </c>
      <c r="C2405" s="92" t="s">
        <v>27</v>
      </c>
      <c r="D2405" s="101">
        <v>45954</v>
      </c>
      <c r="E2405" s="79" t="s">
        <v>154</v>
      </c>
      <c r="F2405" s="79" t="s">
        <v>104</v>
      </c>
      <c r="G2405" s="79"/>
      <c r="H2405" s="79" t="s">
        <v>1527</v>
      </c>
    </row>
    <row r="2406" spans="1:8">
      <c r="A2406" s="79" t="str">
        <f>LeaveData[[#This Row],[ EMP ID]]&amp;LeaveData[[#This Row],[Date]]</f>
        <v>20251804645968</v>
      </c>
      <c r="B2406" s="92">
        <v>202518046</v>
      </c>
      <c r="C2406" s="92" t="s">
        <v>842</v>
      </c>
      <c r="D2406" s="101">
        <v>45968</v>
      </c>
      <c r="E2406" s="79" t="s">
        <v>13</v>
      </c>
      <c r="F2406" s="79" t="s">
        <v>106</v>
      </c>
      <c r="G2406" s="79"/>
      <c r="H2406" s="79" t="s">
        <v>1528</v>
      </c>
    </row>
    <row r="2407" spans="1:8">
      <c r="A2407" s="79" t="str">
        <f>LeaveData[[#This Row],[ EMP ID]]&amp;LeaveData[[#This Row],[Date]]</f>
        <v>20221801045982</v>
      </c>
      <c r="B2407" s="92">
        <v>202218010</v>
      </c>
      <c r="C2407" s="92" t="s">
        <v>27</v>
      </c>
      <c r="D2407" s="101">
        <v>45982</v>
      </c>
      <c r="E2407" s="79" t="s">
        <v>13</v>
      </c>
      <c r="F2407" s="79" t="s">
        <v>104</v>
      </c>
      <c r="G2407" s="79"/>
      <c r="H2407" s="79" t="s">
        <v>1529</v>
      </c>
    </row>
    <row r="2408" spans="1:8">
      <c r="A2408" s="79" t="str">
        <f>LeaveData[[#This Row],[ EMP ID]]&amp;LeaveData[[#This Row],[Date]]</f>
        <v>20221801045983</v>
      </c>
      <c r="B2408" s="92">
        <v>202218010</v>
      </c>
      <c r="C2408" s="92" t="s">
        <v>27</v>
      </c>
      <c r="D2408" s="101">
        <v>45983</v>
      </c>
      <c r="E2408" s="79" t="s">
        <v>13</v>
      </c>
      <c r="F2408" s="79" t="s">
        <v>104</v>
      </c>
      <c r="G2408" s="79"/>
      <c r="H2408" s="79" t="s">
        <v>1529</v>
      </c>
    </row>
    <row r="2409" spans="1:8">
      <c r="A2409" s="79" t="str">
        <f>LeaveData[[#This Row],[ EMP ID]]&amp;LeaveData[[#This Row],[Date]]</f>
        <v>20221801045985</v>
      </c>
      <c r="B2409" s="92">
        <v>202218010</v>
      </c>
      <c r="C2409" s="92" t="s">
        <v>27</v>
      </c>
      <c r="D2409" s="101">
        <v>45985</v>
      </c>
      <c r="E2409" s="79" t="s">
        <v>13</v>
      </c>
      <c r="F2409" s="79" t="s">
        <v>104</v>
      </c>
      <c r="G2409" s="79"/>
      <c r="H2409" s="79" t="s">
        <v>1529</v>
      </c>
    </row>
    <row r="2410" spans="1:8">
      <c r="A2410" s="79" t="str">
        <f>LeaveData[[#This Row],[ EMP ID]]&amp;LeaveData[[#This Row],[Date]]</f>
        <v>20221801045986</v>
      </c>
      <c r="B2410" s="92">
        <v>202218010</v>
      </c>
      <c r="C2410" s="92" t="s">
        <v>27</v>
      </c>
      <c r="D2410" s="101">
        <v>45986</v>
      </c>
      <c r="E2410" s="79" t="s">
        <v>13</v>
      </c>
      <c r="F2410" s="79" t="s">
        <v>104</v>
      </c>
      <c r="G2410" s="79"/>
      <c r="H2410" s="79" t="s">
        <v>1529</v>
      </c>
    </row>
    <row r="2411" spans="1:8">
      <c r="A2411" s="79" t="str">
        <f>LeaveData[[#This Row],[ EMP ID]]&amp;LeaveData[[#This Row],[Date]]</f>
        <v>20221801045987</v>
      </c>
      <c r="B2411" s="92">
        <v>202218010</v>
      </c>
      <c r="C2411" s="92" t="s">
        <v>27</v>
      </c>
      <c r="D2411" s="101">
        <v>45987</v>
      </c>
      <c r="E2411" s="79" t="s">
        <v>13</v>
      </c>
      <c r="F2411" s="79" t="s">
        <v>104</v>
      </c>
      <c r="G2411" s="79"/>
      <c r="H2411" s="79" t="s">
        <v>1529</v>
      </c>
    </row>
    <row r="2412" spans="1:8">
      <c r="A2412" s="79" t="str">
        <f>LeaveData[[#This Row],[ EMP ID]]&amp;LeaveData[[#This Row],[Date]]</f>
        <v>20221801045988</v>
      </c>
      <c r="B2412" s="92">
        <v>202218010</v>
      </c>
      <c r="C2412" s="92" t="s">
        <v>27</v>
      </c>
      <c r="D2412" s="101">
        <v>45988</v>
      </c>
      <c r="E2412" s="79" t="s">
        <v>13</v>
      </c>
      <c r="F2412" s="79" t="s">
        <v>104</v>
      </c>
      <c r="G2412" s="79"/>
      <c r="H2412" s="79" t="s">
        <v>1529</v>
      </c>
    </row>
    <row r="2413" spans="1:8">
      <c r="A2413" s="79" t="str">
        <f>LeaveData[[#This Row],[ EMP ID]]&amp;LeaveData[[#This Row],[Date]]</f>
        <v>20221801045989</v>
      </c>
      <c r="B2413" s="92">
        <v>202218010</v>
      </c>
      <c r="C2413" s="92" t="s">
        <v>27</v>
      </c>
      <c r="D2413" s="101">
        <v>45989</v>
      </c>
      <c r="E2413" s="79" t="s">
        <v>13</v>
      </c>
      <c r="F2413" s="79" t="s">
        <v>104</v>
      </c>
      <c r="G2413" s="79"/>
      <c r="H2413" s="79" t="s">
        <v>1529</v>
      </c>
    </row>
    <row r="2414" spans="1:8">
      <c r="A2414" s="79" t="str">
        <f>LeaveData[[#This Row],[ EMP ID]]&amp;LeaveData[[#This Row],[Date]]</f>
        <v>20221801045990</v>
      </c>
      <c r="B2414" s="92">
        <v>202218010</v>
      </c>
      <c r="C2414" s="92" t="s">
        <v>27</v>
      </c>
      <c r="D2414" s="101">
        <v>45990</v>
      </c>
      <c r="E2414" s="79" t="s">
        <v>13</v>
      </c>
      <c r="F2414" s="79" t="s">
        <v>104</v>
      </c>
      <c r="G2414" s="79"/>
      <c r="H2414" s="79" t="s">
        <v>1529</v>
      </c>
    </row>
    <row r="2415" spans="1:8">
      <c r="A2415" s="79" t="str">
        <f>LeaveData[[#This Row],[ EMP ID]]&amp;LeaveData[[#This Row],[Date]]</f>
        <v>20242100145968</v>
      </c>
      <c r="B2415" s="92">
        <v>202421001</v>
      </c>
      <c r="C2415" s="122" t="s">
        <v>221</v>
      </c>
      <c r="D2415" s="101">
        <v>45968</v>
      </c>
      <c r="E2415" s="79" t="s">
        <v>12</v>
      </c>
      <c r="F2415" s="79" t="s">
        <v>29</v>
      </c>
      <c r="G2415" s="79"/>
      <c r="H2415" s="79" t="s">
        <v>416</v>
      </c>
    </row>
    <row r="2416" spans="1:8">
      <c r="A2416" s="79" t="str">
        <f>LeaveData[[#This Row],[ EMP ID]]&amp;LeaveData[[#This Row],[Date]]</f>
        <v>20250102045967</v>
      </c>
      <c r="B2416" s="92">
        <v>202501020</v>
      </c>
      <c r="C2416" s="92" t="s">
        <v>1468</v>
      </c>
      <c r="D2416" s="101">
        <v>45967</v>
      </c>
      <c r="E2416" s="79" t="s">
        <v>130</v>
      </c>
      <c r="F2416" s="79" t="s">
        <v>246</v>
      </c>
      <c r="G2416" s="79"/>
      <c r="H2416" s="79" t="s">
        <v>1530</v>
      </c>
    </row>
    <row r="2417" spans="1:8">
      <c r="A2417" s="79" t="str">
        <f>LeaveData[[#This Row],[ EMP ID]]&amp;LeaveData[[#This Row],[Date]]</f>
        <v>20250102045971</v>
      </c>
      <c r="B2417" s="92">
        <v>202501020</v>
      </c>
      <c r="C2417" s="92" t="s">
        <v>1468</v>
      </c>
      <c r="D2417" s="101">
        <v>45971</v>
      </c>
      <c r="E2417" s="79" t="s">
        <v>130</v>
      </c>
      <c r="F2417" s="79" t="s">
        <v>246</v>
      </c>
      <c r="G2417" s="79"/>
      <c r="H2417" s="79" t="s">
        <v>1530</v>
      </c>
    </row>
    <row r="2418" spans="1:8">
      <c r="A2418" s="79" t="str">
        <f>LeaveData[[#This Row],[ EMP ID]]&amp;LeaveData[[#This Row],[Date]]</f>
        <v>20250102045974</v>
      </c>
      <c r="B2418" s="92">
        <v>202501020</v>
      </c>
      <c r="C2418" s="92" t="s">
        <v>1468</v>
      </c>
      <c r="D2418" s="101">
        <v>45974</v>
      </c>
      <c r="E2418" s="79" t="s">
        <v>130</v>
      </c>
      <c r="F2418" s="79" t="s">
        <v>246</v>
      </c>
      <c r="G2418" s="79"/>
      <c r="H2418" s="79" t="s">
        <v>1530</v>
      </c>
    </row>
    <row r="2419" spans="1:8">
      <c r="A2419" s="79" t="str">
        <f>LeaveData[[#This Row],[ EMP ID]]&amp;LeaveData[[#This Row],[Date]]</f>
        <v>20250102045975</v>
      </c>
      <c r="B2419" s="92">
        <v>202501020</v>
      </c>
      <c r="C2419" s="92" t="s">
        <v>1468</v>
      </c>
      <c r="D2419" s="101">
        <v>45975</v>
      </c>
      <c r="E2419" s="79" t="s">
        <v>130</v>
      </c>
      <c r="F2419" s="79" t="s">
        <v>246</v>
      </c>
      <c r="G2419" s="79"/>
      <c r="H2419" s="79" t="s">
        <v>1530</v>
      </c>
    </row>
    <row r="2420" spans="1:8">
      <c r="A2420" s="79" t="str">
        <f>LeaveData[[#This Row],[ EMP ID]]&amp;LeaveData[[#This Row],[Date]]</f>
        <v>20250100645966</v>
      </c>
      <c r="B2420" s="92">
        <v>202501006</v>
      </c>
      <c r="C2420" s="92" t="s">
        <v>1330</v>
      </c>
      <c r="D2420" s="101">
        <v>45966</v>
      </c>
      <c r="E2420" s="79" t="s">
        <v>13</v>
      </c>
      <c r="F2420" s="79" t="s">
        <v>83</v>
      </c>
      <c r="G2420" s="79"/>
      <c r="H2420" s="79" t="s">
        <v>1531</v>
      </c>
    </row>
    <row r="2421" spans="1:8">
      <c r="A2421" s="79" t="str">
        <f>LeaveData[[#This Row],[ EMP ID]]&amp;LeaveData[[#This Row],[Date]]</f>
        <v>20250100645967</v>
      </c>
      <c r="B2421" s="92">
        <v>202501006</v>
      </c>
      <c r="C2421" s="92" t="s">
        <v>1330</v>
      </c>
      <c r="D2421" s="101">
        <v>45967</v>
      </c>
      <c r="E2421" s="79" t="s">
        <v>13</v>
      </c>
      <c r="F2421" s="79" t="s">
        <v>83</v>
      </c>
      <c r="G2421" s="79"/>
      <c r="H2421" s="79" t="s">
        <v>1531</v>
      </c>
    </row>
    <row r="2422" spans="1:8">
      <c r="A2422" s="79" t="str">
        <f>LeaveData[[#This Row],[ EMP ID]]&amp;LeaveData[[#This Row],[Date]]</f>
        <v>20250100645968</v>
      </c>
      <c r="B2422" s="92">
        <v>202501006</v>
      </c>
      <c r="C2422" s="92" t="s">
        <v>1330</v>
      </c>
      <c r="D2422" s="101">
        <v>45968</v>
      </c>
      <c r="E2422" s="79" t="s">
        <v>14</v>
      </c>
      <c r="F2422" s="79" t="s">
        <v>83</v>
      </c>
      <c r="G2422" s="79"/>
      <c r="H2422" s="79" t="s">
        <v>1531</v>
      </c>
    </row>
    <row r="2423" spans="1:8">
      <c r="A2423" s="79" t="str">
        <f>LeaveData[[#This Row],[ EMP ID]]&amp;LeaveData[[#This Row],[Date]]</f>
        <v>20250101245966</v>
      </c>
      <c r="B2423" s="79">
        <v>202501012</v>
      </c>
      <c r="C2423" s="79" t="s">
        <v>1394</v>
      </c>
      <c r="D2423" s="101">
        <v>45966</v>
      </c>
      <c r="E2423" s="79" t="s">
        <v>16</v>
      </c>
      <c r="F2423" s="79" t="s">
        <v>246</v>
      </c>
      <c r="G2423" s="79"/>
      <c r="H2423" s="79" t="s">
        <v>132</v>
      </c>
    </row>
    <row r="2424" spans="1:8">
      <c r="A2424" s="79" t="str">
        <f>LeaveData[[#This Row],[ EMP ID]]&amp;LeaveData[[#This Row],[Date]]</f>
        <v>20250101245967</v>
      </c>
      <c r="B2424" s="79">
        <v>202501012</v>
      </c>
      <c r="C2424" s="79" t="s">
        <v>1394</v>
      </c>
      <c r="D2424" s="101">
        <v>45967</v>
      </c>
      <c r="E2424" s="79" t="s">
        <v>16</v>
      </c>
      <c r="F2424" s="79" t="s">
        <v>246</v>
      </c>
      <c r="G2424" s="79"/>
      <c r="H2424" s="79" t="s">
        <v>132</v>
      </c>
    </row>
    <row r="2425" spans="1:8">
      <c r="A2425" s="79" t="str">
        <f>LeaveData[[#This Row],[ EMP ID]]&amp;LeaveData[[#This Row],[Date]]</f>
        <v>20250101245968</v>
      </c>
      <c r="B2425" s="79">
        <v>202501012</v>
      </c>
      <c r="C2425" s="79" t="s">
        <v>1394</v>
      </c>
      <c r="D2425" s="101">
        <v>45968</v>
      </c>
      <c r="E2425" s="79" t="s">
        <v>16</v>
      </c>
      <c r="F2425" s="79" t="s">
        <v>246</v>
      </c>
      <c r="G2425" s="79"/>
      <c r="H2425" s="79" t="s">
        <v>132</v>
      </c>
    </row>
    <row r="2426" spans="1:8">
      <c r="A2426" s="79" t="str">
        <f>LeaveData[[#This Row],[ EMP ID]]&amp;LeaveData[[#This Row],[Date]]</f>
        <v>20250101245969</v>
      </c>
      <c r="B2426" s="79">
        <v>202501012</v>
      </c>
      <c r="C2426" s="79" t="s">
        <v>1394</v>
      </c>
      <c r="D2426" s="101">
        <v>45969</v>
      </c>
      <c r="E2426" s="79" t="s">
        <v>16</v>
      </c>
      <c r="F2426" s="79" t="s">
        <v>246</v>
      </c>
      <c r="G2426" s="79"/>
      <c r="H2426" s="79" t="s">
        <v>132</v>
      </c>
    </row>
    <row r="2427" spans="1:8">
      <c r="A2427" s="79" t="str">
        <f>LeaveData[[#This Row],[ EMP ID]]&amp;LeaveData[[#This Row],[Date]]</f>
        <v>20241804245969</v>
      </c>
      <c r="B2427" s="79">
        <v>202418042</v>
      </c>
      <c r="C2427" s="79" t="s">
        <v>402</v>
      </c>
      <c r="D2427" s="101">
        <v>45969</v>
      </c>
      <c r="E2427" s="79" t="s">
        <v>14</v>
      </c>
      <c r="F2427" s="79" t="s">
        <v>235</v>
      </c>
      <c r="G2427" s="79"/>
      <c r="H2427" s="79" t="s">
        <v>116</v>
      </c>
    </row>
    <row r="2428" spans="1:8">
      <c r="A2428" s="79" t="str">
        <f>LeaveData[[#This Row],[ EMP ID]]&amp;LeaveData[[#This Row],[Date]]</f>
        <v>20232000745969</v>
      </c>
      <c r="B2428" s="92">
        <v>202320007</v>
      </c>
      <c r="C2428" s="92" t="s">
        <v>183</v>
      </c>
      <c r="D2428" s="101">
        <v>45969</v>
      </c>
      <c r="E2428" s="79" t="s">
        <v>13</v>
      </c>
      <c r="F2428" s="79" t="s">
        <v>104</v>
      </c>
      <c r="G2428" s="79"/>
      <c r="H2428" s="79" t="s">
        <v>116</v>
      </c>
    </row>
    <row r="2429" spans="1:8">
      <c r="A2429" s="79" t="str">
        <f>LeaveData[[#This Row],[ EMP ID]]&amp;LeaveData[[#This Row],[Date]]</f>
        <v>20211800745969</v>
      </c>
      <c r="B2429" s="79">
        <v>202118007</v>
      </c>
      <c r="C2429" s="79" t="s">
        <v>103</v>
      </c>
      <c r="D2429" s="101">
        <v>45969</v>
      </c>
      <c r="E2429" s="79" t="s">
        <v>13</v>
      </c>
      <c r="F2429" s="79" t="s">
        <v>114</v>
      </c>
      <c r="G2429" s="79"/>
      <c r="H2429" s="79" t="s">
        <v>116</v>
      </c>
    </row>
    <row r="2430" spans="1:8">
      <c r="A2430" s="79" t="str">
        <f>LeaveData[[#This Row],[ EMP ID]]&amp;LeaveData[[#This Row],[Date]]</f>
        <v>20182000145963</v>
      </c>
      <c r="B2430" s="92">
        <v>201820001</v>
      </c>
      <c r="C2430" s="92" t="s">
        <v>18</v>
      </c>
      <c r="D2430" s="101">
        <v>45963</v>
      </c>
      <c r="E2430" s="79" t="s">
        <v>154</v>
      </c>
      <c r="F2430" s="79" t="s">
        <v>118</v>
      </c>
      <c r="G2430" s="79"/>
      <c r="H2430" s="79" t="s">
        <v>1532</v>
      </c>
    </row>
    <row r="2431" spans="1:8">
      <c r="A2431" s="79" t="str">
        <f>LeaveData[[#This Row],[ EMP ID]]&amp;LeaveData[[#This Row],[Date]]</f>
        <v>20231802245969</v>
      </c>
      <c r="B2431" s="79">
        <v>202318022</v>
      </c>
      <c r="C2431" s="79" t="s">
        <v>45</v>
      </c>
      <c r="D2431" s="101">
        <v>45969</v>
      </c>
      <c r="E2431" s="79" t="s">
        <v>16</v>
      </c>
      <c r="F2431" s="79" t="s">
        <v>1365</v>
      </c>
      <c r="G2431" s="79"/>
      <c r="H2431" s="79" t="s">
        <v>116</v>
      </c>
    </row>
    <row r="2432" spans="1:8">
      <c r="A2432" s="79" t="str">
        <f>LeaveData[[#This Row],[ EMP ID]]&amp;LeaveData[[#This Row],[Date]]</f>
        <v>20231802045969</v>
      </c>
      <c r="B2432" s="79">
        <v>202318020</v>
      </c>
      <c r="C2432" s="92" t="s">
        <v>43</v>
      </c>
      <c r="D2432" s="101">
        <v>45969</v>
      </c>
      <c r="E2432" s="79" t="s">
        <v>16</v>
      </c>
      <c r="F2432" s="79" t="s">
        <v>45</v>
      </c>
      <c r="G2432" s="79"/>
      <c r="H2432" s="79" t="s">
        <v>116</v>
      </c>
    </row>
    <row r="2433" spans="1:8">
      <c r="A2433" s="79" t="str">
        <f>LeaveData[[#This Row],[ EMP ID]]&amp;LeaveData[[#This Row],[Date]]</f>
        <v>20241803845975</v>
      </c>
      <c r="B2433" s="79">
        <v>202418038</v>
      </c>
      <c r="C2433" s="79" t="s">
        <v>246</v>
      </c>
      <c r="D2433" s="101">
        <v>45975</v>
      </c>
      <c r="E2433" s="79" t="s">
        <v>13</v>
      </c>
      <c r="F2433" s="79" t="s">
        <v>125</v>
      </c>
      <c r="G2433" s="79"/>
      <c r="H2433" s="79" t="s">
        <v>168</v>
      </c>
    </row>
    <row r="2434" spans="1:8">
      <c r="A2434" s="79" t="str">
        <f>LeaveData[[#This Row],[ EMP ID]]&amp;LeaveData[[#This Row],[Date]]</f>
        <v>20250102145972</v>
      </c>
      <c r="B2434" s="92">
        <v>202501021</v>
      </c>
      <c r="C2434" s="92" t="s">
        <v>1489</v>
      </c>
      <c r="D2434" s="101">
        <v>45972</v>
      </c>
      <c r="E2434" s="79" t="s">
        <v>12</v>
      </c>
      <c r="F2434" s="79" t="s">
        <v>246</v>
      </c>
      <c r="G2434" s="79"/>
      <c r="H2434" s="79" t="s">
        <v>416</v>
      </c>
    </row>
    <row r="2435" spans="1:8">
      <c r="A2435" s="79" t="str">
        <f>LeaveData[[#This Row],[ EMP ID]]&amp;LeaveData[[#This Row],[Date]]</f>
        <v>20250100845972</v>
      </c>
      <c r="B2435" s="92">
        <v>202501008</v>
      </c>
      <c r="C2435" s="122" t="s">
        <v>1368</v>
      </c>
      <c r="D2435" s="101">
        <v>45972</v>
      </c>
      <c r="E2435" s="79" t="s">
        <v>16</v>
      </c>
      <c r="F2435" s="79" t="s">
        <v>235</v>
      </c>
      <c r="G2435" s="79"/>
      <c r="H2435" s="92" t="s">
        <v>1512</v>
      </c>
    </row>
    <row r="2436" spans="1:8">
      <c r="A2436" s="79" t="str">
        <f>LeaveData[[#This Row],[ EMP ID]]&amp;LeaveData[[#This Row],[Date]]</f>
        <v>20250100345973</v>
      </c>
      <c r="B2436" s="92">
        <v>202501003</v>
      </c>
      <c r="C2436" s="92" t="s">
        <v>833</v>
      </c>
      <c r="D2436" s="101">
        <v>45973</v>
      </c>
      <c r="E2436" s="79" t="s">
        <v>13</v>
      </c>
      <c r="F2436" s="79" t="s">
        <v>1365</v>
      </c>
      <c r="G2436" s="79"/>
      <c r="H2436" s="92" t="s">
        <v>1533</v>
      </c>
    </row>
    <row r="2437" spans="1:8">
      <c r="A2437" s="79" t="str">
        <f>LeaveData[[#This Row],[ EMP ID]]&amp;LeaveData[[#This Row],[Date]]</f>
        <v>20250100345974</v>
      </c>
      <c r="B2437" s="92">
        <v>202501003</v>
      </c>
      <c r="C2437" s="92" t="s">
        <v>833</v>
      </c>
      <c r="D2437" s="101">
        <v>45974</v>
      </c>
      <c r="E2437" s="79" t="s">
        <v>13</v>
      </c>
      <c r="F2437" s="79" t="s">
        <v>1365</v>
      </c>
      <c r="G2437" s="79"/>
      <c r="H2437" s="92" t="s">
        <v>1533</v>
      </c>
    </row>
    <row r="2438" spans="1:8">
      <c r="A2438" s="79" t="str">
        <f>LeaveData[[#This Row],[ EMP ID]]&amp;LeaveData[[#This Row],[Date]]</f>
        <v>20250100345975</v>
      </c>
      <c r="B2438" s="92">
        <v>202501003</v>
      </c>
      <c r="C2438" s="92" t="s">
        <v>833</v>
      </c>
      <c r="D2438" s="101">
        <v>45975</v>
      </c>
      <c r="E2438" s="79" t="s">
        <v>13</v>
      </c>
      <c r="F2438" s="79" t="s">
        <v>1365</v>
      </c>
      <c r="G2438" s="79"/>
      <c r="H2438" s="92" t="s">
        <v>1533</v>
      </c>
    </row>
    <row r="2439" spans="1:8">
      <c r="A2439" s="79" t="str">
        <f>LeaveData[[#This Row],[ EMP ID]]&amp;LeaveData[[#This Row],[Date]]</f>
        <v>20231802746418</v>
      </c>
      <c r="B2439" s="92">
        <v>202318027</v>
      </c>
      <c r="C2439" s="92" t="s">
        <v>54</v>
      </c>
      <c r="D2439" s="101">
        <v>46418</v>
      </c>
      <c r="E2439" s="79" t="s">
        <v>195</v>
      </c>
      <c r="F2439" s="79" t="s">
        <v>1365</v>
      </c>
      <c r="G2439" s="79"/>
      <c r="H2439" s="79" t="s">
        <v>196</v>
      </c>
    </row>
    <row r="2440" spans="1:8">
      <c r="A2440" s="79" t="str">
        <f>LeaveData[[#This Row],[ EMP ID]]&amp;LeaveData[[#This Row],[Date]]</f>
        <v>20251804645991</v>
      </c>
      <c r="B2440" s="92">
        <v>202518046</v>
      </c>
      <c r="C2440" s="92" t="s">
        <v>842</v>
      </c>
      <c r="D2440" s="101">
        <v>45991</v>
      </c>
      <c r="E2440" s="79" t="s">
        <v>195</v>
      </c>
      <c r="F2440" s="79" t="s">
        <v>106</v>
      </c>
      <c r="G2440" s="79"/>
      <c r="H2440" s="79" t="s">
        <v>196</v>
      </c>
    </row>
    <row r="2441" spans="1:8">
      <c r="A2441" s="79" t="str">
        <f>LeaveData[[#This Row],[ EMP ID]]&amp;LeaveData[[#This Row],[Date]]</f>
        <v>20232001445991</v>
      </c>
      <c r="B2441" s="79">
        <v>202320014</v>
      </c>
      <c r="C2441" s="92" t="s">
        <v>94</v>
      </c>
      <c r="D2441" s="101">
        <v>45991</v>
      </c>
      <c r="E2441" s="79" t="s">
        <v>195</v>
      </c>
      <c r="F2441" s="79" t="s">
        <v>118</v>
      </c>
      <c r="G2441" s="79"/>
      <c r="H2441" s="79" t="s">
        <v>1534</v>
      </c>
    </row>
    <row r="2442" spans="1:8">
      <c r="A2442" s="79" t="str">
        <f>LeaveData[[#This Row],[ EMP ID]]&amp;LeaveData[[#This Row],[Date]]</f>
        <v>20250102145972</v>
      </c>
      <c r="B2442" s="92">
        <v>202501021</v>
      </c>
      <c r="C2442" s="92" t="s">
        <v>1489</v>
      </c>
      <c r="D2442" s="101">
        <v>45972</v>
      </c>
      <c r="E2442" s="79" t="s">
        <v>12</v>
      </c>
      <c r="F2442" s="79" t="s">
        <v>246</v>
      </c>
      <c r="G2442" s="79"/>
      <c r="H2442" s="79" t="s">
        <v>5</v>
      </c>
    </row>
    <row r="2443" spans="1:8">
      <c r="A2443" s="79" t="str">
        <f>LeaveData[[#This Row],[ EMP ID]]&amp;LeaveData[[#This Row],[Date]]</f>
        <v>20231801945972</v>
      </c>
      <c r="B2443" s="79">
        <v>202318019</v>
      </c>
      <c r="C2443" s="79" t="s">
        <v>89</v>
      </c>
      <c r="D2443" s="101">
        <v>45972</v>
      </c>
      <c r="E2443" s="79" t="s">
        <v>16</v>
      </c>
      <c r="F2443" s="79" t="s">
        <v>45</v>
      </c>
      <c r="G2443" s="79"/>
      <c r="H2443" s="79" t="s">
        <v>1535</v>
      </c>
    </row>
    <row r="2444" spans="1:8">
      <c r="A2444" s="79" t="str">
        <f>LeaveData[[#This Row],[ EMP ID]]&amp;LeaveData[[#This Row],[Date]]</f>
        <v>20242100445973</v>
      </c>
      <c r="B2444" s="79" t="s">
        <v>1471</v>
      </c>
      <c r="C2444" s="79" t="s">
        <v>270</v>
      </c>
      <c r="D2444" s="101">
        <v>45973</v>
      </c>
      <c r="E2444" s="79" t="s">
        <v>12</v>
      </c>
      <c r="F2444" s="79" t="s">
        <v>29</v>
      </c>
      <c r="G2444" s="79"/>
      <c r="H2444" s="79" t="s">
        <v>416</v>
      </c>
    </row>
    <row r="2445" spans="1:8">
      <c r="A2445" s="79" t="str">
        <f>LeaveData[[#This Row],[ EMP ID]]&amp;LeaveData[[#This Row],[Date]]</f>
        <v>20231802245973</v>
      </c>
      <c r="B2445" s="79">
        <v>202318022</v>
      </c>
      <c r="C2445" s="79" t="s">
        <v>45</v>
      </c>
      <c r="D2445" s="101">
        <v>45973</v>
      </c>
      <c r="E2445" s="79" t="s">
        <v>12</v>
      </c>
      <c r="F2445" s="79" t="s">
        <v>1365</v>
      </c>
      <c r="G2445" s="79"/>
      <c r="H2445" s="79" t="s">
        <v>416</v>
      </c>
    </row>
    <row r="2446" spans="1:8">
      <c r="A2446" s="79" t="str">
        <f>LeaveData[[#This Row],[ EMP ID]]&amp;LeaveData[[#This Row],[Date]]</f>
        <v>20250102145973</v>
      </c>
      <c r="B2446" s="92">
        <v>202501021</v>
      </c>
      <c r="C2446" s="92" t="s">
        <v>1489</v>
      </c>
      <c r="D2446" s="101">
        <v>45973</v>
      </c>
      <c r="E2446" s="79" t="s">
        <v>16</v>
      </c>
      <c r="F2446" s="79" t="s">
        <v>246</v>
      </c>
      <c r="G2446" s="79"/>
      <c r="H2446" s="79" t="s">
        <v>416</v>
      </c>
    </row>
    <row r="2447" spans="1:8">
      <c r="A2447" s="79" t="str">
        <f>LeaveData[[#This Row],[ EMP ID]]&amp;LeaveData[[#This Row],[Date]]</f>
        <v>20250100845974</v>
      </c>
      <c r="B2447" s="92">
        <v>202501008</v>
      </c>
      <c r="C2447" s="122" t="s">
        <v>1368</v>
      </c>
      <c r="D2447" s="101">
        <v>45974</v>
      </c>
      <c r="E2447" s="79" t="s">
        <v>16</v>
      </c>
      <c r="F2447" s="79" t="s">
        <v>246</v>
      </c>
      <c r="G2447" s="79"/>
      <c r="H2447" s="79" t="s">
        <v>1536</v>
      </c>
    </row>
    <row r="2448" spans="1:8">
      <c r="A2448" s="79" t="str">
        <f>LeaveData[[#This Row],[ EMP ID]]&amp;LeaveData[[#This Row],[Date]]</f>
        <v>20250101345975</v>
      </c>
      <c r="B2448" s="92">
        <v>202501013</v>
      </c>
      <c r="C2448" s="92" t="s">
        <v>1395</v>
      </c>
      <c r="D2448" s="101">
        <v>45975</v>
      </c>
      <c r="E2448" s="79" t="s">
        <v>13</v>
      </c>
      <c r="F2448" s="79" t="s">
        <v>104</v>
      </c>
      <c r="G2448" s="79"/>
      <c r="H2448" s="79" t="s">
        <v>169</v>
      </c>
    </row>
    <row r="2449" spans="1:8">
      <c r="A2449" s="79" t="str">
        <f>LeaveData[[#This Row],[ EMP ID]]&amp;LeaveData[[#This Row],[Date]]</f>
        <v>20250101345976</v>
      </c>
      <c r="B2449" s="92">
        <v>202501013</v>
      </c>
      <c r="C2449" s="92" t="s">
        <v>1395</v>
      </c>
      <c r="D2449" s="101">
        <v>45976</v>
      </c>
      <c r="E2449" s="79" t="s">
        <v>1437</v>
      </c>
      <c r="F2449" s="79" t="s">
        <v>104</v>
      </c>
      <c r="G2449" s="79"/>
      <c r="H2449" s="79" t="s">
        <v>277</v>
      </c>
    </row>
    <row r="2450" spans="1:8">
      <c r="A2450" s="79" t="str">
        <f>LeaveData[[#This Row],[ EMP ID]]&amp;LeaveData[[#This Row],[Date]]</f>
        <v>20231802245975</v>
      </c>
      <c r="B2450" s="79">
        <v>202318022</v>
      </c>
      <c r="C2450" s="79" t="s">
        <v>45</v>
      </c>
      <c r="D2450" s="101">
        <v>45975</v>
      </c>
      <c r="E2450" s="79" t="s">
        <v>16</v>
      </c>
      <c r="F2450" s="79" t="s">
        <v>1365</v>
      </c>
      <c r="G2450" s="79"/>
      <c r="H2450" s="79" t="s">
        <v>1517</v>
      </c>
    </row>
    <row r="2451" spans="1:8">
      <c r="A2451" s="79" t="str">
        <f>LeaveData[[#This Row],[ EMP ID]]&amp;LeaveData[[#This Row],[Date]]</f>
        <v>20231802045975</v>
      </c>
      <c r="B2451" s="79">
        <v>202318020</v>
      </c>
      <c r="C2451" s="92" t="s">
        <v>43</v>
      </c>
      <c r="D2451" s="101">
        <v>45975</v>
      </c>
      <c r="E2451" s="79" t="s">
        <v>16</v>
      </c>
      <c r="F2451" s="79" t="s">
        <v>45</v>
      </c>
      <c r="G2451" s="79"/>
      <c r="H2451" s="79" t="s">
        <v>1537</v>
      </c>
    </row>
    <row r="2452" spans="1:8">
      <c r="A2452" s="79" t="str">
        <f>LeaveData[[#This Row],[ EMP ID]]&amp;LeaveData[[#This Row],[Date]]</f>
        <v>20241804245976</v>
      </c>
      <c r="B2452" s="79">
        <v>202418042</v>
      </c>
      <c r="C2452" s="79" t="s">
        <v>402</v>
      </c>
      <c r="D2452" s="101">
        <v>45976</v>
      </c>
      <c r="E2452" s="79" t="s">
        <v>16</v>
      </c>
      <c r="F2452" s="79" t="s">
        <v>235</v>
      </c>
      <c r="G2452" s="79"/>
      <c r="H2452" s="79" t="s">
        <v>168</v>
      </c>
    </row>
    <row r="2453" spans="1:8">
      <c r="A2453" s="79" t="str">
        <f>LeaveData[[#This Row],[ EMP ID]]&amp;LeaveData[[#This Row],[Date]]</f>
        <v>20221801145976</v>
      </c>
      <c r="B2453" s="92">
        <v>202218011</v>
      </c>
      <c r="C2453" s="92" t="s">
        <v>28</v>
      </c>
      <c r="D2453" s="101">
        <v>45976</v>
      </c>
      <c r="E2453" s="79" t="s">
        <v>13</v>
      </c>
      <c r="F2453" s="79" t="s">
        <v>235</v>
      </c>
      <c r="G2453" s="79"/>
      <c r="H2453" s="79" t="s">
        <v>172</v>
      </c>
    </row>
    <row r="2454" spans="1:8">
      <c r="A2454" s="79" t="str">
        <f>LeaveData[[#This Row],[ EMP ID]]&amp;LeaveData[[#This Row],[Date]]</f>
        <v>20231801945975</v>
      </c>
      <c r="B2454" s="79">
        <v>202318019</v>
      </c>
      <c r="C2454" s="79" t="s">
        <v>89</v>
      </c>
      <c r="D2454" s="101">
        <v>45975</v>
      </c>
      <c r="E2454" s="79" t="s">
        <v>14</v>
      </c>
      <c r="F2454" s="79" t="s">
        <v>45</v>
      </c>
      <c r="G2454" s="79"/>
      <c r="H2454" s="79" t="s">
        <v>168</v>
      </c>
    </row>
    <row r="2455" spans="1:8">
      <c r="A2455" s="79" t="str">
        <f>LeaveData[[#This Row],[ EMP ID]]&amp;LeaveData[[#This Row],[Date]]</f>
        <v>20231802245981</v>
      </c>
      <c r="B2455" s="79">
        <v>202318022</v>
      </c>
      <c r="C2455" s="79" t="s">
        <v>45</v>
      </c>
      <c r="D2455" s="101">
        <v>45981</v>
      </c>
      <c r="E2455" s="79" t="s">
        <v>13</v>
      </c>
      <c r="F2455" s="79" t="s">
        <v>1365</v>
      </c>
      <c r="G2455" s="79"/>
      <c r="H2455" s="79" t="s">
        <v>357</v>
      </c>
    </row>
    <row r="2456" spans="1:8">
      <c r="A2456" s="79" t="str">
        <f>LeaveData[[#This Row],[ EMP ID]]&amp;LeaveData[[#This Row],[Date]]</f>
        <v>20231802245982</v>
      </c>
      <c r="B2456" s="79">
        <v>202318022</v>
      </c>
      <c r="C2456" s="79" t="s">
        <v>45</v>
      </c>
      <c r="D2456" s="101">
        <v>45982</v>
      </c>
      <c r="E2456" s="79" t="s">
        <v>13</v>
      </c>
      <c r="F2456" s="79" t="s">
        <v>1365</v>
      </c>
      <c r="G2456" s="79"/>
      <c r="H2456" s="79" t="s">
        <v>357</v>
      </c>
    </row>
    <row r="2457" spans="1:8">
      <c r="A2457" s="79" t="str">
        <f>LeaveData[[#This Row],[ EMP ID]]&amp;LeaveData[[#This Row],[Date]]</f>
        <v>20231802245983</v>
      </c>
      <c r="B2457" s="79">
        <v>202318022</v>
      </c>
      <c r="C2457" s="79" t="s">
        <v>45</v>
      </c>
      <c r="D2457" s="101">
        <v>45983</v>
      </c>
      <c r="E2457" s="79" t="s">
        <v>13</v>
      </c>
      <c r="F2457" s="79" t="s">
        <v>1365</v>
      </c>
      <c r="G2457" s="79"/>
      <c r="H2457" s="79" t="s">
        <v>357</v>
      </c>
    </row>
    <row r="2458" spans="1:8">
      <c r="A2458" s="79" t="str">
        <f>LeaveData[[#This Row],[ EMP ID]]&amp;LeaveData[[#This Row],[Date]]</f>
        <v>20242001545975</v>
      </c>
      <c r="B2458" s="79">
        <v>202420015</v>
      </c>
      <c r="C2458" s="79" t="s">
        <v>64</v>
      </c>
      <c r="D2458" s="101">
        <v>45975</v>
      </c>
      <c r="E2458" s="79" t="s">
        <v>13</v>
      </c>
      <c r="F2458" s="79" t="s">
        <v>114</v>
      </c>
      <c r="G2458" s="79"/>
      <c r="H2458" s="79" t="s">
        <v>1538</v>
      </c>
    </row>
    <row r="2459" spans="1:8">
      <c r="A2459" s="79" t="str">
        <f>LeaveData[[#This Row],[ EMP ID]]&amp;LeaveData[[#This Row],[Date]]</f>
        <v>20240100145978</v>
      </c>
      <c r="B2459" s="92">
        <v>202401001</v>
      </c>
      <c r="C2459" s="92" t="s">
        <v>61</v>
      </c>
      <c r="D2459" s="101">
        <v>45978</v>
      </c>
      <c r="E2459" s="79" t="s">
        <v>13</v>
      </c>
      <c r="F2459" s="79" t="s">
        <v>43</v>
      </c>
      <c r="G2459" s="79"/>
      <c r="H2459" s="79" t="s">
        <v>168</v>
      </c>
    </row>
    <row r="2460" spans="1:8">
      <c r="A2460" s="79" t="str">
        <f>LeaveData[[#This Row],[ EMP ID]]&amp;LeaveData[[#This Row],[Date]]</f>
        <v>20240100145979</v>
      </c>
      <c r="B2460" s="92">
        <v>202401001</v>
      </c>
      <c r="C2460" s="92" t="s">
        <v>61</v>
      </c>
      <c r="D2460" s="101">
        <v>45979</v>
      </c>
      <c r="E2460" s="79" t="s">
        <v>13</v>
      </c>
      <c r="F2460" s="79" t="s">
        <v>43</v>
      </c>
      <c r="G2460" s="79"/>
      <c r="H2460" s="79" t="s">
        <v>168</v>
      </c>
    </row>
    <row r="2461" spans="1:8">
      <c r="A2461" s="79" t="str">
        <f>LeaveData[[#This Row],[ EMP ID]]&amp;LeaveData[[#This Row],[Date]]</f>
        <v>20240100145980</v>
      </c>
      <c r="B2461" s="92">
        <v>202401001</v>
      </c>
      <c r="C2461" s="92" t="s">
        <v>61</v>
      </c>
      <c r="D2461" s="101">
        <v>45980</v>
      </c>
      <c r="E2461" s="79" t="s">
        <v>13</v>
      </c>
      <c r="F2461" s="79" t="s">
        <v>43</v>
      </c>
      <c r="G2461" s="79"/>
      <c r="H2461" s="79" t="s">
        <v>168</v>
      </c>
    </row>
    <row r="2462" spans="1:8">
      <c r="A2462" s="79" t="str">
        <f>LeaveData[[#This Row],[ EMP ID]]&amp;LeaveData[[#This Row],[Date]]</f>
        <v>20240100145981</v>
      </c>
      <c r="B2462" s="92">
        <v>202401001</v>
      </c>
      <c r="C2462" s="92" t="s">
        <v>61</v>
      </c>
      <c r="D2462" s="101">
        <v>45981</v>
      </c>
      <c r="E2462" s="79" t="s">
        <v>13</v>
      </c>
      <c r="F2462" s="79" t="s">
        <v>43</v>
      </c>
      <c r="G2462" s="79"/>
      <c r="H2462" s="79" t="s">
        <v>168</v>
      </c>
    </row>
    <row r="2463" spans="1:8">
      <c r="A2463" s="79" t="str">
        <f>LeaveData[[#This Row],[ EMP ID]]&amp;LeaveData[[#This Row],[Date]]</f>
        <v>20231801945978</v>
      </c>
      <c r="B2463" s="79">
        <v>202318019</v>
      </c>
      <c r="C2463" s="79" t="s">
        <v>89</v>
      </c>
      <c r="D2463" s="101">
        <v>45978</v>
      </c>
      <c r="E2463" s="79" t="s">
        <v>12</v>
      </c>
      <c r="F2463" s="79" t="s">
        <v>45</v>
      </c>
      <c r="G2463" s="79"/>
      <c r="H2463" s="79" t="s">
        <v>416</v>
      </c>
    </row>
    <row r="2464" spans="1:8">
      <c r="A2464" s="79" t="str">
        <f>LeaveData[[#This Row],[ EMP ID]]&amp;LeaveData[[#This Row],[Date]]</f>
        <v>20250101945982</v>
      </c>
      <c r="B2464" s="92">
        <v>202501019</v>
      </c>
      <c r="C2464" s="92" t="s">
        <v>1461</v>
      </c>
      <c r="D2464" s="101">
        <v>45982</v>
      </c>
      <c r="E2464" s="79" t="s">
        <v>184</v>
      </c>
      <c r="F2464" s="79" t="s">
        <v>1365</v>
      </c>
      <c r="G2464" s="79"/>
      <c r="H2464" s="79" t="s">
        <v>311</v>
      </c>
    </row>
    <row r="2465" spans="1:8">
      <c r="A2465" s="79" t="str">
        <f>LeaveData[[#This Row],[ EMP ID]]&amp;LeaveData[[#This Row],[Date]]</f>
        <v>20250101945983</v>
      </c>
      <c r="B2465" s="92">
        <v>202501019</v>
      </c>
      <c r="C2465" s="92" t="s">
        <v>1461</v>
      </c>
      <c r="D2465" s="101">
        <v>45983</v>
      </c>
      <c r="E2465" s="79" t="s">
        <v>184</v>
      </c>
      <c r="F2465" s="79" t="s">
        <v>1365</v>
      </c>
      <c r="G2465" s="79"/>
      <c r="H2465" s="79" t="s">
        <v>311</v>
      </c>
    </row>
    <row r="2466" spans="1:8">
      <c r="A2466" s="79" t="str">
        <f>LeaveData[[#This Row],[ EMP ID]]&amp;LeaveData[[#This Row],[Date]]</f>
        <v>20250101945985</v>
      </c>
      <c r="B2466" s="92">
        <v>202501019</v>
      </c>
      <c r="C2466" s="92" t="s">
        <v>1461</v>
      </c>
      <c r="D2466" s="101">
        <v>45985</v>
      </c>
      <c r="E2466" s="79" t="s">
        <v>184</v>
      </c>
      <c r="F2466" s="79" t="s">
        <v>1365</v>
      </c>
      <c r="G2466" s="79"/>
      <c r="H2466" s="79" t="s">
        <v>311</v>
      </c>
    </row>
    <row r="2467" spans="1:8">
      <c r="A2467" s="79" t="str">
        <f>LeaveData[[#This Row],[ EMP ID]]&amp;LeaveData[[#This Row],[Date]]</f>
        <v>20250101945986</v>
      </c>
      <c r="B2467" s="92">
        <v>202501019</v>
      </c>
      <c r="C2467" s="92" t="s">
        <v>1461</v>
      </c>
      <c r="D2467" s="101">
        <v>45986</v>
      </c>
      <c r="E2467" s="79" t="s">
        <v>184</v>
      </c>
      <c r="F2467" s="79" t="s">
        <v>1365</v>
      </c>
      <c r="G2467" s="79"/>
      <c r="H2467" s="79" t="s">
        <v>311</v>
      </c>
    </row>
    <row r="2468" spans="1:8">
      <c r="A2468" s="79" t="str">
        <f>LeaveData[[#This Row],[ EMP ID]]&amp;LeaveData[[#This Row],[Date]]</f>
        <v>20250101945987</v>
      </c>
      <c r="B2468" s="92">
        <v>202501019</v>
      </c>
      <c r="C2468" s="92" t="s">
        <v>1461</v>
      </c>
      <c r="D2468" s="101">
        <v>45987</v>
      </c>
      <c r="E2468" s="79" t="s">
        <v>184</v>
      </c>
      <c r="F2468" s="79" t="s">
        <v>1365</v>
      </c>
      <c r="G2468" s="79"/>
      <c r="H2468" s="79" t="s">
        <v>311</v>
      </c>
    </row>
    <row r="2469" spans="1:8">
      <c r="A2469" s="79" t="str">
        <f>LeaveData[[#This Row],[ EMP ID]]&amp;LeaveData[[#This Row],[Date]]</f>
        <v>20250101945988</v>
      </c>
      <c r="B2469" s="92">
        <v>202501019</v>
      </c>
      <c r="C2469" s="92" t="s">
        <v>1461</v>
      </c>
      <c r="D2469" s="101">
        <v>45988</v>
      </c>
      <c r="E2469" s="79" t="s">
        <v>184</v>
      </c>
      <c r="F2469" s="79" t="s">
        <v>1365</v>
      </c>
      <c r="G2469" s="79"/>
      <c r="H2469" s="79" t="s">
        <v>311</v>
      </c>
    </row>
    <row r="2470" spans="1:8">
      <c r="A2470" s="79" t="str">
        <f>LeaveData[[#This Row],[ EMP ID]]&amp;LeaveData[[#This Row],[Date]]</f>
        <v>20250101945989</v>
      </c>
      <c r="B2470" s="92">
        <v>202501019</v>
      </c>
      <c r="C2470" s="92" t="s">
        <v>1461</v>
      </c>
      <c r="D2470" s="101">
        <v>45989</v>
      </c>
      <c r="E2470" s="79" t="s">
        <v>184</v>
      </c>
      <c r="F2470" s="79" t="s">
        <v>1365</v>
      </c>
      <c r="G2470" s="79"/>
      <c r="H2470" s="79" t="s">
        <v>311</v>
      </c>
    </row>
    <row r="2471" spans="1:8">
      <c r="A2471" s="79" t="str">
        <f>LeaveData[[#This Row],[ EMP ID]]&amp;LeaveData[[#This Row],[Date]]</f>
        <v>20250101945990</v>
      </c>
      <c r="B2471" s="92">
        <v>202501019</v>
      </c>
      <c r="C2471" s="92" t="s">
        <v>1461</v>
      </c>
      <c r="D2471" s="101">
        <v>45990</v>
      </c>
      <c r="E2471" s="79" t="s">
        <v>184</v>
      </c>
      <c r="F2471" s="79" t="s">
        <v>1365</v>
      </c>
      <c r="G2471" s="79"/>
      <c r="H2471" s="79" t="s">
        <v>311</v>
      </c>
    </row>
    <row r="2472" spans="1:8">
      <c r="A2472" s="79" t="str">
        <f>LeaveData[[#This Row],[ EMP ID]]&amp;LeaveData[[#This Row],[Date]]</f>
        <v>20250101945992</v>
      </c>
      <c r="B2472" s="92">
        <v>202501019</v>
      </c>
      <c r="C2472" s="92" t="s">
        <v>1461</v>
      </c>
      <c r="D2472" s="101">
        <v>45992</v>
      </c>
      <c r="E2472" s="79" t="s">
        <v>184</v>
      </c>
      <c r="F2472" s="79" t="s">
        <v>1365</v>
      </c>
      <c r="G2472" s="79"/>
      <c r="H2472" s="79" t="s">
        <v>311</v>
      </c>
    </row>
    <row r="2473" spans="1:8">
      <c r="A2473" s="79" t="str">
        <f>LeaveData[[#This Row],[ EMP ID]]&amp;LeaveData[[#This Row],[Date]]</f>
        <v>20250101945993</v>
      </c>
      <c r="B2473" s="92">
        <v>202501019</v>
      </c>
      <c r="C2473" s="92" t="s">
        <v>1461</v>
      </c>
      <c r="D2473" s="101">
        <v>45993</v>
      </c>
      <c r="E2473" s="79" t="s">
        <v>184</v>
      </c>
      <c r="F2473" s="79" t="s">
        <v>1365</v>
      </c>
      <c r="G2473" s="79"/>
      <c r="H2473" s="79" t="s">
        <v>311</v>
      </c>
    </row>
    <row r="2474" spans="1:8">
      <c r="A2474" s="79" t="str">
        <f>LeaveData[[#This Row],[ EMP ID]]&amp;LeaveData[[#This Row],[Date]]</f>
        <v>20250101945994</v>
      </c>
      <c r="B2474" s="92">
        <v>202501019</v>
      </c>
      <c r="C2474" s="92" t="s">
        <v>1461</v>
      </c>
      <c r="D2474" s="101">
        <v>45994</v>
      </c>
      <c r="E2474" s="79" t="s">
        <v>184</v>
      </c>
      <c r="F2474" s="79" t="s">
        <v>1365</v>
      </c>
      <c r="G2474" s="79"/>
      <c r="H2474" s="79" t="s">
        <v>311</v>
      </c>
    </row>
    <row r="2475" spans="1:8">
      <c r="A2475" s="79" t="str">
        <f>LeaveData[[#This Row],[ EMP ID]]&amp;LeaveData[[#This Row],[Date]]</f>
        <v>20250101945995</v>
      </c>
      <c r="B2475" s="92">
        <v>202501019</v>
      </c>
      <c r="C2475" s="92" t="s">
        <v>1461</v>
      </c>
      <c r="D2475" s="101">
        <v>45995</v>
      </c>
      <c r="E2475" s="79" t="s">
        <v>184</v>
      </c>
      <c r="F2475" s="79" t="s">
        <v>1365</v>
      </c>
      <c r="G2475" s="79"/>
      <c r="H2475" s="79" t="s">
        <v>311</v>
      </c>
    </row>
    <row r="2476" spans="1:8">
      <c r="A2476" s="79" t="str">
        <f>LeaveData[[#This Row],[ EMP ID]]&amp;LeaveData[[#This Row],[Date]]</f>
        <v>20250101945996</v>
      </c>
      <c r="B2476" s="92">
        <v>202501019</v>
      </c>
      <c r="C2476" s="92" t="s">
        <v>1461</v>
      </c>
      <c r="D2476" s="101">
        <v>45996</v>
      </c>
      <c r="E2476" s="79" t="s">
        <v>184</v>
      </c>
      <c r="F2476" s="79" t="s">
        <v>1365</v>
      </c>
      <c r="G2476" s="79"/>
      <c r="H2476" s="79" t="s">
        <v>311</v>
      </c>
    </row>
    <row r="2477" spans="1:8">
      <c r="A2477" s="79" t="str">
        <f>LeaveData[[#This Row],[ EMP ID]]&amp;LeaveData[[#This Row],[Date]]</f>
        <v>20221801145979</v>
      </c>
      <c r="B2477" s="92">
        <v>202218011</v>
      </c>
      <c r="C2477" s="92" t="s">
        <v>28</v>
      </c>
      <c r="D2477" s="101">
        <v>45979</v>
      </c>
      <c r="E2477" s="79" t="s">
        <v>15</v>
      </c>
      <c r="F2477" s="79" t="s">
        <v>235</v>
      </c>
      <c r="G2477" s="79"/>
      <c r="H2477" s="79" t="s">
        <v>253</v>
      </c>
    </row>
    <row r="2478" spans="1:8">
      <c r="A2478" s="79" t="str">
        <f>LeaveData[[#This Row],[ EMP ID]]&amp;LeaveData[[#This Row],[Date]]</f>
        <v>20231802545982</v>
      </c>
      <c r="B2478" s="92">
        <v>202318025</v>
      </c>
      <c r="C2478" s="92" t="s">
        <v>122</v>
      </c>
      <c r="D2478" s="101">
        <v>45982</v>
      </c>
      <c r="E2478" s="79" t="s">
        <v>13</v>
      </c>
      <c r="F2478" s="79" t="s">
        <v>1365</v>
      </c>
      <c r="G2478" s="79"/>
      <c r="H2478" s="79" t="s">
        <v>113</v>
      </c>
    </row>
    <row r="2479" spans="1:8">
      <c r="A2479" s="79" t="str">
        <f>LeaveData[[#This Row],[ EMP ID]]&amp;LeaveData[[#This Row],[Date]]</f>
        <v>20231802545983</v>
      </c>
      <c r="B2479" s="92">
        <v>202318025</v>
      </c>
      <c r="C2479" s="92" t="s">
        <v>122</v>
      </c>
      <c r="D2479" s="101">
        <v>45983</v>
      </c>
      <c r="E2479" s="79" t="s">
        <v>13</v>
      </c>
      <c r="F2479" s="79" t="s">
        <v>1365</v>
      </c>
      <c r="G2479" s="79"/>
      <c r="H2479" s="79" t="s">
        <v>113</v>
      </c>
    </row>
    <row r="2480" spans="1:8">
      <c r="A2480" s="79" t="str">
        <f>LeaveData[[#This Row],[ EMP ID]]&amp;LeaveData[[#This Row],[Date]]</f>
        <v>20250100845985</v>
      </c>
      <c r="B2480" s="92">
        <v>202501008</v>
      </c>
      <c r="C2480" s="122" t="s">
        <v>1368</v>
      </c>
      <c r="D2480" s="101">
        <v>45985</v>
      </c>
      <c r="E2480" s="79" t="s">
        <v>13</v>
      </c>
      <c r="F2480" s="79" t="s">
        <v>235</v>
      </c>
      <c r="G2480" s="79"/>
      <c r="H2480" s="79" t="s">
        <v>1539</v>
      </c>
    </row>
    <row r="2481" spans="1:8">
      <c r="A2481" s="79" t="str">
        <f>LeaveData[[#This Row],[ EMP ID]]&amp;LeaveData[[#This Row],[Date]]</f>
        <v>20250100845986</v>
      </c>
      <c r="B2481" s="92">
        <v>202501008</v>
      </c>
      <c r="C2481" s="122" t="s">
        <v>1368</v>
      </c>
      <c r="D2481" s="101">
        <v>45986</v>
      </c>
      <c r="E2481" s="79" t="s">
        <v>13</v>
      </c>
      <c r="F2481" s="79" t="s">
        <v>235</v>
      </c>
      <c r="G2481" s="79"/>
      <c r="H2481" s="79" t="s">
        <v>1539</v>
      </c>
    </row>
    <row r="2482" spans="1:8">
      <c r="A2482" s="79" t="str">
        <f>LeaveData[[#This Row],[ EMP ID]]&amp;LeaveData[[#This Row],[Date]]</f>
        <v>20250100845987</v>
      </c>
      <c r="B2482" s="92">
        <v>202501008</v>
      </c>
      <c r="C2482" s="122" t="s">
        <v>1368</v>
      </c>
      <c r="D2482" s="101">
        <v>45987</v>
      </c>
      <c r="E2482" s="79" t="s">
        <v>13</v>
      </c>
      <c r="F2482" s="79" t="s">
        <v>235</v>
      </c>
      <c r="G2482" s="79"/>
      <c r="H2482" s="79" t="s">
        <v>1539</v>
      </c>
    </row>
    <row r="2483" spans="1:8">
      <c r="A2483" s="79" t="str">
        <f>LeaveData[[#This Row],[ EMP ID]]&amp;LeaveData[[#This Row],[Date]]</f>
        <v>20221801145980</v>
      </c>
      <c r="B2483" s="92">
        <v>202218011</v>
      </c>
      <c r="C2483" s="92" t="s">
        <v>28</v>
      </c>
      <c r="D2483" s="101">
        <v>45980</v>
      </c>
      <c r="E2483" s="79" t="s">
        <v>12</v>
      </c>
      <c r="F2483" s="79" t="s">
        <v>235</v>
      </c>
      <c r="G2483" s="79"/>
      <c r="H2483" s="79" t="s">
        <v>1540</v>
      </c>
    </row>
    <row r="2484" spans="1:8">
      <c r="A2484" s="79" t="str">
        <f>LeaveData[[#This Row],[ EMP ID]]&amp;LeaveData[[#This Row],[Date]]</f>
        <v>20221801145981</v>
      </c>
      <c r="B2484" s="92">
        <v>202218011</v>
      </c>
      <c r="C2484" s="92" t="s">
        <v>28</v>
      </c>
      <c r="D2484" s="101">
        <v>45981</v>
      </c>
      <c r="E2484" s="79" t="s">
        <v>16</v>
      </c>
      <c r="F2484" s="79" t="s">
        <v>235</v>
      </c>
      <c r="G2484" s="79"/>
      <c r="H2484" s="79" t="s">
        <v>1540</v>
      </c>
    </row>
    <row r="2485" spans="1:8">
      <c r="A2485" s="79" t="str">
        <f>LeaveData[[#This Row],[ EMP ID]]&amp;LeaveData[[#This Row],[Date]]</f>
        <v>20221801145982</v>
      </c>
      <c r="B2485" s="92">
        <v>202218011</v>
      </c>
      <c r="C2485" s="92" t="s">
        <v>28</v>
      </c>
      <c r="D2485" s="101">
        <v>45982</v>
      </c>
      <c r="E2485" s="79" t="s">
        <v>16</v>
      </c>
      <c r="F2485" s="79" t="s">
        <v>235</v>
      </c>
      <c r="G2485" s="79"/>
      <c r="H2485" s="79" t="s">
        <v>1540</v>
      </c>
    </row>
    <row r="2486" spans="1:8">
      <c r="A2486" s="79" t="str">
        <f>LeaveData[[#This Row],[ EMP ID]]&amp;LeaveData[[#This Row],[Date]]</f>
        <v>20250100645978</v>
      </c>
      <c r="B2486" s="92">
        <v>202501006</v>
      </c>
      <c r="C2486" s="92" t="s">
        <v>1330</v>
      </c>
      <c r="D2486" s="101">
        <v>45978</v>
      </c>
      <c r="E2486" s="79" t="s">
        <v>12</v>
      </c>
      <c r="F2486" s="79" t="s">
        <v>83</v>
      </c>
      <c r="G2486" s="79"/>
      <c r="H2486" s="79" t="s">
        <v>416</v>
      </c>
    </row>
    <row r="2487" spans="1:8">
      <c r="A2487" s="79" t="str">
        <f>LeaveData[[#This Row],[ EMP ID]]&amp;LeaveData[[#This Row],[Date]]</f>
        <v>20250100645979</v>
      </c>
      <c r="B2487" s="92">
        <v>202501006</v>
      </c>
      <c r="C2487" s="92" t="s">
        <v>1330</v>
      </c>
      <c r="D2487" s="101">
        <v>45979</v>
      </c>
      <c r="E2487" s="79" t="s">
        <v>12</v>
      </c>
      <c r="F2487" s="79" t="s">
        <v>83</v>
      </c>
      <c r="G2487" s="79"/>
      <c r="H2487" s="79" t="s">
        <v>416</v>
      </c>
    </row>
    <row r="2488" spans="1:8">
      <c r="A2488" s="79" t="str">
        <f>LeaveData[[#This Row],[ EMP ID]]&amp;LeaveData[[#This Row],[Date]]</f>
        <v>20182000145981</v>
      </c>
      <c r="B2488" s="92">
        <v>201820001</v>
      </c>
      <c r="C2488" s="92" t="s">
        <v>18</v>
      </c>
      <c r="D2488" s="101">
        <v>45981</v>
      </c>
      <c r="E2488" s="79" t="s">
        <v>16</v>
      </c>
      <c r="F2488" s="79" t="s">
        <v>118</v>
      </c>
      <c r="G2488" s="79"/>
      <c r="H2488" s="79" t="s">
        <v>1541</v>
      </c>
    </row>
    <row r="2489" spans="1:8">
      <c r="A2489" s="79" t="str">
        <f>LeaveData[[#This Row],[ EMP ID]]&amp;LeaveData[[#This Row],[Date]]</f>
        <v>20250101245981</v>
      </c>
      <c r="B2489" s="79">
        <v>202501012</v>
      </c>
      <c r="C2489" s="79" t="s">
        <v>1394</v>
      </c>
      <c r="D2489" s="101">
        <v>45981</v>
      </c>
      <c r="E2489" s="79" t="s">
        <v>16</v>
      </c>
      <c r="F2489" s="79" t="s">
        <v>246</v>
      </c>
      <c r="G2489" s="79"/>
      <c r="H2489" s="79" t="s">
        <v>1542</v>
      </c>
    </row>
    <row r="2490" spans="1:8">
      <c r="A2490" s="79" t="str">
        <f>LeaveData[[#This Row],[ EMP ID]]&amp;LeaveData[[#This Row],[Date]]</f>
        <v>20242100445983</v>
      </c>
      <c r="B2490" s="79" t="s">
        <v>1471</v>
      </c>
      <c r="C2490" s="79" t="s">
        <v>270</v>
      </c>
      <c r="D2490" s="101">
        <v>45983</v>
      </c>
      <c r="E2490" s="79" t="s">
        <v>16</v>
      </c>
      <c r="F2490" s="79" t="s">
        <v>29</v>
      </c>
      <c r="G2490" s="79"/>
      <c r="H2490" s="79" t="s">
        <v>168</v>
      </c>
    </row>
    <row r="2491" spans="1:8">
      <c r="A2491" s="79" t="str">
        <f>LeaveData[[#This Row],[ EMP ID]]&amp;LeaveData[[#This Row],[Date]]</f>
        <v>20182000145985</v>
      </c>
      <c r="B2491" s="92">
        <v>201820001</v>
      </c>
      <c r="C2491" s="92" t="s">
        <v>18</v>
      </c>
      <c r="D2491" s="101">
        <v>45985</v>
      </c>
      <c r="E2491" s="79" t="s">
        <v>16</v>
      </c>
      <c r="F2491" s="79" t="s">
        <v>118</v>
      </c>
      <c r="G2491" s="79"/>
      <c r="H2491" s="79" t="s">
        <v>1543</v>
      </c>
    </row>
    <row r="2492" spans="1:8">
      <c r="A2492" s="79" t="str">
        <f>LeaveData[[#This Row],[ EMP ID]]&amp;LeaveData[[#This Row],[Date]]</f>
        <v>20182000145986</v>
      </c>
      <c r="B2492" s="92">
        <v>201820001</v>
      </c>
      <c r="C2492" s="92" t="s">
        <v>18</v>
      </c>
      <c r="D2492" s="101">
        <v>45986</v>
      </c>
      <c r="E2492" s="79" t="s">
        <v>16</v>
      </c>
      <c r="F2492" s="79" t="s">
        <v>118</v>
      </c>
      <c r="G2492" s="79"/>
      <c r="H2492" s="79" t="s">
        <v>1543</v>
      </c>
    </row>
    <row r="2493" spans="1:8">
      <c r="A2493" s="79" t="str">
        <f>LeaveData[[#This Row],[ EMP ID]]&amp;LeaveData[[#This Row],[Date]]</f>
        <v>20182000145987</v>
      </c>
      <c r="B2493" s="92">
        <v>201820001</v>
      </c>
      <c r="C2493" s="92" t="s">
        <v>18</v>
      </c>
      <c r="D2493" s="101">
        <v>45987</v>
      </c>
      <c r="E2493" s="79" t="s">
        <v>12</v>
      </c>
      <c r="F2493" s="79" t="s">
        <v>118</v>
      </c>
      <c r="G2493" s="79"/>
      <c r="H2493" s="79" t="s">
        <v>1543</v>
      </c>
    </row>
    <row r="2494" spans="1:8">
      <c r="A2494" s="79" t="str">
        <f>LeaveData[[#This Row],[ EMP ID]]&amp;LeaveData[[#This Row],[Date]]</f>
        <v>20182000145988</v>
      </c>
      <c r="B2494" s="92">
        <v>201820001</v>
      </c>
      <c r="C2494" s="92" t="s">
        <v>18</v>
      </c>
      <c r="D2494" s="101">
        <v>45988</v>
      </c>
      <c r="E2494" s="79" t="s">
        <v>12</v>
      </c>
      <c r="F2494" s="79" t="s">
        <v>118</v>
      </c>
      <c r="G2494" s="79"/>
      <c r="H2494" s="79" t="s">
        <v>1543</v>
      </c>
    </row>
    <row r="2495" spans="1:8">
      <c r="A2495" s="79" t="str">
        <f>LeaveData[[#This Row],[ EMP ID]]&amp;LeaveData[[#This Row],[Date]]</f>
        <v>20182000145989</v>
      </c>
      <c r="B2495" s="92">
        <v>201820001</v>
      </c>
      <c r="C2495" s="92" t="s">
        <v>18</v>
      </c>
      <c r="D2495" s="101">
        <v>45989</v>
      </c>
      <c r="E2495" s="79" t="s">
        <v>12</v>
      </c>
      <c r="F2495" s="79" t="s">
        <v>118</v>
      </c>
      <c r="G2495" s="79"/>
      <c r="H2495" s="79" t="s">
        <v>1543</v>
      </c>
    </row>
    <row r="2496" spans="1:8">
      <c r="A2496" s="79" t="str">
        <f>LeaveData[[#This Row],[ EMP ID]]&amp;LeaveData[[#This Row],[Date]]</f>
        <v>20182000145990</v>
      </c>
      <c r="B2496" s="92">
        <v>201820001</v>
      </c>
      <c r="C2496" s="92" t="s">
        <v>18</v>
      </c>
      <c r="D2496" s="101">
        <v>45990</v>
      </c>
      <c r="E2496" s="79" t="s">
        <v>16</v>
      </c>
      <c r="F2496" s="79" t="s">
        <v>118</v>
      </c>
      <c r="G2496" s="79"/>
      <c r="H2496" s="79" t="s">
        <v>1543</v>
      </c>
    </row>
    <row r="2497" spans="1:8">
      <c r="A2497" s="79" t="str">
        <f>LeaveData[[#This Row],[ EMP ID]]&amp;LeaveData[[#This Row],[Date]]</f>
        <v>20250102045985</v>
      </c>
      <c r="B2497" s="92">
        <v>202501020</v>
      </c>
      <c r="C2497" s="92" t="s">
        <v>1468</v>
      </c>
      <c r="D2497" s="101">
        <v>45985</v>
      </c>
      <c r="E2497" s="79" t="s">
        <v>130</v>
      </c>
      <c r="F2497" s="79" t="s">
        <v>246</v>
      </c>
      <c r="G2497" s="79"/>
      <c r="H2497" s="79" t="s">
        <v>1544</v>
      </c>
    </row>
    <row r="2498" spans="1:8">
      <c r="A2498" s="79" t="str">
        <f>LeaveData[[#This Row],[ EMP ID]]&amp;LeaveData[[#This Row],[Date]]</f>
        <v>20250102045986</v>
      </c>
      <c r="B2498" s="92">
        <v>202501020</v>
      </c>
      <c r="C2498" s="92" t="s">
        <v>1468</v>
      </c>
      <c r="D2498" s="101">
        <v>45986</v>
      </c>
      <c r="E2498" s="79" t="s">
        <v>130</v>
      </c>
      <c r="F2498" s="79" t="s">
        <v>246</v>
      </c>
      <c r="G2498" s="79"/>
      <c r="H2498" s="79" t="s">
        <v>1544</v>
      </c>
    </row>
    <row r="2499" spans="1:8">
      <c r="A2499" s="79" t="str">
        <f>LeaveData[[#This Row],[ EMP ID]]&amp;LeaveData[[#This Row],[Date]]</f>
        <v>20250102045987</v>
      </c>
      <c r="B2499" s="92">
        <v>202501020</v>
      </c>
      <c r="C2499" s="92" t="s">
        <v>1468</v>
      </c>
      <c r="D2499" s="101">
        <v>45987</v>
      </c>
      <c r="E2499" s="79" t="s">
        <v>130</v>
      </c>
      <c r="F2499" s="79" t="s">
        <v>246</v>
      </c>
      <c r="G2499" s="79"/>
      <c r="H2499" s="79" t="s">
        <v>1544</v>
      </c>
    </row>
    <row r="2500" spans="1:8">
      <c r="A2500" s="79" t="str">
        <f>LeaveData[[#This Row],[ EMP ID]]&amp;LeaveData[[#This Row],[Date]]</f>
        <v>20250102045988</v>
      </c>
      <c r="B2500" s="92">
        <v>202501020</v>
      </c>
      <c r="C2500" s="92" t="s">
        <v>1468</v>
      </c>
      <c r="D2500" s="101">
        <v>45988</v>
      </c>
      <c r="E2500" s="79" t="s">
        <v>130</v>
      </c>
      <c r="F2500" s="79" t="s">
        <v>246</v>
      </c>
      <c r="G2500" s="79"/>
      <c r="H2500" s="79" t="s">
        <v>1544</v>
      </c>
    </row>
    <row r="2501" spans="1:8">
      <c r="A2501" s="79" t="str">
        <f>LeaveData[[#This Row],[ EMP ID]]&amp;LeaveData[[#This Row],[Date]]</f>
        <v>20250102045989</v>
      </c>
      <c r="B2501" s="92">
        <v>202501020</v>
      </c>
      <c r="C2501" s="92" t="s">
        <v>1468</v>
      </c>
      <c r="D2501" s="101">
        <v>45989</v>
      </c>
      <c r="E2501" s="79" t="s">
        <v>130</v>
      </c>
      <c r="F2501" s="79" t="s">
        <v>246</v>
      </c>
      <c r="G2501" s="79"/>
      <c r="H2501" s="79" t="s">
        <v>1544</v>
      </c>
    </row>
    <row r="2502" spans="1:8">
      <c r="A2502" s="79" t="str">
        <f>LeaveData[[#This Row],[ EMP ID]]&amp;LeaveData[[#This Row],[Date]]</f>
        <v>20250102045990</v>
      </c>
      <c r="B2502" s="92">
        <v>202501020</v>
      </c>
      <c r="C2502" s="92" t="s">
        <v>1468</v>
      </c>
      <c r="D2502" s="101">
        <v>45990</v>
      </c>
      <c r="E2502" s="79" t="s">
        <v>130</v>
      </c>
      <c r="F2502" s="79" t="s">
        <v>246</v>
      </c>
      <c r="G2502" s="79"/>
      <c r="H2502" s="79" t="s">
        <v>1544</v>
      </c>
    </row>
    <row r="2503" spans="1:8">
      <c r="A2503" s="79" t="str">
        <f>LeaveData[[#This Row],[ EMP ID]]&amp;LeaveData[[#This Row],[Date]]</f>
        <v>20250100645987</v>
      </c>
      <c r="B2503" s="92">
        <v>202501006</v>
      </c>
      <c r="C2503" s="92" t="s">
        <v>1330</v>
      </c>
      <c r="D2503" s="101">
        <v>45987</v>
      </c>
      <c r="E2503" s="79" t="s">
        <v>12</v>
      </c>
      <c r="F2503" s="79" t="s">
        <v>83</v>
      </c>
      <c r="G2503" s="79"/>
      <c r="H2503" s="79" t="s">
        <v>416</v>
      </c>
    </row>
    <row r="2504" spans="1:8">
      <c r="A2504" s="79" t="str">
        <f>LeaveData[[#This Row],[ EMP ID]]&amp;LeaveData[[#This Row],[Date]]</f>
        <v>20231802245988</v>
      </c>
      <c r="B2504" s="79">
        <v>202318022</v>
      </c>
      <c r="C2504" s="79" t="s">
        <v>45</v>
      </c>
      <c r="D2504" s="101">
        <v>45988</v>
      </c>
      <c r="E2504" s="79" t="s">
        <v>12</v>
      </c>
      <c r="F2504" s="79" t="s">
        <v>1365</v>
      </c>
      <c r="G2504" s="79"/>
      <c r="H2504" s="79" t="s">
        <v>416</v>
      </c>
    </row>
    <row r="2505" spans="1:8">
      <c r="A2505" s="79" t="str">
        <f>LeaveData[[#This Row],[ EMP ID]]&amp;LeaveData[[#This Row],[Date]]</f>
        <v>20250100845988</v>
      </c>
      <c r="B2505" s="92">
        <v>202501008</v>
      </c>
      <c r="C2505" s="122" t="s">
        <v>1368</v>
      </c>
      <c r="D2505" s="101">
        <v>45988</v>
      </c>
      <c r="E2505" s="79" t="s">
        <v>16</v>
      </c>
      <c r="F2505" s="79" t="s">
        <v>235</v>
      </c>
      <c r="G2505" s="79"/>
      <c r="H2505" s="79" t="s">
        <v>1545</v>
      </c>
    </row>
    <row r="2506" spans="1:8">
      <c r="A2506" s="79" t="str">
        <f>LeaveData[[#This Row],[ EMP ID]]&amp;LeaveData[[#This Row],[Date]]</f>
        <v>20250100845989</v>
      </c>
      <c r="B2506" s="92">
        <v>202501008</v>
      </c>
      <c r="C2506" s="122" t="s">
        <v>1368</v>
      </c>
      <c r="D2506" s="101">
        <v>45989</v>
      </c>
      <c r="E2506" s="79" t="s">
        <v>16</v>
      </c>
      <c r="F2506" s="79" t="s">
        <v>235</v>
      </c>
      <c r="G2506" s="79"/>
      <c r="H2506" s="79" t="s">
        <v>1545</v>
      </c>
    </row>
    <row r="2507" spans="1:8">
      <c r="A2507" s="79" t="str">
        <f>LeaveData[[#This Row],[ EMP ID]]&amp;LeaveData[[#This Row],[Date]]</f>
        <v>20250100845990</v>
      </c>
      <c r="B2507" s="92">
        <v>202501008</v>
      </c>
      <c r="C2507" s="122" t="s">
        <v>1368</v>
      </c>
      <c r="D2507" s="101">
        <v>45990</v>
      </c>
      <c r="E2507" s="79" t="s">
        <v>16</v>
      </c>
      <c r="F2507" s="79" t="s">
        <v>235</v>
      </c>
      <c r="G2507" s="79"/>
      <c r="H2507" s="79" t="s">
        <v>1545</v>
      </c>
    </row>
    <row r="2508" spans="1:8">
      <c r="A2508" s="79" t="str">
        <f>LeaveData[[#This Row],[ EMP ID]]&amp;LeaveData[[#This Row],[Date]]</f>
        <v>20221801145988</v>
      </c>
      <c r="B2508" s="92">
        <v>202218011</v>
      </c>
      <c r="C2508" s="92" t="s">
        <v>28</v>
      </c>
      <c r="D2508" s="101">
        <v>45988</v>
      </c>
      <c r="E2508" s="79" t="s">
        <v>13</v>
      </c>
      <c r="F2508" s="79" t="s">
        <v>235</v>
      </c>
      <c r="G2508" s="79"/>
      <c r="H2508" s="79" t="s">
        <v>168</v>
      </c>
    </row>
    <row r="2509" spans="1:8">
      <c r="A2509" s="79" t="str">
        <f>LeaveData[[#This Row],[ EMP ID]]&amp;LeaveData[[#This Row],[Date]]</f>
        <v>20251804845989</v>
      </c>
      <c r="B2509" s="92">
        <v>202518048</v>
      </c>
      <c r="C2509" s="92" t="s">
        <v>1488</v>
      </c>
      <c r="D2509" s="101">
        <v>45989</v>
      </c>
      <c r="E2509" s="79" t="s">
        <v>12</v>
      </c>
      <c r="F2509" s="79" t="s">
        <v>246</v>
      </c>
      <c r="G2509" s="79"/>
      <c r="H2509" s="79" t="s">
        <v>416</v>
      </c>
    </row>
    <row r="2510" spans="1:8">
      <c r="A2510" s="79" t="str">
        <f>LeaveData[[#This Row],[ EMP ID]]&amp;LeaveData[[#This Row],[Date]]</f>
        <v>20211800745976</v>
      </c>
      <c r="B2510" s="79">
        <v>202118007</v>
      </c>
      <c r="C2510" s="79" t="s">
        <v>103</v>
      </c>
      <c r="D2510" s="101">
        <v>45976</v>
      </c>
      <c r="E2510" s="79" t="s">
        <v>16</v>
      </c>
      <c r="F2510" s="79" t="s">
        <v>114</v>
      </c>
      <c r="G2510" s="79"/>
      <c r="H2510" s="79" t="s">
        <v>416</v>
      </c>
    </row>
    <row r="2511" spans="1:8">
      <c r="A2511" s="79" t="str">
        <f>LeaveData[[#This Row],[ EMP ID]]&amp;LeaveData[[#This Row],[Date]]</f>
        <v>20211800745978</v>
      </c>
      <c r="B2511" s="79">
        <v>202118007</v>
      </c>
      <c r="C2511" s="79" t="s">
        <v>103</v>
      </c>
      <c r="D2511" s="101">
        <v>45978</v>
      </c>
      <c r="E2511" s="79" t="s">
        <v>12</v>
      </c>
      <c r="F2511" s="79" t="s">
        <v>114</v>
      </c>
      <c r="G2511" s="79"/>
      <c r="H2511" s="79" t="s">
        <v>416</v>
      </c>
    </row>
    <row r="2512" spans="1:8">
      <c r="A2512" s="79" t="str">
        <f>LeaveData[[#This Row],[ EMP ID]]&amp;LeaveData[[#This Row],[Date]]</f>
        <v>20211800745979</v>
      </c>
      <c r="B2512" s="79">
        <v>202118007</v>
      </c>
      <c r="C2512" s="79" t="s">
        <v>103</v>
      </c>
      <c r="D2512" s="101">
        <v>45979</v>
      </c>
      <c r="E2512" s="79" t="s">
        <v>16</v>
      </c>
      <c r="F2512" s="79" t="s">
        <v>114</v>
      </c>
      <c r="G2512" s="79"/>
      <c r="H2512" s="79" t="s">
        <v>416</v>
      </c>
    </row>
    <row r="2513" spans="1:8">
      <c r="A2513" s="79" t="str">
        <f>LeaveData[[#This Row],[ EMP ID]]&amp;LeaveData[[#This Row],[Date]]</f>
        <v>20232000745992</v>
      </c>
      <c r="B2513" s="92">
        <v>202320007</v>
      </c>
      <c r="C2513" s="92" t="s">
        <v>183</v>
      </c>
      <c r="D2513" s="101">
        <v>45992</v>
      </c>
      <c r="E2513" s="79" t="s">
        <v>16</v>
      </c>
      <c r="F2513" s="79" t="s">
        <v>104</v>
      </c>
      <c r="G2513" s="79"/>
      <c r="H2513" s="79" t="s">
        <v>1546</v>
      </c>
    </row>
    <row r="2514" spans="1:8">
      <c r="A2514" s="79" t="str">
        <f>LeaveData[[#This Row],[ EMP ID]]&amp;LeaveData[[#This Row],[Date]]</f>
        <v>20232000745993</v>
      </c>
      <c r="B2514" s="92">
        <v>202320007</v>
      </c>
      <c r="C2514" s="92" t="s">
        <v>183</v>
      </c>
      <c r="D2514" s="101">
        <v>45993</v>
      </c>
      <c r="E2514" s="79" t="s">
        <v>13</v>
      </c>
      <c r="F2514" s="79" t="s">
        <v>104</v>
      </c>
      <c r="G2514" s="79"/>
      <c r="H2514" s="79" t="s">
        <v>116</v>
      </c>
    </row>
    <row r="2515" spans="1:8">
      <c r="A2515" s="79" t="str">
        <f>LeaveData[[#This Row],[ EMP ID]]&amp;LeaveData[[#This Row],[Date]]</f>
        <v>20231802646006</v>
      </c>
      <c r="B2515" s="92">
        <v>202318026</v>
      </c>
      <c r="C2515" s="92" t="s">
        <v>53</v>
      </c>
      <c r="D2515" s="101">
        <v>46006</v>
      </c>
      <c r="E2515" s="79" t="s">
        <v>13</v>
      </c>
      <c r="F2515" s="79" t="s">
        <v>104</v>
      </c>
      <c r="G2515" s="79"/>
      <c r="H2515" s="79" t="s">
        <v>311</v>
      </c>
    </row>
    <row r="2516" spans="1:8">
      <c r="A2516" s="79" t="str">
        <f>LeaveData[[#This Row],[ EMP ID]]&amp;LeaveData[[#This Row],[Date]]</f>
        <v>20231802646007</v>
      </c>
      <c r="B2516" s="92">
        <v>202318026</v>
      </c>
      <c r="C2516" s="92" t="s">
        <v>53</v>
      </c>
      <c r="D2516" s="101">
        <v>46007</v>
      </c>
      <c r="E2516" s="79" t="s">
        <v>13</v>
      </c>
      <c r="F2516" s="79" t="s">
        <v>104</v>
      </c>
      <c r="G2516" s="79"/>
      <c r="H2516" s="79" t="s">
        <v>311</v>
      </c>
    </row>
    <row r="2517" spans="1:8">
      <c r="A2517" s="79" t="str">
        <f>LeaveData[[#This Row],[ EMP ID]]&amp;LeaveData[[#This Row],[Date]]</f>
        <v>20231802646008</v>
      </c>
      <c r="B2517" s="92">
        <v>202318026</v>
      </c>
      <c r="C2517" s="92" t="s">
        <v>53</v>
      </c>
      <c r="D2517" s="101">
        <v>46008</v>
      </c>
      <c r="E2517" s="79" t="s">
        <v>13</v>
      </c>
      <c r="F2517" s="79" t="s">
        <v>104</v>
      </c>
      <c r="G2517" s="79"/>
      <c r="H2517" s="79" t="s">
        <v>311</v>
      </c>
    </row>
    <row r="2518" spans="1:8">
      <c r="A2518" s="79" t="str">
        <f>LeaveData[[#This Row],[ EMP ID]]&amp;LeaveData[[#This Row],[Date]]</f>
        <v>20231802646009</v>
      </c>
      <c r="B2518" s="92">
        <v>202318026</v>
      </c>
      <c r="C2518" s="92" t="s">
        <v>53</v>
      </c>
      <c r="D2518" s="101">
        <v>46009</v>
      </c>
      <c r="E2518" s="79" t="s">
        <v>13</v>
      </c>
      <c r="F2518" s="79" t="s">
        <v>104</v>
      </c>
      <c r="G2518" s="79"/>
      <c r="H2518" s="79" t="s">
        <v>311</v>
      </c>
    </row>
    <row r="2519" spans="1:8">
      <c r="A2519" s="79" t="str">
        <f>LeaveData[[#This Row],[ EMP ID]]&amp;LeaveData[[#This Row],[Date]]</f>
        <v>20231802646010</v>
      </c>
      <c r="B2519" s="92">
        <v>202318026</v>
      </c>
      <c r="C2519" s="92" t="s">
        <v>53</v>
      </c>
      <c r="D2519" s="101">
        <v>46010</v>
      </c>
      <c r="E2519" s="79" t="s">
        <v>13</v>
      </c>
      <c r="F2519" s="79" t="s">
        <v>104</v>
      </c>
      <c r="G2519" s="79"/>
      <c r="H2519" s="79" t="s">
        <v>311</v>
      </c>
    </row>
    <row r="2520" spans="1:8">
      <c r="A2520" s="79" t="str">
        <f>LeaveData[[#This Row],[ EMP ID]]&amp;LeaveData[[#This Row],[Date]]</f>
        <v>20231802646011</v>
      </c>
      <c r="B2520" s="92">
        <v>202318026</v>
      </c>
      <c r="C2520" s="92" t="s">
        <v>53</v>
      </c>
      <c r="D2520" s="101">
        <v>46011</v>
      </c>
      <c r="E2520" s="79" t="s">
        <v>13</v>
      </c>
      <c r="F2520" s="79" t="s">
        <v>104</v>
      </c>
      <c r="G2520" s="79"/>
      <c r="H2520" s="79" t="s">
        <v>311</v>
      </c>
    </row>
    <row r="2521" spans="1:8">
      <c r="A2521" s="79" t="str">
        <f>LeaveData[[#This Row],[ EMP ID]]&amp;LeaveData[[#This Row],[Date]]</f>
        <v>20250100845982</v>
      </c>
      <c r="B2521" s="92">
        <v>202501008</v>
      </c>
      <c r="C2521" s="122" t="s">
        <v>1368</v>
      </c>
      <c r="D2521" s="101">
        <v>45982</v>
      </c>
      <c r="E2521" s="79" t="s">
        <v>14</v>
      </c>
      <c r="F2521" s="79" t="s">
        <v>235</v>
      </c>
      <c r="G2521" s="79"/>
      <c r="H2521" s="79" t="s">
        <v>1547</v>
      </c>
    </row>
    <row r="2522" spans="1:8">
      <c r="A2522" s="79" t="str">
        <f>LeaveData[[#This Row],[ EMP ID]]&amp;LeaveData[[#This Row],[Date]]</f>
        <v>20231802846020</v>
      </c>
      <c r="B2522" s="92">
        <v>202318028</v>
      </c>
      <c r="C2522" s="92" t="s">
        <v>57</v>
      </c>
      <c r="D2522" s="101">
        <v>46020</v>
      </c>
      <c r="E2522" s="79" t="s">
        <v>1433</v>
      </c>
      <c r="F2522" s="79" t="s">
        <v>104</v>
      </c>
      <c r="G2522" s="79"/>
      <c r="H2522" s="92" t="s">
        <v>1548</v>
      </c>
    </row>
    <row r="2523" spans="1:8">
      <c r="A2523" s="79" t="str">
        <f>LeaveData[[#This Row],[ EMP ID]]&amp;LeaveData[[#This Row],[Date]]</f>
        <v>20231802846021</v>
      </c>
      <c r="B2523" s="92">
        <v>202318028</v>
      </c>
      <c r="C2523" s="92" t="s">
        <v>57</v>
      </c>
      <c r="D2523" s="101">
        <v>46021</v>
      </c>
      <c r="E2523" s="79" t="s">
        <v>1433</v>
      </c>
      <c r="F2523" s="79" t="s">
        <v>104</v>
      </c>
      <c r="G2523" s="79"/>
      <c r="H2523" s="92" t="s">
        <v>1548</v>
      </c>
    </row>
    <row r="2524" spans="1:8">
      <c r="A2524" s="79" t="str">
        <f>LeaveData[[#This Row],[ EMP ID]]&amp;LeaveData[[#This Row],[Date]]</f>
        <v>20231802846022</v>
      </c>
      <c r="B2524" s="92">
        <v>202318028</v>
      </c>
      <c r="C2524" s="92" t="s">
        <v>57</v>
      </c>
      <c r="D2524" s="101">
        <v>46022</v>
      </c>
      <c r="E2524" s="79" t="s">
        <v>1433</v>
      </c>
      <c r="F2524" s="79" t="s">
        <v>104</v>
      </c>
      <c r="G2524" s="79"/>
      <c r="H2524" s="92" t="s">
        <v>1548</v>
      </c>
    </row>
    <row r="2525" spans="1:8">
      <c r="A2525" s="79" t="str">
        <f>LeaveData[[#This Row],[ EMP ID]]&amp;LeaveData[[#This Row],[Date]]</f>
        <v>20231802846023</v>
      </c>
      <c r="B2525" s="92">
        <v>202318028</v>
      </c>
      <c r="C2525" s="92" t="s">
        <v>57</v>
      </c>
      <c r="D2525" s="101">
        <v>46023</v>
      </c>
      <c r="E2525" s="79" t="s">
        <v>1433</v>
      </c>
      <c r="F2525" s="79" t="s">
        <v>104</v>
      </c>
      <c r="G2525" s="79"/>
      <c r="H2525" s="92" t="s">
        <v>1548</v>
      </c>
    </row>
    <row r="2526" spans="1:8">
      <c r="A2526" s="79" t="str">
        <f>LeaveData[[#This Row],[ EMP ID]]&amp;LeaveData[[#This Row],[Date]]</f>
        <v>20231802846024</v>
      </c>
      <c r="B2526" s="92">
        <v>202318028</v>
      </c>
      <c r="C2526" s="92" t="s">
        <v>57</v>
      </c>
      <c r="D2526" s="101">
        <v>46024</v>
      </c>
      <c r="E2526" s="79" t="s">
        <v>1433</v>
      </c>
      <c r="F2526" s="79" t="s">
        <v>104</v>
      </c>
      <c r="G2526" s="79"/>
      <c r="H2526" s="92" t="s">
        <v>1548</v>
      </c>
    </row>
    <row r="2527" spans="1:8">
      <c r="A2527" s="79" t="str">
        <f>LeaveData[[#This Row],[ EMP ID]]&amp;LeaveData[[#This Row],[Date]]</f>
        <v>20231802846025</v>
      </c>
      <c r="B2527" s="92">
        <v>202318028</v>
      </c>
      <c r="C2527" s="92" t="s">
        <v>57</v>
      </c>
      <c r="D2527" s="101">
        <v>46025</v>
      </c>
      <c r="E2527" s="79" t="s">
        <v>1433</v>
      </c>
      <c r="F2527" s="79" t="s">
        <v>104</v>
      </c>
      <c r="G2527" s="79"/>
      <c r="H2527" s="92" t="s">
        <v>1548</v>
      </c>
    </row>
    <row r="2528" spans="1:8">
      <c r="A2528" s="79" t="str">
        <f>LeaveData[[#This Row],[ EMP ID]]&amp;LeaveData[[#This Row],[Date]]</f>
        <v>20231802846027</v>
      </c>
      <c r="B2528" s="92">
        <v>202318028</v>
      </c>
      <c r="C2528" s="92" t="s">
        <v>57</v>
      </c>
      <c r="D2528" s="101">
        <v>46027</v>
      </c>
      <c r="E2528" s="79" t="s">
        <v>13</v>
      </c>
      <c r="F2528" s="79" t="s">
        <v>104</v>
      </c>
      <c r="G2528" s="79"/>
      <c r="H2528" s="92" t="s">
        <v>1548</v>
      </c>
    </row>
    <row r="2529" spans="1:8">
      <c r="A2529" s="79" t="str">
        <f>LeaveData[[#This Row],[ EMP ID]]&amp;LeaveData[[#This Row],[Date]]</f>
        <v>20231802846028</v>
      </c>
      <c r="B2529" s="92">
        <v>202318028</v>
      </c>
      <c r="C2529" s="92" t="s">
        <v>57</v>
      </c>
      <c r="D2529" s="101">
        <v>46028</v>
      </c>
      <c r="E2529" s="79" t="s">
        <v>13</v>
      </c>
      <c r="F2529" s="79" t="s">
        <v>104</v>
      </c>
      <c r="G2529" s="79"/>
      <c r="H2529" s="92" t="s">
        <v>1548</v>
      </c>
    </row>
    <row r="2530" spans="1:8">
      <c r="A2530" s="79" t="str">
        <f>LeaveData[[#This Row],[ EMP ID]]&amp;LeaveData[[#This Row],[Date]]</f>
        <v>20231802846029</v>
      </c>
      <c r="B2530" s="92">
        <v>202318028</v>
      </c>
      <c r="C2530" s="92" t="s">
        <v>57</v>
      </c>
      <c r="D2530" s="101">
        <v>46029</v>
      </c>
      <c r="E2530" s="79" t="s">
        <v>13</v>
      </c>
      <c r="F2530" s="79" t="s">
        <v>104</v>
      </c>
      <c r="G2530" s="79"/>
      <c r="H2530" s="92" t="s">
        <v>1548</v>
      </c>
    </row>
    <row r="2531" spans="1:8">
      <c r="A2531" s="79" t="str">
        <f>LeaveData[[#This Row],[ EMP ID]]&amp;LeaveData[[#This Row],[Date]]</f>
        <v>20231802846030</v>
      </c>
      <c r="B2531" s="92">
        <v>202318028</v>
      </c>
      <c r="C2531" s="92" t="s">
        <v>57</v>
      </c>
      <c r="D2531" s="101">
        <v>46030</v>
      </c>
      <c r="E2531" s="79" t="s">
        <v>13</v>
      </c>
      <c r="F2531" s="79" t="s">
        <v>104</v>
      </c>
      <c r="G2531" s="79"/>
      <c r="H2531" s="92" t="s">
        <v>1548</v>
      </c>
    </row>
    <row r="2532" spans="1:8">
      <c r="A2532" s="79" t="str">
        <f>LeaveData[[#This Row],[ EMP ID]]&amp;LeaveData[[#This Row],[Date]]</f>
        <v>20231802846031</v>
      </c>
      <c r="B2532" s="92">
        <v>202318028</v>
      </c>
      <c r="C2532" s="92" t="s">
        <v>57</v>
      </c>
      <c r="D2532" s="101">
        <v>46031</v>
      </c>
      <c r="E2532" s="79" t="s">
        <v>13</v>
      </c>
      <c r="F2532" s="79" t="s">
        <v>104</v>
      </c>
      <c r="G2532" s="79"/>
      <c r="H2532" s="92" t="s">
        <v>1548</v>
      </c>
    </row>
    <row r="2533" spans="1:8">
      <c r="A2533" s="79" t="str">
        <f>LeaveData[[#This Row],[ EMP ID]]&amp;LeaveData[[#This Row],[Date]]</f>
        <v>20231802846032</v>
      </c>
      <c r="B2533" s="92">
        <v>202318028</v>
      </c>
      <c r="C2533" s="92" t="s">
        <v>57</v>
      </c>
      <c r="D2533" s="101">
        <v>46032</v>
      </c>
      <c r="E2533" s="79" t="s">
        <v>13</v>
      </c>
      <c r="F2533" s="79" t="s">
        <v>104</v>
      </c>
      <c r="G2533" s="79"/>
      <c r="H2533" s="92" t="s">
        <v>1548</v>
      </c>
    </row>
    <row r="2534" spans="1:8">
      <c r="A2534" s="79" t="str">
        <f>LeaveData[[#This Row],[ EMP ID]]&amp;LeaveData[[#This Row],[Date]]</f>
        <v>20231802846034</v>
      </c>
      <c r="B2534" s="92">
        <v>202318028</v>
      </c>
      <c r="C2534" s="92" t="s">
        <v>57</v>
      </c>
      <c r="D2534" s="101">
        <v>46034</v>
      </c>
      <c r="E2534" s="79" t="s">
        <v>13</v>
      </c>
      <c r="F2534" s="79" t="s">
        <v>104</v>
      </c>
      <c r="G2534" s="79"/>
      <c r="H2534" s="92" t="s">
        <v>1548</v>
      </c>
    </row>
    <row r="2535" spans="1:8">
      <c r="A2535" s="79" t="str">
        <f>LeaveData[[#This Row],[ EMP ID]]&amp;LeaveData[[#This Row],[Date]]</f>
        <v>20231802846035</v>
      </c>
      <c r="B2535" s="92">
        <v>202318028</v>
      </c>
      <c r="C2535" s="92" t="s">
        <v>57</v>
      </c>
      <c r="D2535" s="101">
        <v>46035</v>
      </c>
      <c r="E2535" s="79" t="s">
        <v>13</v>
      </c>
      <c r="F2535" s="79" t="s">
        <v>104</v>
      </c>
      <c r="G2535" s="79"/>
      <c r="H2535" s="92" t="s">
        <v>1548</v>
      </c>
    </row>
    <row r="2536" spans="1:8">
      <c r="A2536" s="79" t="str">
        <f>LeaveData[[#This Row],[ EMP ID]]&amp;LeaveData[[#This Row],[Date]]</f>
        <v>20241803546037</v>
      </c>
      <c r="B2536" s="92">
        <v>202418035</v>
      </c>
      <c r="C2536" s="92" t="s">
        <v>96</v>
      </c>
      <c r="D2536" s="101">
        <v>46037</v>
      </c>
      <c r="E2536" s="79" t="s">
        <v>13</v>
      </c>
      <c r="F2536" s="79" t="s">
        <v>118</v>
      </c>
      <c r="G2536" s="79"/>
      <c r="H2536" s="79" t="s">
        <v>1549</v>
      </c>
    </row>
    <row r="2537" spans="1:8">
      <c r="A2537" s="79" t="str">
        <f>LeaveData[[#This Row],[ EMP ID]]&amp;LeaveData[[#This Row],[Date]]</f>
        <v>20241803546038</v>
      </c>
      <c r="B2537" s="92">
        <v>202418035</v>
      </c>
      <c r="C2537" s="92" t="s">
        <v>96</v>
      </c>
      <c r="D2537" s="101">
        <v>46038</v>
      </c>
      <c r="E2537" s="79" t="s">
        <v>13</v>
      </c>
      <c r="F2537" s="79" t="s">
        <v>118</v>
      </c>
      <c r="G2537" s="79"/>
      <c r="H2537" s="79" t="s">
        <v>1549</v>
      </c>
    </row>
    <row r="2538" spans="1:8">
      <c r="A2538" s="79" t="str">
        <f>LeaveData[[#This Row],[ EMP ID]]&amp;LeaveData[[#This Row],[Date]]</f>
        <v>20241803546039</v>
      </c>
      <c r="B2538" s="92">
        <v>202418035</v>
      </c>
      <c r="C2538" s="92" t="s">
        <v>96</v>
      </c>
      <c r="D2538" s="101">
        <v>46039</v>
      </c>
      <c r="E2538" s="79" t="s">
        <v>13</v>
      </c>
      <c r="F2538" s="79" t="s">
        <v>118</v>
      </c>
      <c r="G2538" s="79"/>
      <c r="H2538" s="79" t="s">
        <v>1549</v>
      </c>
    </row>
    <row r="2539" spans="1:8">
      <c r="A2539" s="79" t="str">
        <f>LeaveData[[#This Row],[ EMP ID]]&amp;LeaveData[[#This Row],[Date]]</f>
        <v>20241803546041</v>
      </c>
      <c r="B2539" s="92">
        <v>202418035</v>
      </c>
      <c r="C2539" s="92" t="s">
        <v>96</v>
      </c>
      <c r="D2539" s="101">
        <v>46041</v>
      </c>
      <c r="E2539" s="79" t="s">
        <v>13</v>
      </c>
      <c r="F2539" s="79" t="s">
        <v>118</v>
      </c>
      <c r="G2539" s="79"/>
      <c r="H2539" s="79" t="s">
        <v>1549</v>
      </c>
    </row>
    <row r="2540" spans="1:8">
      <c r="A2540" s="79" t="str">
        <f>LeaveData[[#This Row],[ EMP ID]]&amp;LeaveData[[#This Row],[Date]]</f>
        <v>20241803546042</v>
      </c>
      <c r="B2540" s="92">
        <v>202418035</v>
      </c>
      <c r="C2540" s="92" t="s">
        <v>96</v>
      </c>
      <c r="D2540" s="101">
        <v>46042</v>
      </c>
      <c r="E2540" s="79" t="s">
        <v>13</v>
      </c>
      <c r="F2540" s="79" t="s">
        <v>118</v>
      </c>
      <c r="G2540" s="79"/>
      <c r="H2540" s="79" t="s">
        <v>1549</v>
      </c>
    </row>
    <row r="2541" spans="1:8">
      <c r="A2541" s="79" t="str">
        <f>LeaveData[[#This Row],[ EMP ID]]&amp;LeaveData[[#This Row],[Date]]</f>
        <v>20241803546043</v>
      </c>
      <c r="B2541" s="92">
        <v>202418035</v>
      </c>
      <c r="C2541" s="92" t="s">
        <v>96</v>
      </c>
      <c r="D2541" s="101">
        <v>46043</v>
      </c>
      <c r="E2541" s="79" t="s">
        <v>13</v>
      </c>
      <c r="F2541" s="79" t="s">
        <v>118</v>
      </c>
      <c r="G2541" s="79"/>
      <c r="H2541" s="79" t="s">
        <v>1549</v>
      </c>
    </row>
    <row r="2542" spans="1:8">
      <c r="A2542" s="79" t="str">
        <f>LeaveData[[#This Row],[ EMP ID]]&amp;LeaveData[[#This Row],[Date]]</f>
        <v>20241803546044</v>
      </c>
      <c r="B2542" s="92">
        <v>202418035</v>
      </c>
      <c r="C2542" s="92" t="s">
        <v>96</v>
      </c>
      <c r="D2542" s="101">
        <v>46044</v>
      </c>
      <c r="E2542" s="79" t="s">
        <v>13</v>
      </c>
      <c r="F2542" s="79" t="s">
        <v>118</v>
      </c>
      <c r="G2542" s="79"/>
      <c r="H2542" s="79" t="s">
        <v>1549</v>
      </c>
    </row>
    <row r="2543" spans="1:8">
      <c r="A2543" s="79" t="str">
        <f>LeaveData[[#This Row],[ EMP ID]]&amp;LeaveData[[#This Row],[Date]]</f>
        <v>20241803546045</v>
      </c>
      <c r="B2543" s="92">
        <v>202418035</v>
      </c>
      <c r="C2543" s="92" t="s">
        <v>96</v>
      </c>
      <c r="D2543" s="101">
        <v>46045</v>
      </c>
      <c r="E2543" s="79" t="s">
        <v>13</v>
      </c>
      <c r="F2543" s="79" t="s">
        <v>118</v>
      </c>
      <c r="G2543" s="79"/>
      <c r="H2543" s="79" t="s">
        <v>1549</v>
      </c>
    </row>
    <row r="2544" spans="1:8">
      <c r="A2544" s="79" t="str">
        <f>LeaveData[[#This Row],[ EMP ID]]&amp;LeaveData[[#This Row],[Date]]</f>
        <v>20241803546046</v>
      </c>
      <c r="B2544" s="92">
        <v>202418035</v>
      </c>
      <c r="C2544" s="92" t="s">
        <v>96</v>
      </c>
      <c r="D2544" s="101">
        <v>46046</v>
      </c>
      <c r="E2544" s="79" t="s">
        <v>13</v>
      </c>
      <c r="F2544" s="79" t="s">
        <v>118</v>
      </c>
      <c r="G2544" s="79"/>
      <c r="H2544" s="79" t="s">
        <v>1549</v>
      </c>
    </row>
    <row r="2545" spans="1:8">
      <c r="A2545" s="79" t="str">
        <f>LeaveData[[#This Row],[ EMP ID]]&amp;LeaveData[[#This Row],[Date]]</f>
        <v>20241803546048</v>
      </c>
      <c r="B2545" s="92">
        <v>202418035</v>
      </c>
      <c r="C2545" s="92" t="s">
        <v>96</v>
      </c>
      <c r="D2545" s="101">
        <v>46048</v>
      </c>
      <c r="E2545" s="79" t="s">
        <v>13</v>
      </c>
      <c r="F2545" s="79" t="s">
        <v>118</v>
      </c>
      <c r="G2545" s="79"/>
      <c r="H2545" s="79" t="s">
        <v>1549</v>
      </c>
    </row>
    <row r="2546" spans="1:8">
      <c r="A2546" s="79" t="str">
        <f>LeaveData[[#This Row],[ EMP ID]]&amp;LeaveData[[#This Row],[Date]]</f>
        <v>20241803546049</v>
      </c>
      <c r="B2546" s="92">
        <v>202418035</v>
      </c>
      <c r="C2546" s="92" t="s">
        <v>96</v>
      </c>
      <c r="D2546" s="101">
        <v>46049</v>
      </c>
      <c r="E2546" s="79" t="s">
        <v>13</v>
      </c>
      <c r="F2546" s="79" t="s">
        <v>118</v>
      </c>
      <c r="G2546" s="79"/>
      <c r="H2546" s="79" t="s">
        <v>1549</v>
      </c>
    </row>
    <row r="2547" spans="1:8">
      <c r="A2547" s="79" t="str">
        <f>LeaveData[[#This Row],[ EMP ID]]&amp;LeaveData[[#This Row],[Date]]</f>
        <v>20241803546050</v>
      </c>
      <c r="B2547" s="92">
        <v>202418035</v>
      </c>
      <c r="C2547" s="92" t="s">
        <v>96</v>
      </c>
      <c r="D2547" s="101">
        <v>46050</v>
      </c>
      <c r="E2547" s="79" t="s">
        <v>13</v>
      </c>
      <c r="F2547" s="79" t="s">
        <v>118</v>
      </c>
      <c r="G2547" s="79"/>
      <c r="H2547" s="79" t="s">
        <v>1549</v>
      </c>
    </row>
    <row r="2548" spans="1:8">
      <c r="A2548" s="79" t="str">
        <f>LeaveData[[#This Row],[ EMP ID]]&amp;LeaveData[[#This Row],[Date]]</f>
        <v>20241803546051</v>
      </c>
      <c r="B2548" s="92">
        <v>202418035</v>
      </c>
      <c r="C2548" s="92" t="s">
        <v>96</v>
      </c>
      <c r="D2548" s="101">
        <v>46051</v>
      </c>
      <c r="E2548" s="79" t="s">
        <v>13</v>
      </c>
      <c r="F2548" s="79" t="s">
        <v>118</v>
      </c>
      <c r="G2548" s="79"/>
      <c r="H2548" s="79" t="s">
        <v>1549</v>
      </c>
    </row>
    <row r="2549" spans="1:8">
      <c r="A2549" s="79" t="str">
        <f>LeaveData[[#This Row],[ EMP ID]]&amp;LeaveData[[#This Row],[Date]]</f>
        <v>20241803546052</v>
      </c>
      <c r="B2549" s="92">
        <v>202418035</v>
      </c>
      <c r="C2549" s="92" t="s">
        <v>96</v>
      </c>
      <c r="D2549" s="101">
        <v>46052</v>
      </c>
      <c r="E2549" s="79" t="s">
        <v>13</v>
      </c>
      <c r="F2549" s="79" t="s">
        <v>118</v>
      </c>
      <c r="G2549" s="79"/>
      <c r="H2549" s="79" t="s">
        <v>1549</v>
      </c>
    </row>
    <row r="2550" spans="1:8">
      <c r="A2550" s="79" t="str">
        <f>LeaveData[[#This Row],[ EMP ID]]&amp;LeaveData[[#This Row],[Date]]</f>
        <v>20241803546053</v>
      </c>
      <c r="B2550" s="92">
        <v>202418035</v>
      </c>
      <c r="C2550" s="92" t="s">
        <v>96</v>
      </c>
      <c r="D2550" s="101">
        <v>46053</v>
      </c>
      <c r="E2550" s="79" t="s">
        <v>13</v>
      </c>
      <c r="F2550" s="79" t="s">
        <v>118</v>
      </c>
      <c r="G2550" s="79"/>
      <c r="H2550" s="79" t="s">
        <v>1549</v>
      </c>
    </row>
    <row r="2551" spans="1:8">
      <c r="A2551" s="79" t="str">
        <f>LeaveData[[#This Row],[ EMP ID]]&amp;LeaveData[[#This Row],[Date]]</f>
        <v>20241803546055</v>
      </c>
      <c r="B2551" s="92">
        <v>202418035</v>
      </c>
      <c r="C2551" s="92" t="s">
        <v>96</v>
      </c>
      <c r="D2551" s="101">
        <v>46055</v>
      </c>
      <c r="E2551" s="79" t="s">
        <v>16</v>
      </c>
      <c r="F2551" s="79" t="s">
        <v>118</v>
      </c>
      <c r="G2551" s="79"/>
      <c r="H2551" s="79" t="s">
        <v>1549</v>
      </c>
    </row>
    <row r="2552" spans="1:8">
      <c r="A2552" s="79" t="str">
        <f>LeaveData[[#This Row],[ EMP ID]]&amp;LeaveData[[#This Row],[Date]]</f>
        <v>20241803546056</v>
      </c>
      <c r="B2552" s="92">
        <v>202418035</v>
      </c>
      <c r="C2552" s="92" t="s">
        <v>96</v>
      </c>
      <c r="D2552" s="101">
        <v>46056</v>
      </c>
      <c r="E2552" s="79" t="s">
        <v>16</v>
      </c>
      <c r="F2552" s="79" t="s">
        <v>118</v>
      </c>
      <c r="G2552" s="79"/>
      <c r="H2552" s="79" t="s">
        <v>1549</v>
      </c>
    </row>
    <row r="2553" spans="1:8">
      <c r="A2553" s="79" t="str">
        <f>LeaveData[[#This Row],[ EMP ID]]&amp;LeaveData[[#This Row],[Date]]</f>
        <v>20241803546057</v>
      </c>
      <c r="B2553" s="92">
        <v>202418035</v>
      </c>
      <c r="C2553" s="92" t="s">
        <v>96</v>
      </c>
      <c r="D2553" s="101">
        <v>46057</v>
      </c>
      <c r="E2553" s="79" t="s">
        <v>16</v>
      </c>
      <c r="F2553" s="79" t="s">
        <v>118</v>
      </c>
      <c r="G2553" s="79"/>
      <c r="H2553" s="79" t="s">
        <v>1549</v>
      </c>
    </row>
    <row r="2554" spans="1:8">
      <c r="A2554" s="79" t="str">
        <f>LeaveData[[#This Row],[ EMP ID]]&amp;LeaveData[[#This Row],[Date]]</f>
        <v>20241803546058</v>
      </c>
      <c r="B2554" s="92">
        <v>202418035</v>
      </c>
      <c r="C2554" s="92" t="s">
        <v>96</v>
      </c>
      <c r="D2554" s="101">
        <v>46058</v>
      </c>
      <c r="E2554" s="79" t="s">
        <v>16</v>
      </c>
      <c r="F2554" s="79" t="s">
        <v>118</v>
      </c>
      <c r="G2554" s="79"/>
      <c r="H2554" s="79" t="s">
        <v>1549</v>
      </c>
    </row>
    <row r="2555" spans="1:8">
      <c r="A2555" s="79" t="str">
        <f>LeaveData[[#This Row],[ EMP ID]]&amp;LeaveData[[#This Row],[Date]]</f>
        <v>20241803546059</v>
      </c>
      <c r="B2555" s="92">
        <v>202418035</v>
      </c>
      <c r="C2555" s="92" t="s">
        <v>96</v>
      </c>
      <c r="D2555" s="101">
        <v>46059</v>
      </c>
      <c r="E2555" s="79" t="s">
        <v>16</v>
      </c>
      <c r="F2555" s="79" t="s">
        <v>118</v>
      </c>
      <c r="G2555" s="79"/>
      <c r="H2555" s="79" t="s">
        <v>1549</v>
      </c>
    </row>
    <row r="2556" spans="1:8">
      <c r="A2556" s="79" t="str">
        <f>LeaveData[[#This Row],[ EMP ID]]&amp;LeaveData[[#This Row],[Date]]</f>
        <v>20241803546060</v>
      </c>
      <c r="B2556" s="92">
        <v>202418035</v>
      </c>
      <c r="C2556" s="92" t="s">
        <v>96</v>
      </c>
      <c r="D2556" s="101">
        <v>46060</v>
      </c>
      <c r="E2556" s="79" t="s">
        <v>13</v>
      </c>
      <c r="F2556" s="79" t="s">
        <v>118</v>
      </c>
      <c r="G2556" s="79"/>
      <c r="H2556" s="79" t="s">
        <v>1549</v>
      </c>
    </row>
    <row r="2557" spans="1:8">
      <c r="A2557" s="79" t="str">
        <f>LeaveData[[#This Row],[ EMP ID]]&amp;LeaveData[[#This Row],[Date]]</f>
        <v>20231802345979</v>
      </c>
      <c r="B2557" s="92">
        <v>202318023</v>
      </c>
      <c r="C2557" s="122" t="s">
        <v>148</v>
      </c>
      <c r="D2557" s="101">
        <v>45979</v>
      </c>
      <c r="E2557" s="79" t="s">
        <v>12</v>
      </c>
      <c r="F2557" s="79" t="s">
        <v>104</v>
      </c>
      <c r="G2557" s="79"/>
      <c r="H2557" s="79" t="s">
        <v>1550</v>
      </c>
    </row>
    <row r="2558" spans="1:8">
      <c r="A2558" s="79" t="str">
        <f>LeaveData[[#This Row],[ EMP ID]]&amp;LeaveData[[#This Row],[Date]]</f>
        <v>20231802345980</v>
      </c>
      <c r="B2558" s="92">
        <v>202318023</v>
      </c>
      <c r="C2558" s="122" t="s">
        <v>148</v>
      </c>
      <c r="D2558" s="101">
        <v>45980</v>
      </c>
      <c r="E2558" s="79" t="s">
        <v>12</v>
      </c>
      <c r="F2558" s="79" t="s">
        <v>104</v>
      </c>
      <c r="G2558" s="79"/>
      <c r="H2558" s="79" t="s">
        <v>1550</v>
      </c>
    </row>
    <row r="2559" spans="1:8">
      <c r="A2559" s="79" t="str">
        <f>LeaveData[[#This Row],[ EMP ID]]&amp;LeaveData[[#This Row],[Date]]</f>
        <v>20231802345981</v>
      </c>
      <c r="B2559" s="92">
        <v>202318023</v>
      </c>
      <c r="C2559" s="122" t="s">
        <v>148</v>
      </c>
      <c r="D2559" s="101">
        <v>45981</v>
      </c>
      <c r="E2559" s="79" t="s">
        <v>12</v>
      </c>
      <c r="F2559" s="79" t="s">
        <v>104</v>
      </c>
      <c r="G2559" s="79"/>
      <c r="H2559" s="79" t="s">
        <v>1550</v>
      </c>
    </row>
    <row r="2560" spans="1:8">
      <c r="A2560" s="79" t="str">
        <f>LeaveData[[#This Row],[ EMP ID]]&amp;LeaveData[[#This Row],[Date]]</f>
        <v>20231802345982</v>
      </c>
      <c r="B2560" s="92">
        <v>202318023</v>
      </c>
      <c r="C2560" s="122" t="s">
        <v>148</v>
      </c>
      <c r="D2560" s="101">
        <v>45982</v>
      </c>
      <c r="E2560" s="79" t="s">
        <v>12</v>
      </c>
      <c r="F2560" s="79" t="s">
        <v>104</v>
      </c>
      <c r="G2560" s="79"/>
      <c r="H2560" s="79" t="s">
        <v>1550</v>
      </c>
    </row>
    <row r="2561" spans="1:8">
      <c r="A2561" s="79" t="str">
        <f>LeaveData[[#This Row],[ EMP ID]]&amp;LeaveData[[#This Row],[Date]]</f>
        <v>20231802345983</v>
      </c>
      <c r="B2561" s="92">
        <v>202318023</v>
      </c>
      <c r="C2561" s="122" t="s">
        <v>148</v>
      </c>
      <c r="D2561" s="101">
        <v>45983</v>
      </c>
      <c r="E2561" s="79" t="s">
        <v>12</v>
      </c>
      <c r="F2561" s="79" t="s">
        <v>104</v>
      </c>
      <c r="G2561" s="79"/>
      <c r="H2561" s="79" t="s">
        <v>1550</v>
      </c>
    </row>
    <row r="2562" spans="1:8">
      <c r="A2562" s="79" t="str">
        <f>LeaveData[[#This Row],[ EMP ID]]&amp;LeaveData[[#This Row],[Date]]</f>
        <v>20231802345985</v>
      </c>
      <c r="B2562" s="92">
        <v>202318023</v>
      </c>
      <c r="C2562" s="122" t="s">
        <v>148</v>
      </c>
      <c r="D2562" s="101">
        <v>45985</v>
      </c>
      <c r="E2562" s="79" t="s">
        <v>12</v>
      </c>
      <c r="F2562" s="79" t="s">
        <v>104</v>
      </c>
      <c r="G2562" s="79"/>
      <c r="H2562" s="79" t="s">
        <v>1550</v>
      </c>
    </row>
    <row r="2563" spans="1:8">
      <c r="A2563" s="79" t="str">
        <f>LeaveData[[#This Row],[ EMP ID]]&amp;LeaveData[[#This Row],[Date]]</f>
        <v>20231802345986</v>
      </c>
      <c r="B2563" s="92">
        <v>202318023</v>
      </c>
      <c r="C2563" s="122" t="s">
        <v>148</v>
      </c>
      <c r="D2563" s="101">
        <v>45986</v>
      </c>
      <c r="E2563" s="79" t="s">
        <v>12</v>
      </c>
      <c r="F2563" s="79" t="s">
        <v>104</v>
      </c>
      <c r="G2563" s="79"/>
      <c r="H2563" s="79" t="s">
        <v>1550</v>
      </c>
    </row>
    <row r="2564" spans="1:8">
      <c r="A2564" s="79" t="str">
        <f>LeaveData[[#This Row],[ EMP ID]]&amp;LeaveData[[#This Row],[Date]]</f>
        <v>20231802345987</v>
      </c>
      <c r="B2564" s="92">
        <v>202318023</v>
      </c>
      <c r="C2564" s="122" t="s">
        <v>148</v>
      </c>
      <c r="D2564" s="101">
        <v>45987</v>
      </c>
      <c r="E2564" s="79" t="s">
        <v>12</v>
      </c>
      <c r="F2564" s="79" t="s">
        <v>104</v>
      </c>
      <c r="G2564" s="79"/>
      <c r="H2564" s="79" t="s">
        <v>1550</v>
      </c>
    </row>
    <row r="2565" spans="1:8">
      <c r="A2565" s="79" t="str">
        <f>LeaveData[[#This Row],[ EMP ID]]&amp;LeaveData[[#This Row],[Date]]</f>
        <v>20231802345988</v>
      </c>
      <c r="B2565" s="92">
        <v>202318023</v>
      </c>
      <c r="C2565" s="122" t="s">
        <v>148</v>
      </c>
      <c r="D2565" s="101">
        <v>45988</v>
      </c>
      <c r="E2565" s="79" t="s">
        <v>12</v>
      </c>
      <c r="F2565" s="79" t="s">
        <v>104</v>
      </c>
      <c r="G2565" s="79"/>
      <c r="H2565" s="79" t="s">
        <v>1550</v>
      </c>
    </row>
    <row r="2566" spans="1:8">
      <c r="A2566" s="79" t="str">
        <f>LeaveData[[#This Row],[ EMP ID]]&amp;LeaveData[[#This Row],[Date]]</f>
        <v>20231802345989</v>
      </c>
      <c r="B2566" s="92">
        <v>202318023</v>
      </c>
      <c r="C2566" s="122" t="s">
        <v>148</v>
      </c>
      <c r="D2566" s="101">
        <v>45989</v>
      </c>
      <c r="E2566" s="79" t="s">
        <v>12</v>
      </c>
      <c r="F2566" s="79" t="s">
        <v>104</v>
      </c>
      <c r="G2566" s="79"/>
      <c r="H2566" s="79" t="s">
        <v>1550</v>
      </c>
    </row>
    <row r="2567" spans="1:8">
      <c r="A2567" s="79" t="str">
        <f>LeaveData[[#This Row],[ EMP ID]]&amp;LeaveData[[#This Row],[Date]]</f>
        <v>20231802345990</v>
      </c>
      <c r="B2567" s="92">
        <v>202318023</v>
      </c>
      <c r="C2567" s="122" t="s">
        <v>148</v>
      </c>
      <c r="D2567" s="101">
        <v>45990</v>
      </c>
      <c r="E2567" s="79" t="s">
        <v>12</v>
      </c>
      <c r="F2567" s="79" t="s">
        <v>104</v>
      </c>
      <c r="G2567" s="79"/>
      <c r="H2567" s="79" t="s">
        <v>1550</v>
      </c>
    </row>
    <row r="2568" spans="1:8">
      <c r="A2568" s="79" t="str">
        <f>LeaveData[[#This Row],[ EMP ID]]&amp;LeaveData[[#This Row],[Date]]</f>
        <v>20250100346004</v>
      </c>
      <c r="B2568" s="92">
        <v>202501003</v>
      </c>
      <c r="C2568" s="92" t="s">
        <v>833</v>
      </c>
      <c r="D2568" s="101">
        <v>46004</v>
      </c>
      <c r="E2568" s="79" t="s">
        <v>13</v>
      </c>
      <c r="F2568" s="79" t="s">
        <v>1365</v>
      </c>
      <c r="G2568" s="79"/>
      <c r="H2568" s="79" t="s">
        <v>1551</v>
      </c>
    </row>
    <row r="2569" spans="1:8">
      <c r="A2569" s="79" t="str">
        <f>LeaveData[[#This Row],[ EMP ID]]&amp;LeaveData[[#This Row],[Date]]</f>
        <v>20250100346006</v>
      </c>
      <c r="B2569" s="92">
        <v>202501003</v>
      </c>
      <c r="C2569" s="92" t="s">
        <v>833</v>
      </c>
      <c r="D2569" s="101">
        <v>46006</v>
      </c>
      <c r="E2569" s="79" t="s">
        <v>13</v>
      </c>
      <c r="F2569" s="79" t="s">
        <v>1365</v>
      </c>
      <c r="G2569" s="79"/>
      <c r="H2569" s="79" t="s">
        <v>1552</v>
      </c>
    </row>
    <row r="2570" spans="1:8">
      <c r="A2570" s="79" t="str">
        <f>LeaveData[[#This Row],[ EMP ID]]&amp;LeaveData[[#This Row],[Date]]</f>
        <v>20232000945988</v>
      </c>
      <c r="B2570" s="92">
        <v>202320009</v>
      </c>
      <c r="C2570" s="92" t="s">
        <v>143</v>
      </c>
      <c r="D2570" s="101">
        <v>45988</v>
      </c>
      <c r="E2570" s="79" t="s">
        <v>13</v>
      </c>
      <c r="F2570" s="79" t="s">
        <v>1365</v>
      </c>
      <c r="G2570" s="79"/>
      <c r="H2570" s="79" t="s">
        <v>1552</v>
      </c>
    </row>
    <row r="2571" spans="1:8">
      <c r="A2571" s="79" t="str">
        <f>LeaveData[[#This Row],[ EMP ID]]&amp;LeaveData[[#This Row],[Date]]</f>
        <v>20232000945989</v>
      </c>
      <c r="B2571" s="92">
        <v>202320009</v>
      </c>
      <c r="C2571" s="92" t="s">
        <v>143</v>
      </c>
      <c r="D2571" s="101">
        <v>45989</v>
      </c>
      <c r="E2571" s="79" t="s">
        <v>13</v>
      </c>
      <c r="F2571" s="79" t="s">
        <v>1365</v>
      </c>
      <c r="G2571" s="79"/>
      <c r="H2571" s="126" t="s">
        <v>1553</v>
      </c>
    </row>
    <row r="2572" spans="1:8">
      <c r="A2572" s="79" t="str">
        <f>LeaveData[[#This Row],[ EMP ID]]&amp;LeaveData[[#This Row],[Date]]</f>
        <v>20241803346011</v>
      </c>
      <c r="B2572" s="92">
        <v>202418033</v>
      </c>
      <c r="C2572" s="92" t="s">
        <v>65</v>
      </c>
      <c r="D2572" s="101">
        <v>46011</v>
      </c>
      <c r="E2572" s="79" t="s">
        <v>13</v>
      </c>
      <c r="F2572" s="79" t="s">
        <v>128</v>
      </c>
      <c r="G2572" s="79"/>
      <c r="H2572" s="126" t="s">
        <v>1553</v>
      </c>
    </row>
    <row r="2573" spans="1:8">
      <c r="A2573" s="79" t="str">
        <f>LeaveData[[#This Row],[ EMP ID]]&amp;LeaveData[[#This Row],[Date]]</f>
        <v>20241803346012</v>
      </c>
      <c r="B2573" s="92">
        <v>202418033</v>
      </c>
      <c r="C2573" s="92" t="s">
        <v>65</v>
      </c>
      <c r="D2573" s="101">
        <v>46012</v>
      </c>
      <c r="E2573" s="79" t="s">
        <v>13</v>
      </c>
      <c r="F2573" s="79" t="s">
        <v>128</v>
      </c>
      <c r="G2573" s="79"/>
      <c r="H2573" s="126" t="s">
        <v>1553</v>
      </c>
    </row>
    <row r="2574" spans="1:8">
      <c r="A2574" s="79" t="str">
        <f>LeaveData[[#This Row],[ EMP ID]]&amp;LeaveData[[#This Row],[Date]]</f>
        <v>20241803346013</v>
      </c>
      <c r="B2574" s="92">
        <v>202418033</v>
      </c>
      <c r="C2574" s="92" t="s">
        <v>65</v>
      </c>
      <c r="D2574" s="101">
        <v>46013</v>
      </c>
      <c r="E2574" s="79" t="s">
        <v>13</v>
      </c>
      <c r="F2574" s="79" t="s">
        <v>128</v>
      </c>
      <c r="G2574" s="79"/>
      <c r="H2574" s="126" t="s">
        <v>1553</v>
      </c>
    </row>
    <row r="2575" spans="1:8">
      <c r="A2575" s="79" t="str">
        <f>LeaveData[[#This Row],[ EMP ID]]&amp;LeaveData[[#This Row],[Date]]</f>
        <v>20241803346014</v>
      </c>
      <c r="B2575" s="92">
        <v>202418033</v>
      </c>
      <c r="C2575" s="92" t="s">
        <v>65</v>
      </c>
      <c r="D2575" s="101">
        <v>46014</v>
      </c>
      <c r="E2575" s="79" t="s">
        <v>13</v>
      </c>
      <c r="F2575" s="79" t="s">
        <v>128</v>
      </c>
      <c r="G2575" s="79"/>
      <c r="H2575" s="126" t="s">
        <v>1553</v>
      </c>
    </row>
    <row r="2576" spans="1:8">
      <c r="A2576" s="79" t="str">
        <f>LeaveData[[#This Row],[ EMP ID]]&amp;LeaveData[[#This Row],[Date]]</f>
        <v>20241803346015</v>
      </c>
      <c r="B2576" s="92">
        <v>202418033</v>
      </c>
      <c r="C2576" s="92" t="s">
        <v>65</v>
      </c>
      <c r="D2576" s="101">
        <v>46015</v>
      </c>
      <c r="E2576" s="79" t="s">
        <v>13</v>
      </c>
      <c r="F2576" s="79" t="s">
        <v>128</v>
      </c>
      <c r="G2576" s="79"/>
      <c r="H2576" s="126" t="s">
        <v>1553</v>
      </c>
    </row>
    <row r="2577" spans="1:8">
      <c r="A2577" s="79" t="str">
        <f>LeaveData[[#This Row],[ EMP ID]]&amp;LeaveData[[#This Row],[Date]]</f>
        <v>20241803346016</v>
      </c>
      <c r="B2577" s="92">
        <v>202418033</v>
      </c>
      <c r="C2577" s="92" t="s">
        <v>65</v>
      </c>
      <c r="D2577" s="101">
        <v>46016</v>
      </c>
      <c r="E2577" s="79" t="s">
        <v>13</v>
      </c>
      <c r="F2577" s="79" t="s">
        <v>128</v>
      </c>
      <c r="G2577" s="79"/>
      <c r="H2577" s="126" t="s">
        <v>1553</v>
      </c>
    </row>
    <row r="2578" spans="1:8">
      <c r="A2578" s="79" t="str">
        <f>LeaveData[[#This Row],[ EMP ID]]&amp;LeaveData[[#This Row],[Date]]</f>
        <v>20241803346017</v>
      </c>
      <c r="B2578" s="92">
        <v>202418033</v>
      </c>
      <c r="C2578" s="92" t="s">
        <v>65</v>
      </c>
      <c r="D2578" s="101">
        <v>46017</v>
      </c>
      <c r="E2578" s="79" t="s">
        <v>13</v>
      </c>
      <c r="F2578" s="79" t="s">
        <v>128</v>
      </c>
      <c r="G2578" s="79"/>
      <c r="H2578" s="126" t="s">
        <v>1553</v>
      </c>
    </row>
    <row r="2579" spans="1:8">
      <c r="A2579" s="79" t="str">
        <f>LeaveData[[#This Row],[ EMP ID]]&amp;LeaveData[[#This Row],[Date]]</f>
        <v>20241803346018</v>
      </c>
      <c r="B2579" s="92">
        <v>202418033</v>
      </c>
      <c r="C2579" s="92" t="s">
        <v>65</v>
      </c>
      <c r="D2579" s="101">
        <v>46018</v>
      </c>
      <c r="E2579" s="79" t="s">
        <v>13</v>
      </c>
      <c r="F2579" s="79" t="s">
        <v>128</v>
      </c>
      <c r="G2579" s="79"/>
      <c r="H2579" s="126" t="s">
        <v>1553</v>
      </c>
    </row>
    <row r="2580" spans="1:8">
      <c r="A2580" s="79" t="str">
        <f>LeaveData[[#This Row],[ EMP ID]]&amp;LeaveData[[#This Row],[Date]]</f>
        <v>20231801945976</v>
      </c>
      <c r="B2580" s="79">
        <v>202318019</v>
      </c>
      <c r="C2580" s="79" t="s">
        <v>89</v>
      </c>
      <c r="D2580" s="101">
        <v>45976</v>
      </c>
      <c r="E2580" s="79" t="s">
        <v>16</v>
      </c>
      <c r="F2580" s="79" t="s">
        <v>45</v>
      </c>
      <c r="G2580" s="79"/>
      <c r="H2580" s="79" t="s">
        <v>416</v>
      </c>
    </row>
    <row r="2581" spans="1:8">
      <c r="A2581" s="79" t="str">
        <f>LeaveData[[#This Row],[ EMP ID]]&amp;LeaveData[[#This Row],[Date]]</f>
        <v>20231801945991</v>
      </c>
      <c r="B2581" s="79">
        <v>202318019</v>
      </c>
      <c r="C2581" s="79" t="s">
        <v>89</v>
      </c>
      <c r="D2581" s="101">
        <v>45991</v>
      </c>
      <c r="E2581" s="79" t="s">
        <v>154</v>
      </c>
      <c r="F2581" s="79" t="s">
        <v>45</v>
      </c>
      <c r="G2581" s="79"/>
      <c r="H2581" s="79" t="s">
        <v>1554</v>
      </c>
    </row>
    <row r="2582" spans="1:8">
      <c r="A2582" s="79" t="str">
        <f>LeaveData[[#This Row],[ EMP ID]]&amp;LeaveData[[#This Row],[Date]]</f>
        <v>20221800945993</v>
      </c>
      <c r="B2582" s="92">
        <v>202218009</v>
      </c>
      <c r="C2582" s="92" t="s">
        <v>26</v>
      </c>
      <c r="D2582" s="101">
        <v>45993</v>
      </c>
      <c r="E2582" s="79" t="s">
        <v>12</v>
      </c>
      <c r="F2582" s="79" t="s">
        <v>128</v>
      </c>
      <c r="G2582" s="79"/>
      <c r="H2582" s="79" t="s">
        <v>416</v>
      </c>
    </row>
    <row r="2583" spans="1:8">
      <c r="A2583" s="79" t="str">
        <f>LeaveData[[#This Row],[ EMP ID]]&amp;LeaveData[[#This Row],[Date]]</f>
        <v>20242100445993</v>
      </c>
      <c r="B2583" s="79" t="s">
        <v>1471</v>
      </c>
      <c r="C2583" s="79" t="s">
        <v>270</v>
      </c>
      <c r="D2583" s="101">
        <v>45993</v>
      </c>
      <c r="E2583" s="79" t="s">
        <v>13</v>
      </c>
      <c r="F2583" s="79" t="s">
        <v>29</v>
      </c>
      <c r="G2583" s="79"/>
      <c r="H2583" s="79" t="s">
        <v>1558</v>
      </c>
    </row>
    <row r="2584" spans="1:8">
      <c r="A2584" s="79" t="str">
        <f>LeaveData[[#This Row],[ EMP ID]]&amp;LeaveData[[#This Row],[Date]]</f>
        <v>20242100545994</v>
      </c>
      <c r="B2584" s="79" t="s">
        <v>1555</v>
      </c>
      <c r="C2584" s="79" t="s">
        <v>270</v>
      </c>
      <c r="D2584" s="101">
        <v>45994</v>
      </c>
      <c r="E2584" s="79" t="s">
        <v>13</v>
      </c>
      <c r="F2584" s="79" t="s">
        <v>29</v>
      </c>
      <c r="G2584" s="79"/>
      <c r="H2584" s="79" t="s">
        <v>1558</v>
      </c>
    </row>
    <row r="2585" spans="1:8">
      <c r="A2585" s="79" t="str">
        <f>LeaveData[[#This Row],[ EMP ID]]&amp;LeaveData[[#This Row],[Date]]</f>
        <v>20242100645995</v>
      </c>
      <c r="B2585" s="79" t="s">
        <v>1556</v>
      </c>
      <c r="C2585" s="79" t="s">
        <v>270</v>
      </c>
      <c r="D2585" s="101">
        <v>45995</v>
      </c>
      <c r="E2585" s="79" t="s">
        <v>13</v>
      </c>
      <c r="F2585" s="79" t="s">
        <v>29</v>
      </c>
      <c r="G2585" s="79"/>
      <c r="H2585" s="79" t="s">
        <v>1558</v>
      </c>
    </row>
    <row r="2586" spans="1:8">
      <c r="A2586" s="79" t="str">
        <f>LeaveData[[#This Row],[ EMP ID]]&amp;LeaveData[[#This Row],[Date]]</f>
        <v>20242100745996</v>
      </c>
      <c r="B2586" s="79" t="s">
        <v>1557</v>
      </c>
      <c r="C2586" s="79" t="s">
        <v>270</v>
      </c>
      <c r="D2586" s="101">
        <v>45996</v>
      </c>
      <c r="E2586" s="79" t="s">
        <v>13</v>
      </c>
      <c r="F2586" s="79" t="s">
        <v>29</v>
      </c>
      <c r="G2586" s="79"/>
      <c r="H2586" s="79" t="s">
        <v>1558</v>
      </c>
    </row>
    <row r="2587" spans="1:8">
      <c r="A2587" s="79" t="str">
        <f>LeaveData[[#This Row],[ EMP ID]]&amp;LeaveData[[#This Row],[Date]]</f>
        <v>20242100845997</v>
      </c>
      <c r="B2587" s="79">
        <v>202421008</v>
      </c>
      <c r="C2587" s="79" t="s">
        <v>270</v>
      </c>
      <c r="D2587" s="101">
        <v>45997</v>
      </c>
      <c r="E2587" s="79" t="s">
        <v>13</v>
      </c>
      <c r="F2587" s="79" t="s">
        <v>29</v>
      </c>
      <c r="G2587" s="79"/>
      <c r="H2587" s="79" t="s">
        <v>1558</v>
      </c>
    </row>
    <row r="2588" spans="1:8">
      <c r="A2588" s="79" t="str">
        <f>LeaveData[[#This Row],[ EMP ID]]&amp;LeaveData[[#This Row],[Date]]</f>
        <v>20251804345991</v>
      </c>
      <c r="B2588" s="92" t="s">
        <v>1518</v>
      </c>
      <c r="C2588" s="122" t="s">
        <v>403</v>
      </c>
      <c r="D2588" s="101">
        <v>45991</v>
      </c>
      <c r="E2588" s="79" t="s">
        <v>154</v>
      </c>
      <c r="F2588" s="79" t="s">
        <v>1365</v>
      </c>
      <c r="G2588" s="79"/>
      <c r="H2588" s="79" t="s">
        <v>1559</v>
      </c>
    </row>
    <row r="2589" spans="1:8">
      <c r="A2589" s="79" t="str">
        <f>LeaveData[[#This Row],[ EMP ID]]&amp;LeaveData[[#This Row],[Date]]</f>
        <v>20251804345970</v>
      </c>
      <c r="B2589" s="92" t="s">
        <v>1518</v>
      </c>
      <c r="C2589" s="122" t="s">
        <v>403</v>
      </c>
      <c r="D2589" s="101">
        <v>45970</v>
      </c>
      <c r="E2589" s="79" t="s">
        <v>154</v>
      </c>
      <c r="F2589" s="79" t="s">
        <v>43</v>
      </c>
      <c r="G2589" s="79"/>
      <c r="H2589" s="79" t="s">
        <v>1559</v>
      </c>
    </row>
    <row r="2590" spans="1:8">
      <c r="A2590" s="79" t="str">
        <f>LeaveData[[#This Row],[ EMP ID]]&amp;LeaveData[[#This Row],[Date]]</f>
        <v>20251804345977</v>
      </c>
      <c r="B2590" s="92" t="s">
        <v>1518</v>
      </c>
      <c r="C2590" s="122" t="s">
        <v>403</v>
      </c>
      <c r="D2590" s="101">
        <v>45977</v>
      </c>
      <c r="E2590" s="79" t="s">
        <v>154</v>
      </c>
      <c r="F2590" s="79" t="s">
        <v>43</v>
      </c>
      <c r="G2590" s="79"/>
      <c r="H2590" s="79" t="s">
        <v>1559</v>
      </c>
    </row>
    <row r="2591" spans="1:8">
      <c r="A2591" s="79" t="str">
        <f>LeaveData[[#This Row],[ EMP ID]]&amp;LeaveData[[#This Row],[Date]]</f>
        <v>20221801045961</v>
      </c>
      <c r="B2591" s="92">
        <v>202218010</v>
      </c>
      <c r="C2591" s="92" t="s">
        <v>27</v>
      </c>
      <c r="D2591" s="101">
        <v>45961</v>
      </c>
      <c r="E2591" s="79" t="s">
        <v>195</v>
      </c>
      <c r="F2591" s="79" t="s">
        <v>104</v>
      </c>
      <c r="G2591" s="79"/>
      <c r="H2591" s="79" t="s">
        <v>1560</v>
      </c>
    </row>
    <row r="2592" spans="1:8">
      <c r="A2592" s="79" t="str">
        <f>LeaveData[[#This Row],[ EMP ID]]&amp;LeaveData[[#This Row],[Date]]</f>
        <v>20252101445961</v>
      </c>
      <c r="B2592" s="92">
        <v>202521014</v>
      </c>
      <c r="C2592" s="92" t="s">
        <v>441</v>
      </c>
      <c r="D2592" s="101">
        <v>45961</v>
      </c>
      <c r="E2592" s="79" t="s">
        <v>195</v>
      </c>
      <c r="F2592" s="79" t="s">
        <v>206</v>
      </c>
      <c r="G2592" s="79"/>
      <c r="H2592" s="79" t="s">
        <v>1561</v>
      </c>
    </row>
    <row r="2593" spans="1:8">
      <c r="A2593" s="79" t="str">
        <f>LeaveData[[#This Row],[ EMP ID]]&amp;LeaveData[[#This Row],[Date]]</f>
        <v>20231801845966</v>
      </c>
      <c r="B2593" s="92">
        <v>202318018</v>
      </c>
      <c r="C2593" s="92" t="s">
        <v>40</v>
      </c>
      <c r="D2593" s="101">
        <v>45966</v>
      </c>
      <c r="E2593" s="79" t="s">
        <v>13</v>
      </c>
      <c r="F2593" s="79" t="s">
        <v>125</v>
      </c>
      <c r="G2593" s="79"/>
      <c r="H2593" s="79" t="s">
        <v>116</v>
      </c>
    </row>
    <row r="2594" spans="1:8">
      <c r="A2594" s="79" t="str">
        <f>LeaveData[[#This Row],[ EMP ID]]&amp;LeaveData[[#This Row],[Date]]</f>
        <v>20231801845967</v>
      </c>
      <c r="B2594" s="92">
        <v>202318018</v>
      </c>
      <c r="C2594" s="92" t="s">
        <v>40</v>
      </c>
      <c r="D2594" s="101">
        <v>45967</v>
      </c>
      <c r="E2594" s="79" t="s">
        <v>13</v>
      </c>
      <c r="F2594" s="79" t="s">
        <v>125</v>
      </c>
      <c r="G2594" s="79"/>
      <c r="H2594" s="79" t="s">
        <v>116</v>
      </c>
    </row>
    <row r="2595" spans="1:8">
      <c r="A2595" s="79" t="str">
        <f>LeaveData[[#This Row],[ EMP ID]]&amp;LeaveData[[#This Row],[Date]]</f>
        <v>20182000145973</v>
      </c>
      <c r="B2595" s="92">
        <v>201820001</v>
      </c>
      <c r="C2595" s="122" t="s">
        <v>18</v>
      </c>
      <c r="D2595" s="101">
        <v>45973</v>
      </c>
      <c r="E2595" s="79" t="s">
        <v>13</v>
      </c>
      <c r="F2595" s="79" t="s">
        <v>118</v>
      </c>
      <c r="G2595" s="79"/>
      <c r="H2595" s="79" t="s">
        <v>1347</v>
      </c>
    </row>
    <row r="2596" spans="1:8">
      <c r="A2596" s="79" t="str">
        <f>LeaveData[[#This Row],[ EMP ID]]&amp;LeaveData[[#This Row],[Date]]</f>
        <v>20240100245961</v>
      </c>
      <c r="B2596" s="92">
        <v>202401002</v>
      </c>
      <c r="C2596" s="92" t="s">
        <v>713</v>
      </c>
      <c r="D2596" s="101">
        <v>45961</v>
      </c>
      <c r="E2596" s="79" t="s">
        <v>195</v>
      </c>
      <c r="F2596" s="79" t="s">
        <v>106</v>
      </c>
      <c r="G2596" s="79"/>
      <c r="H2596" s="79" t="s">
        <v>1562</v>
      </c>
    </row>
    <row r="2597" spans="1:8">
      <c r="A2597" s="79" t="str">
        <f>LeaveData[[#This Row],[ EMP ID]]&amp;LeaveData[[#This Row],[Date]]</f>
        <v>20250101246021</v>
      </c>
      <c r="B2597" s="79">
        <v>202501012</v>
      </c>
      <c r="C2597" s="79" t="s">
        <v>1394</v>
      </c>
      <c r="D2597" s="101">
        <v>46021</v>
      </c>
      <c r="E2597" s="79" t="s">
        <v>13</v>
      </c>
      <c r="F2597" s="79" t="s">
        <v>246</v>
      </c>
      <c r="G2597" s="79"/>
      <c r="H2597" s="79" t="s">
        <v>113</v>
      </c>
    </row>
    <row r="2598" spans="1:8">
      <c r="A2598" s="79" t="str">
        <f>LeaveData[[#This Row],[ EMP ID]]&amp;LeaveData[[#This Row],[Date]]</f>
        <v>20250101246022</v>
      </c>
      <c r="B2598" s="79">
        <v>202501012</v>
      </c>
      <c r="C2598" s="79" t="s">
        <v>1394</v>
      </c>
      <c r="D2598" s="101">
        <v>46022</v>
      </c>
      <c r="E2598" s="79" t="s">
        <v>13</v>
      </c>
      <c r="F2598" s="79" t="s">
        <v>246</v>
      </c>
      <c r="G2598" s="79"/>
      <c r="H2598" s="79" t="s">
        <v>113</v>
      </c>
    </row>
    <row r="2599" spans="1:8">
      <c r="A2599" s="79" t="str">
        <f>LeaveData[[#This Row],[ EMP ID]]&amp;LeaveData[[#This Row],[Date]]</f>
        <v>20250101246023</v>
      </c>
      <c r="B2599" s="79">
        <v>202501012</v>
      </c>
      <c r="C2599" s="79" t="s">
        <v>1394</v>
      </c>
      <c r="D2599" s="101">
        <v>46023</v>
      </c>
      <c r="E2599" s="79" t="s">
        <v>13</v>
      </c>
      <c r="F2599" s="79" t="s">
        <v>246</v>
      </c>
      <c r="G2599" s="79"/>
      <c r="H2599" s="79" t="s">
        <v>113</v>
      </c>
    </row>
    <row r="2600" spans="1:8">
      <c r="A2600" s="79" t="str">
        <f>LeaveData[[#This Row],[ EMP ID]]&amp;LeaveData[[#This Row],[Date]]</f>
        <v>20251804845966</v>
      </c>
      <c r="B2600" s="92">
        <v>202518048</v>
      </c>
      <c r="C2600" s="92" t="s">
        <v>1488</v>
      </c>
      <c r="D2600" s="101">
        <v>45966</v>
      </c>
      <c r="E2600" s="79" t="s">
        <v>12</v>
      </c>
      <c r="F2600" s="79" t="s">
        <v>246</v>
      </c>
      <c r="G2600" s="79"/>
      <c r="H2600" s="79" t="s">
        <v>416</v>
      </c>
    </row>
    <row r="2601" spans="1:8">
      <c r="A2601" s="79" t="str">
        <f>LeaveData[[#This Row],[ EMP ID]]&amp;LeaveData[[#This Row],[Date]]</f>
        <v>20251804845967</v>
      </c>
      <c r="B2601" s="92">
        <v>202518048</v>
      </c>
      <c r="C2601" s="92" t="s">
        <v>1488</v>
      </c>
      <c r="D2601" s="101">
        <v>45967</v>
      </c>
      <c r="E2601" s="79" t="s">
        <v>12</v>
      </c>
      <c r="F2601" s="79" t="s">
        <v>246</v>
      </c>
      <c r="G2601" s="79"/>
      <c r="H2601" s="79" t="s">
        <v>416</v>
      </c>
    </row>
    <row r="2602" spans="1:8">
      <c r="A2602" s="79" t="str">
        <f>LeaveData[[#This Row],[ EMP ID]]&amp;LeaveData[[#This Row],[Date]]</f>
        <v>20231801946023</v>
      </c>
      <c r="B2602" s="79">
        <v>202318019</v>
      </c>
      <c r="C2602" s="79" t="s">
        <v>89</v>
      </c>
      <c r="D2602" s="101">
        <v>46023</v>
      </c>
      <c r="E2602" s="79" t="s">
        <v>13</v>
      </c>
      <c r="F2602" s="79" t="s">
        <v>45</v>
      </c>
      <c r="G2602" s="79"/>
      <c r="H2602" s="79" t="s">
        <v>364</v>
      </c>
    </row>
    <row r="2603" spans="1:8">
      <c r="A2603" s="79" t="str">
        <f>LeaveData[[#This Row],[ EMP ID]]&amp;LeaveData[[#This Row],[Date]]</f>
        <v>20231801946024</v>
      </c>
      <c r="B2603" s="79">
        <v>202318019</v>
      </c>
      <c r="C2603" s="79" t="s">
        <v>89</v>
      </c>
      <c r="D2603" s="101">
        <v>46024</v>
      </c>
      <c r="E2603" s="79" t="s">
        <v>13</v>
      </c>
      <c r="F2603" s="79" t="s">
        <v>45</v>
      </c>
      <c r="G2603" s="79"/>
      <c r="H2603" s="79" t="s">
        <v>364</v>
      </c>
    </row>
    <row r="2604" spans="1:8">
      <c r="A2604" s="79" t="str">
        <f>LeaveData[[#This Row],[ EMP ID]]&amp;LeaveData[[#This Row],[Date]]</f>
        <v>20231801946025</v>
      </c>
      <c r="B2604" s="79">
        <v>202318019</v>
      </c>
      <c r="C2604" s="79" t="s">
        <v>89</v>
      </c>
      <c r="D2604" s="101">
        <v>46025</v>
      </c>
      <c r="E2604" s="79" t="s">
        <v>13</v>
      </c>
      <c r="F2604" s="79" t="s">
        <v>45</v>
      </c>
      <c r="G2604" s="79"/>
      <c r="H2604" s="79" t="s">
        <v>364</v>
      </c>
    </row>
    <row r="2605" spans="1:8">
      <c r="A2605" s="79" t="str">
        <f>LeaveData[[#This Row],[ EMP ID]]&amp;LeaveData[[#This Row],[Date]]</f>
        <v>20231801946027</v>
      </c>
      <c r="B2605" s="79">
        <v>202318019</v>
      </c>
      <c r="C2605" s="79" t="s">
        <v>89</v>
      </c>
      <c r="D2605" s="101">
        <v>46027</v>
      </c>
      <c r="E2605" s="79" t="s">
        <v>13</v>
      </c>
      <c r="F2605" s="79" t="s">
        <v>45</v>
      </c>
      <c r="G2605" s="79"/>
      <c r="H2605" s="79" t="s">
        <v>364</v>
      </c>
    </row>
    <row r="2606" spans="1:8">
      <c r="A2606" s="79" t="str">
        <f>LeaveData[[#This Row],[ EMP ID]]&amp;LeaveData[[#This Row],[Date]]</f>
        <v>20231801946028</v>
      </c>
      <c r="B2606" s="79">
        <v>202318019</v>
      </c>
      <c r="C2606" s="79" t="s">
        <v>89</v>
      </c>
      <c r="D2606" s="101">
        <v>46028</v>
      </c>
      <c r="E2606" s="79" t="s">
        <v>13</v>
      </c>
      <c r="F2606" s="79" t="s">
        <v>45</v>
      </c>
      <c r="G2606" s="79"/>
      <c r="H2606" s="79" t="s">
        <v>364</v>
      </c>
    </row>
    <row r="2607" spans="1:8">
      <c r="A2607" s="79" t="str">
        <f>LeaveData[[#This Row],[ EMP ID]]&amp;LeaveData[[#This Row],[Date]]</f>
        <v>20241803345997</v>
      </c>
      <c r="B2607" s="92">
        <v>202418033</v>
      </c>
      <c r="C2607" s="92" t="s">
        <v>65</v>
      </c>
      <c r="D2607" s="101">
        <v>45997</v>
      </c>
      <c r="E2607" s="79" t="s">
        <v>12</v>
      </c>
      <c r="F2607" s="79" t="s">
        <v>128</v>
      </c>
      <c r="G2607" s="79"/>
      <c r="H2607" s="79" t="s">
        <v>416</v>
      </c>
    </row>
    <row r="2608" spans="1:8">
      <c r="A2608" s="79" t="str">
        <f>LeaveData[[#This Row],[ EMP ID]]&amp;LeaveData[[#This Row],[Date]]</f>
        <v>20232000945999</v>
      </c>
      <c r="B2608" s="92">
        <v>202320009</v>
      </c>
      <c r="C2608" s="92" t="s">
        <v>143</v>
      </c>
      <c r="D2608" s="101">
        <v>45999</v>
      </c>
      <c r="E2608" s="79" t="s">
        <v>13</v>
      </c>
      <c r="F2608" s="79" t="s">
        <v>1365</v>
      </c>
      <c r="G2608" s="79"/>
      <c r="H2608" s="79" t="s">
        <v>1563</v>
      </c>
    </row>
    <row r="2609" spans="1:8">
      <c r="A2609" s="79" t="str">
        <f>LeaveData[[#This Row],[ EMP ID]]&amp;LeaveData[[#This Row],[Date]]</f>
        <v>20250101645999</v>
      </c>
      <c r="B2609" s="92">
        <v>202501016</v>
      </c>
      <c r="C2609" s="92" t="s">
        <v>1430</v>
      </c>
      <c r="D2609" s="101">
        <v>45999</v>
      </c>
      <c r="E2609" s="79" t="s">
        <v>1437</v>
      </c>
      <c r="F2609" s="79" t="s">
        <v>235</v>
      </c>
      <c r="G2609" s="79"/>
      <c r="H2609" s="79" t="s">
        <v>277</v>
      </c>
    </row>
    <row r="2610" spans="1:8">
      <c r="A2610" s="79" t="str">
        <f>LeaveData[[#This Row],[ EMP ID]]&amp;LeaveData[[#This Row],[Date]]</f>
        <v>20242100145999</v>
      </c>
      <c r="B2610" s="92">
        <v>202421001</v>
      </c>
      <c r="C2610" s="122" t="s">
        <v>221</v>
      </c>
      <c r="D2610" s="101">
        <v>45999</v>
      </c>
      <c r="E2610" s="79" t="s">
        <v>12</v>
      </c>
      <c r="F2610" s="79" t="s">
        <v>29</v>
      </c>
      <c r="G2610" s="79"/>
      <c r="H2610" s="79" t="s">
        <v>416</v>
      </c>
    </row>
    <row r="2611" spans="1:8">
      <c r="A2611" s="79" t="str">
        <f>LeaveData[[#This Row],[ EMP ID]]&amp;LeaveData[[#This Row],[Date]]</f>
        <v>20242100245999</v>
      </c>
      <c r="B2611" s="124">
        <v>202421002</v>
      </c>
      <c r="C2611" s="122" t="s">
        <v>223</v>
      </c>
      <c r="D2611" s="101">
        <v>45999</v>
      </c>
      <c r="E2611" s="79" t="s">
        <v>16</v>
      </c>
      <c r="F2611" s="79" t="s">
        <v>29</v>
      </c>
      <c r="G2611" s="79"/>
      <c r="H2611" s="79" t="s">
        <v>416</v>
      </c>
    </row>
    <row r="2612" spans="1:8">
      <c r="A2612" s="79" t="str">
        <f>LeaveData[[#This Row],[ EMP ID]]&amp;LeaveData[[#This Row],[Date]]</f>
        <v>20242101845999</v>
      </c>
      <c r="B2612" s="92">
        <v>202421018</v>
      </c>
      <c r="C2612" s="122" t="s">
        <v>378</v>
      </c>
      <c r="D2612" s="101">
        <v>45999</v>
      </c>
      <c r="E2612" s="79" t="s">
        <v>16</v>
      </c>
      <c r="F2612" s="79" t="s">
        <v>29</v>
      </c>
      <c r="G2612" s="79"/>
      <c r="H2612" s="79" t="s">
        <v>416</v>
      </c>
    </row>
    <row r="2613" spans="1:8">
      <c r="A2613" s="79" t="str">
        <f>LeaveData[[#This Row],[ EMP ID]]&amp;LeaveData[[#This Row],[Date]]</f>
        <v>20182000146001</v>
      </c>
      <c r="B2613" s="92">
        <v>201820001</v>
      </c>
      <c r="C2613" s="122" t="s">
        <v>18</v>
      </c>
      <c r="D2613" s="101">
        <v>46001</v>
      </c>
      <c r="E2613" s="79" t="s">
        <v>13</v>
      </c>
      <c r="F2613" s="79" t="s">
        <v>118</v>
      </c>
      <c r="G2613" s="79"/>
      <c r="H2613" s="79" t="s">
        <v>1347</v>
      </c>
    </row>
    <row r="2614" spans="1:8">
      <c r="A2614" s="79" t="str">
        <f>LeaveData[[#This Row],[ EMP ID]]&amp;LeaveData[[#This Row],[Date]]</f>
        <v>20221801146000</v>
      </c>
      <c r="B2614" s="92">
        <v>202218011</v>
      </c>
      <c r="C2614" s="92" t="s">
        <v>28</v>
      </c>
      <c r="D2614" s="101">
        <v>46000</v>
      </c>
      <c r="E2614" s="79" t="s">
        <v>1437</v>
      </c>
      <c r="F2614" s="79" t="s">
        <v>235</v>
      </c>
      <c r="G2614" s="79"/>
      <c r="H2614" s="79" t="s">
        <v>277</v>
      </c>
    </row>
    <row r="2615" spans="1:8">
      <c r="A2615" s="79" t="str">
        <f>LeaveData[[#This Row],[ EMP ID]]&amp;LeaveData[[#This Row],[Date]]</f>
        <v>20242100446000</v>
      </c>
      <c r="B2615" s="79" t="s">
        <v>1471</v>
      </c>
      <c r="C2615" s="79" t="s">
        <v>270</v>
      </c>
      <c r="D2615" s="101">
        <v>46000</v>
      </c>
      <c r="E2615" s="79" t="s">
        <v>16</v>
      </c>
      <c r="F2615" s="79" t="s">
        <v>29</v>
      </c>
      <c r="G2615" s="79"/>
      <c r="H2615" s="79" t="s">
        <v>1564</v>
      </c>
    </row>
    <row r="2616" spans="1:8">
      <c r="A2616" s="79" t="str">
        <f>LeaveData[[#This Row],[ EMP ID]]&amp;LeaveData[[#This Row],[Date]]</f>
        <v>20242100146001</v>
      </c>
      <c r="B2616" s="92">
        <v>202421001</v>
      </c>
      <c r="C2616" s="122" t="s">
        <v>221</v>
      </c>
      <c r="D2616" s="101">
        <v>46001</v>
      </c>
      <c r="E2616" s="79" t="s">
        <v>16</v>
      </c>
      <c r="F2616" s="79" t="s">
        <v>29</v>
      </c>
      <c r="G2616" s="79"/>
      <c r="H2616" s="79" t="s">
        <v>416</v>
      </c>
    </row>
    <row r="2617" spans="1:8">
      <c r="A2617" s="79" t="str">
        <f>LeaveData[[#This Row],[ EMP ID]]&amp;LeaveData[[#This Row],[Date]]</f>
        <v>20250102046000</v>
      </c>
      <c r="B2617" s="92">
        <v>202501020</v>
      </c>
      <c r="C2617" s="92" t="s">
        <v>1468</v>
      </c>
      <c r="D2617" s="101">
        <v>46000</v>
      </c>
      <c r="E2617" s="79" t="s">
        <v>16</v>
      </c>
      <c r="F2617" s="79" t="s">
        <v>246</v>
      </c>
      <c r="G2617" s="79"/>
      <c r="H2617" s="79" t="s">
        <v>416</v>
      </c>
    </row>
    <row r="2618" spans="1:8">
      <c r="A2618" s="79" t="str">
        <f>LeaveData[[#This Row],[ EMP ID]]&amp;LeaveData[[#This Row],[Date]]</f>
        <v>20250102046001</v>
      </c>
      <c r="B2618" s="92">
        <v>202501020</v>
      </c>
      <c r="C2618" s="92" t="s">
        <v>1468</v>
      </c>
      <c r="D2618" s="101">
        <v>46001</v>
      </c>
      <c r="E2618" s="79" t="s">
        <v>16</v>
      </c>
      <c r="F2618" s="79" t="s">
        <v>246</v>
      </c>
      <c r="G2618" s="79"/>
      <c r="H2618" s="79" t="s">
        <v>416</v>
      </c>
    </row>
    <row r="2619" spans="1:8">
      <c r="A2619" s="79" t="str">
        <f>LeaveData[[#This Row],[ EMP ID]]&amp;LeaveData[[#This Row],[Date]]</f>
        <v>20250101246001</v>
      </c>
      <c r="B2619" s="79">
        <v>202501012</v>
      </c>
      <c r="C2619" s="79" t="s">
        <v>1394</v>
      </c>
      <c r="D2619" s="101">
        <v>46001</v>
      </c>
      <c r="E2619" s="79" t="s">
        <v>16</v>
      </c>
      <c r="F2619" s="79" t="s">
        <v>246</v>
      </c>
      <c r="G2619" s="79"/>
      <c r="H2619" s="79" t="s">
        <v>1565</v>
      </c>
    </row>
    <row r="2620" spans="1:8">
      <c r="A2620" s="79" t="str">
        <f>LeaveData[[#This Row],[ EMP ID]]&amp;LeaveData[[#This Row],[Date]]</f>
        <v>20241803546006</v>
      </c>
      <c r="B2620" s="92">
        <v>202418035</v>
      </c>
      <c r="C2620" s="92" t="s">
        <v>96</v>
      </c>
      <c r="D2620" s="101">
        <v>46006</v>
      </c>
      <c r="E2620" s="79" t="s">
        <v>13</v>
      </c>
      <c r="F2620" s="79" t="s">
        <v>118</v>
      </c>
      <c r="G2620" s="79"/>
      <c r="H2620" s="79" t="s">
        <v>1566</v>
      </c>
    </row>
    <row r="2621" spans="1:8">
      <c r="A2621" s="79" t="str">
        <f>LeaveData[[#This Row],[ EMP ID]]&amp;LeaveData[[#This Row],[Date]]</f>
        <v>20231802846002</v>
      </c>
      <c r="B2621" s="92">
        <v>202318028</v>
      </c>
      <c r="C2621" s="92" t="s">
        <v>57</v>
      </c>
      <c r="D2621" s="101">
        <v>46002</v>
      </c>
      <c r="E2621" s="79" t="s">
        <v>1437</v>
      </c>
      <c r="F2621" s="79" t="s">
        <v>104</v>
      </c>
      <c r="G2621" s="79"/>
      <c r="H2621" s="79" t="s">
        <v>277</v>
      </c>
    </row>
    <row r="2622" spans="1:8">
      <c r="A2622" s="79" t="str">
        <f>LeaveData[[#This Row],[ EMP ID]]&amp;LeaveData[[#This Row],[Date]]</f>
        <v>20242100246003</v>
      </c>
      <c r="B2622" s="124">
        <v>202421002</v>
      </c>
      <c r="C2622" s="122" t="s">
        <v>223</v>
      </c>
      <c r="D2622" s="101">
        <v>46003</v>
      </c>
      <c r="E2622" s="79" t="s">
        <v>16</v>
      </c>
      <c r="F2622" s="79" t="s">
        <v>29</v>
      </c>
      <c r="G2622" s="79"/>
      <c r="H2622" s="79" t="s">
        <v>416</v>
      </c>
    </row>
    <row r="2623" spans="1:8">
      <c r="A2623" s="79" t="str">
        <f>LeaveData[[#This Row],[ EMP ID]]&amp;LeaveData[[#This Row],[Date]]</f>
        <v>20251804346003</v>
      </c>
      <c r="B2623" s="92" t="s">
        <v>1518</v>
      </c>
      <c r="C2623" s="122" t="s">
        <v>403</v>
      </c>
      <c r="D2623" s="101">
        <v>46003</v>
      </c>
      <c r="E2623" s="79" t="s">
        <v>16</v>
      </c>
      <c r="F2623" s="79" t="s">
        <v>1365</v>
      </c>
      <c r="G2623" s="79"/>
      <c r="H2623" s="79" t="s">
        <v>416</v>
      </c>
    </row>
    <row r="2624" spans="1:8">
      <c r="A2624" s="79" t="str">
        <f>LeaveData[[#This Row],[ EMP ID]]&amp;LeaveData[[#This Row],[Date]]</f>
        <v>20231802246006</v>
      </c>
      <c r="B2624" s="79">
        <v>202318022</v>
      </c>
      <c r="C2624" s="79" t="s">
        <v>45</v>
      </c>
      <c r="D2624" s="101">
        <v>46006</v>
      </c>
      <c r="E2624" s="79" t="s">
        <v>12</v>
      </c>
      <c r="F2624" s="79" t="s">
        <v>1365</v>
      </c>
      <c r="G2624" s="79"/>
      <c r="H2624" s="79" t="s">
        <v>416</v>
      </c>
    </row>
    <row r="2625" spans="1:8">
      <c r="A2625" s="79" t="str">
        <f>LeaveData[[#This Row],[ EMP ID]]&amp;LeaveData[[#This Row],[Date]]</f>
        <v>20231802346020</v>
      </c>
      <c r="B2625" s="92">
        <v>202318023</v>
      </c>
      <c r="C2625" s="122" t="s">
        <v>148</v>
      </c>
      <c r="D2625" s="101">
        <v>46020</v>
      </c>
      <c r="E2625" s="79" t="s">
        <v>13</v>
      </c>
      <c r="F2625" s="79" t="s">
        <v>104</v>
      </c>
      <c r="G2625" s="79"/>
      <c r="H2625" s="79" t="s">
        <v>1567</v>
      </c>
    </row>
    <row r="2626" spans="1:8">
      <c r="A2626" s="79" t="str">
        <f>LeaveData[[#This Row],[ EMP ID]]&amp;LeaveData[[#This Row],[Date]]</f>
        <v>20231802346021</v>
      </c>
      <c r="B2626" s="92">
        <v>202318023</v>
      </c>
      <c r="C2626" s="122" t="s">
        <v>148</v>
      </c>
      <c r="D2626" s="101">
        <v>46021</v>
      </c>
      <c r="E2626" s="79" t="s">
        <v>13</v>
      </c>
      <c r="F2626" s="79" t="s">
        <v>104</v>
      </c>
      <c r="G2626" s="79"/>
      <c r="H2626" s="79" t="s">
        <v>1567</v>
      </c>
    </row>
    <row r="2627" spans="1:8">
      <c r="A2627" s="79" t="str">
        <f>LeaveData[[#This Row],[ EMP ID]]&amp;LeaveData[[#This Row],[Date]]</f>
        <v>20231802346022</v>
      </c>
      <c r="B2627" s="92">
        <v>202318023</v>
      </c>
      <c r="C2627" s="122" t="s">
        <v>148</v>
      </c>
      <c r="D2627" s="101">
        <v>46022</v>
      </c>
      <c r="E2627" s="79" t="s">
        <v>13</v>
      </c>
      <c r="F2627" s="79" t="s">
        <v>104</v>
      </c>
      <c r="G2627" s="79"/>
      <c r="H2627" s="79" t="s">
        <v>1567</v>
      </c>
    </row>
    <row r="2628" spans="1:8">
      <c r="A2628" s="79" t="str">
        <f>LeaveData[[#This Row],[ EMP ID]]&amp;LeaveData[[#This Row],[Date]]</f>
        <v>20231802346023</v>
      </c>
      <c r="B2628" s="92">
        <v>202318023</v>
      </c>
      <c r="C2628" s="122" t="s">
        <v>148</v>
      </c>
      <c r="D2628" s="101">
        <v>46023</v>
      </c>
      <c r="E2628" s="79" t="s">
        <v>13</v>
      </c>
      <c r="F2628" s="79" t="s">
        <v>104</v>
      </c>
      <c r="G2628" s="79"/>
      <c r="H2628" s="79" t="s">
        <v>1567</v>
      </c>
    </row>
    <row r="2629" spans="1:8">
      <c r="A2629" s="79" t="str">
        <f>LeaveData[[#This Row],[ EMP ID]]&amp;LeaveData[[#This Row],[Date]]</f>
        <v>20231802346024</v>
      </c>
      <c r="B2629" s="92">
        <v>202318023</v>
      </c>
      <c r="C2629" s="122" t="s">
        <v>148</v>
      </c>
      <c r="D2629" s="101">
        <v>46024</v>
      </c>
      <c r="E2629" s="79" t="s">
        <v>13</v>
      </c>
      <c r="F2629" s="79" t="s">
        <v>104</v>
      </c>
      <c r="G2629" s="79"/>
      <c r="H2629" s="79" t="s">
        <v>1567</v>
      </c>
    </row>
    <row r="2630" spans="1:8">
      <c r="A2630" s="79" t="str">
        <f>LeaveData[[#This Row],[ EMP ID]]&amp;LeaveData[[#This Row],[Date]]</f>
        <v>20241803546008</v>
      </c>
      <c r="B2630" s="92">
        <v>202418035</v>
      </c>
      <c r="C2630" s="92" t="s">
        <v>96</v>
      </c>
      <c r="D2630" s="101">
        <v>46008</v>
      </c>
      <c r="E2630" s="79" t="s">
        <v>13</v>
      </c>
      <c r="F2630" s="79" t="s">
        <v>118</v>
      </c>
      <c r="G2630" s="79"/>
      <c r="H2630" s="79" t="s">
        <v>1568</v>
      </c>
    </row>
    <row r="2631" spans="1:8">
      <c r="A2631" s="79" t="str">
        <f>LeaveData[[#This Row],[ EMP ID]]&amp;LeaveData[[#This Row],[Date]]</f>
        <v>20241803346011</v>
      </c>
      <c r="B2631" s="92">
        <v>202418033</v>
      </c>
      <c r="C2631" s="92" t="s">
        <v>65</v>
      </c>
      <c r="D2631" s="101">
        <v>46011</v>
      </c>
      <c r="E2631" s="79" t="s">
        <v>13</v>
      </c>
      <c r="F2631" s="79" t="s">
        <v>128</v>
      </c>
      <c r="G2631" s="79"/>
      <c r="H2631" s="79" t="s">
        <v>1569</v>
      </c>
    </row>
    <row r="2632" spans="1:8">
      <c r="A2632" s="79" t="str">
        <f>LeaveData[[#This Row],[ EMP ID]]&amp;LeaveData[[#This Row],[Date]]</f>
        <v>20241803346013</v>
      </c>
      <c r="B2632" s="92">
        <v>202418033</v>
      </c>
      <c r="C2632" s="92" t="s">
        <v>65</v>
      </c>
      <c r="D2632" s="101">
        <v>46013</v>
      </c>
      <c r="E2632" s="79" t="s">
        <v>13</v>
      </c>
      <c r="F2632" s="79" t="s">
        <v>128</v>
      </c>
      <c r="G2632" s="79"/>
      <c r="H2632" s="79" t="s">
        <v>1569</v>
      </c>
    </row>
    <row r="2633" spans="1:8">
      <c r="A2633" s="79" t="str">
        <f>LeaveData[[#This Row],[ EMP ID]]&amp;LeaveData[[#This Row],[Date]]</f>
        <v>20241803346014</v>
      </c>
      <c r="B2633" s="92">
        <v>202418033</v>
      </c>
      <c r="C2633" s="92" t="s">
        <v>65</v>
      </c>
      <c r="D2633" s="101">
        <v>46014</v>
      </c>
      <c r="E2633" s="79" t="s">
        <v>13</v>
      </c>
      <c r="F2633" s="79" t="s">
        <v>128</v>
      </c>
      <c r="G2633" s="79"/>
      <c r="H2633" s="79" t="s">
        <v>1569</v>
      </c>
    </row>
    <row r="2634" spans="1:8">
      <c r="A2634" s="79" t="str">
        <f>LeaveData[[#This Row],[ EMP ID]]&amp;LeaveData[[#This Row],[Date]]</f>
        <v>20241803346015</v>
      </c>
      <c r="B2634" s="92">
        <v>202418033</v>
      </c>
      <c r="C2634" s="92" t="s">
        <v>65</v>
      </c>
      <c r="D2634" s="101">
        <v>46015</v>
      </c>
      <c r="E2634" s="79" t="s">
        <v>13</v>
      </c>
      <c r="F2634" s="79" t="s">
        <v>128</v>
      </c>
      <c r="G2634" s="79"/>
      <c r="H2634" s="79" t="s">
        <v>1569</v>
      </c>
    </row>
    <row r="2635" spans="1:8">
      <c r="A2635" s="79" t="str">
        <f>LeaveData[[#This Row],[ EMP ID]]&amp;LeaveData[[#This Row],[Date]]</f>
        <v>20241803346016</v>
      </c>
      <c r="B2635" s="92">
        <v>202418033</v>
      </c>
      <c r="C2635" s="92" t="s">
        <v>65</v>
      </c>
      <c r="D2635" s="101">
        <v>46016</v>
      </c>
      <c r="E2635" s="79" t="s">
        <v>13</v>
      </c>
      <c r="F2635" s="79" t="s">
        <v>128</v>
      </c>
      <c r="G2635" s="79"/>
      <c r="H2635" s="79" t="s">
        <v>1569</v>
      </c>
    </row>
    <row r="2636" spans="1:8">
      <c r="A2636" s="79" t="str">
        <f>LeaveData[[#This Row],[ EMP ID]]&amp;LeaveData[[#This Row],[Date]]</f>
        <v>20241803346017</v>
      </c>
      <c r="B2636" s="92">
        <v>202418033</v>
      </c>
      <c r="C2636" s="92" t="s">
        <v>65</v>
      </c>
      <c r="D2636" s="101">
        <v>46017</v>
      </c>
      <c r="E2636" s="79" t="s">
        <v>13</v>
      </c>
      <c r="F2636" s="79" t="s">
        <v>128</v>
      </c>
      <c r="G2636" s="79"/>
      <c r="H2636" s="79" t="s">
        <v>1569</v>
      </c>
    </row>
    <row r="2637" spans="1:8">
      <c r="A2637" s="79" t="str">
        <f>LeaveData[[#This Row],[ EMP ID]]&amp;LeaveData[[#This Row],[Date]]</f>
        <v>20241803346018</v>
      </c>
      <c r="B2637" s="92">
        <v>202418033</v>
      </c>
      <c r="C2637" s="92" t="s">
        <v>65</v>
      </c>
      <c r="D2637" s="101">
        <v>46018</v>
      </c>
      <c r="E2637" s="79" t="s">
        <v>13</v>
      </c>
      <c r="F2637" s="79" t="s">
        <v>128</v>
      </c>
      <c r="G2637" s="79"/>
      <c r="H2637" s="79" t="s">
        <v>1569</v>
      </c>
    </row>
    <row r="2638" spans="1:8">
      <c r="A2638" s="79" t="str">
        <f>LeaveData[[#This Row],[ EMP ID]]&amp;LeaveData[[#This Row],[Date]]</f>
        <v>20250102146010</v>
      </c>
      <c r="B2638" s="92">
        <v>202501021</v>
      </c>
      <c r="C2638" s="92" t="s">
        <v>1489</v>
      </c>
      <c r="D2638" s="101">
        <v>46010</v>
      </c>
      <c r="E2638" s="79" t="s">
        <v>14</v>
      </c>
      <c r="F2638" s="79" t="s">
        <v>246</v>
      </c>
      <c r="G2638" s="79"/>
      <c r="H2638" s="79" t="s">
        <v>1570</v>
      </c>
    </row>
    <row r="2639" spans="1:8">
      <c r="A2639" s="79" t="str">
        <f>LeaveData[[#This Row],[ EMP ID]]&amp;LeaveData[[#This Row],[Date]]</f>
        <v>20250101346011</v>
      </c>
      <c r="B2639" s="92">
        <v>202501013</v>
      </c>
      <c r="C2639" s="92" t="s">
        <v>1395</v>
      </c>
      <c r="D2639" s="101">
        <v>46011</v>
      </c>
      <c r="E2639" s="79" t="s">
        <v>12</v>
      </c>
      <c r="F2639" s="79" t="s">
        <v>235</v>
      </c>
      <c r="G2639" s="79"/>
      <c r="H2639" s="79" t="s">
        <v>416</v>
      </c>
    </row>
    <row r="2640" spans="1:8">
      <c r="A2640" s="79" t="str">
        <f>LeaveData[[#This Row],[ EMP ID]]&amp;LeaveData[[#This Row],[Date]]</f>
        <v>20242101846011</v>
      </c>
      <c r="B2640" s="92">
        <v>202421018</v>
      </c>
      <c r="C2640" s="122" t="s">
        <v>378</v>
      </c>
      <c r="D2640" s="101">
        <v>46011</v>
      </c>
      <c r="E2640" s="79" t="s">
        <v>16</v>
      </c>
      <c r="F2640" s="79" t="s">
        <v>29</v>
      </c>
      <c r="G2640" s="79"/>
      <c r="H2640" s="79" t="s">
        <v>416</v>
      </c>
    </row>
    <row r="2641" spans="1:8">
      <c r="A2641" s="79" t="str">
        <f>LeaveData[[#This Row],[ EMP ID]]&amp;LeaveData[[#This Row],[Date]]</f>
        <v>20251804346009</v>
      </c>
      <c r="B2641" s="92" t="s">
        <v>1518</v>
      </c>
      <c r="C2641" s="122" t="s">
        <v>403</v>
      </c>
      <c r="D2641" s="101">
        <v>46009</v>
      </c>
      <c r="E2641" s="79" t="s">
        <v>16</v>
      </c>
      <c r="F2641" s="79" t="s">
        <v>1365</v>
      </c>
      <c r="G2641" s="79"/>
      <c r="H2641" s="79" t="s">
        <v>1574</v>
      </c>
    </row>
    <row r="2642" spans="1:8">
      <c r="A2642" s="79" t="str">
        <f>LeaveData[[#This Row],[ EMP ID]]&amp;LeaveData[[#This Row],[Date]]</f>
        <v>20251804346010</v>
      </c>
      <c r="B2642" s="92" t="s">
        <v>1518</v>
      </c>
      <c r="C2642" s="122" t="s">
        <v>403</v>
      </c>
      <c r="D2642" s="101">
        <v>46010</v>
      </c>
      <c r="E2642" s="79" t="s">
        <v>16</v>
      </c>
      <c r="F2642" s="79" t="s">
        <v>1365</v>
      </c>
      <c r="G2642" s="79"/>
      <c r="H2642" s="79" t="s">
        <v>1574</v>
      </c>
    </row>
    <row r="2643" spans="1:8">
      <c r="A2643" s="79" t="str">
        <f>LeaveData[[#This Row],[ EMP ID]]&amp;LeaveData[[#This Row],[Date]]</f>
        <v>20251804346011</v>
      </c>
      <c r="B2643" s="92" t="s">
        <v>1518</v>
      </c>
      <c r="C2643" s="122" t="s">
        <v>403</v>
      </c>
      <c r="D2643" s="101">
        <v>46011</v>
      </c>
      <c r="E2643" s="79" t="s">
        <v>16</v>
      </c>
      <c r="F2643" s="79" t="s">
        <v>1365</v>
      </c>
      <c r="G2643" s="79"/>
      <c r="H2643" s="79" t="s">
        <v>1574</v>
      </c>
    </row>
    <row r="2644" spans="1:8">
      <c r="A2644" s="79" t="str">
        <f>LeaveData[[#This Row],[ EMP ID]]&amp;LeaveData[[#This Row],[Date]]</f>
        <v>20251804346012</v>
      </c>
      <c r="B2644" s="92" t="s">
        <v>1518</v>
      </c>
      <c r="C2644" s="122" t="s">
        <v>403</v>
      </c>
      <c r="D2644" s="101">
        <v>46012</v>
      </c>
      <c r="E2644" s="79" t="s">
        <v>16</v>
      </c>
      <c r="F2644" s="79" t="s">
        <v>1365</v>
      </c>
      <c r="G2644" s="79"/>
      <c r="H2644" s="79" t="s">
        <v>1574</v>
      </c>
    </row>
    <row r="2645" spans="1:8">
      <c r="A2645" s="79" t="str">
        <f>LeaveData[[#This Row],[ EMP ID]]&amp;LeaveData[[#This Row],[Date]]</f>
        <v>20251804446013</v>
      </c>
      <c r="B2645" s="92" t="s">
        <v>1571</v>
      </c>
      <c r="C2645" s="122" t="s">
        <v>403</v>
      </c>
      <c r="D2645" s="101">
        <v>46013</v>
      </c>
      <c r="E2645" s="79" t="s">
        <v>16</v>
      </c>
      <c r="F2645" s="79" t="s">
        <v>1365</v>
      </c>
      <c r="G2645" s="79"/>
      <c r="H2645" s="79" t="s">
        <v>1574</v>
      </c>
    </row>
    <row r="2646" spans="1:8">
      <c r="A2646" s="79" t="str">
        <f>LeaveData[[#This Row],[ EMP ID]]&amp;LeaveData[[#This Row],[Date]]</f>
        <v>20251804546014</v>
      </c>
      <c r="B2646" s="92" t="s">
        <v>1572</v>
      </c>
      <c r="C2646" s="122" t="s">
        <v>403</v>
      </c>
      <c r="D2646" s="101">
        <v>46014</v>
      </c>
      <c r="E2646" s="79" t="s">
        <v>16</v>
      </c>
      <c r="F2646" s="79" t="s">
        <v>1365</v>
      </c>
      <c r="G2646" s="79"/>
      <c r="H2646" s="79" t="s">
        <v>1574</v>
      </c>
    </row>
    <row r="2647" spans="1:8">
      <c r="A2647" s="79" t="str">
        <f>LeaveData[[#This Row],[ EMP ID]]&amp;LeaveData[[#This Row],[Date]]</f>
        <v>20251804646015</v>
      </c>
      <c r="B2647" s="92" t="s">
        <v>1573</v>
      </c>
      <c r="C2647" s="122" t="s">
        <v>403</v>
      </c>
      <c r="D2647" s="101">
        <v>46015</v>
      </c>
      <c r="E2647" s="79" t="s">
        <v>16</v>
      </c>
      <c r="F2647" s="79" t="s">
        <v>1365</v>
      </c>
      <c r="G2647" s="79"/>
      <c r="H2647" s="79" t="s">
        <v>1574</v>
      </c>
    </row>
    <row r="2648" spans="1:8">
      <c r="A2648" s="79" t="str">
        <f>LeaveData[[#This Row],[ EMP ID]]&amp;LeaveData[[#This Row],[Date]]</f>
        <v>20231801946013</v>
      </c>
      <c r="B2648" s="79">
        <v>202318019</v>
      </c>
      <c r="C2648" s="79" t="s">
        <v>89</v>
      </c>
      <c r="D2648" s="101">
        <v>46013</v>
      </c>
      <c r="E2648" s="79" t="s">
        <v>16</v>
      </c>
      <c r="F2648" s="79" t="s">
        <v>45</v>
      </c>
      <c r="G2648" s="79"/>
      <c r="H2648" s="79" t="s">
        <v>416</v>
      </c>
    </row>
    <row r="2649" spans="1:8">
      <c r="A2649" s="79" t="str">
        <f>LeaveData[[#This Row],[ EMP ID]]&amp;LeaveData[[#This Row],[Date]]</f>
        <v>20251804846010</v>
      </c>
      <c r="B2649" s="92">
        <v>202518048</v>
      </c>
      <c r="C2649" s="92" t="s">
        <v>1488</v>
      </c>
      <c r="D2649" s="101">
        <v>46010</v>
      </c>
      <c r="E2649" s="79" t="s">
        <v>184</v>
      </c>
      <c r="F2649" s="79" t="s">
        <v>246</v>
      </c>
      <c r="G2649" s="79"/>
      <c r="H2649" s="79" t="s">
        <v>1575</v>
      </c>
    </row>
    <row r="2650" spans="1:8">
      <c r="A2650" s="79" t="str">
        <f>LeaveData[[#This Row],[ EMP ID]]&amp;LeaveData[[#This Row],[Date]]</f>
        <v>20250102046011</v>
      </c>
      <c r="B2650" s="92">
        <v>202501020</v>
      </c>
      <c r="C2650" s="92" t="s">
        <v>1468</v>
      </c>
      <c r="D2650" s="101">
        <v>46011</v>
      </c>
      <c r="E2650" s="79" t="s">
        <v>12</v>
      </c>
      <c r="F2650" s="79" t="s">
        <v>246</v>
      </c>
      <c r="G2650" s="79"/>
      <c r="H2650" s="79" t="s">
        <v>448</v>
      </c>
    </row>
    <row r="2651" spans="1:8">
      <c r="A2651" s="79" t="str">
        <f>LeaveData[[#This Row],[ EMP ID]]&amp;LeaveData[[#This Row],[Date]]</f>
        <v>20231802546016</v>
      </c>
      <c r="B2651" s="92">
        <v>202318025</v>
      </c>
      <c r="C2651" s="92" t="s">
        <v>122</v>
      </c>
      <c r="D2651" s="101">
        <v>46016</v>
      </c>
      <c r="E2651" s="79" t="s">
        <v>13</v>
      </c>
      <c r="F2651" s="79" t="s">
        <v>1365</v>
      </c>
      <c r="G2651" s="79"/>
      <c r="H2651" s="79" t="s">
        <v>1576</v>
      </c>
    </row>
    <row r="2652" spans="1:8">
      <c r="A2652" s="79" t="str">
        <f>LeaveData[[#This Row],[ EMP ID]]&amp;LeaveData[[#This Row],[Date]]</f>
        <v>20231802246014</v>
      </c>
      <c r="B2652" s="79">
        <v>202318022</v>
      </c>
      <c r="C2652" s="79" t="s">
        <v>45</v>
      </c>
      <c r="D2652" s="101">
        <v>46014</v>
      </c>
      <c r="E2652" s="79" t="s">
        <v>13</v>
      </c>
      <c r="F2652" s="79" t="s">
        <v>1365</v>
      </c>
      <c r="G2652" s="79"/>
      <c r="H2652" s="79" t="s">
        <v>1577</v>
      </c>
    </row>
    <row r="2653" spans="1:8">
      <c r="A2653" s="79" t="str">
        <f>LeaveData[[#This Row],[ EMP ID]]&amp;LeaveData[[#This Row],[Date]]</f>
        <v>20231801946015</v>
      </c>
      <c r="B2653" s="79">
        <v>202318019</v>
      </c>
      <c r="C2653" s="79" t="s">
        <v>89</v>
      </c>
      <c r="D2653" s="101">
        <v>46015</v>
      </c>
      <c r="E2653" s="79" t="s">
        <v>16</v>
      </c>
      <c r="F2653" s="79" t="s">
        <v>45</v>
      </c>
      <c r="G2653" s="79"/>
      <c r="H2653" s="79" t="s">
        <v>416</v>
      </c>
    </row>
    <row r="2654" spans="1:8">
      <c r="A2654" s="79" t="str">
        <f>LeaveData[[#This Row],[ EMP ID]]&amp;LeaveData[[#This Row],[Date]]</f>
        <v>20231802346014</v>
      </c>
      <c r="B2654" s="92">
        <v>202318023</v>
      </c>
      <c r="C2654" s="122" t="s">
        <v>148</v>
      </c>
      <c r="D2654" s="101">
        <v>46014</v>
      </c>
      <c r="E2654" s="79" t="s">
        <v>13</v>
      </c>
      <c r="F2654" s="79" t="s">
        <v>128</v>
      </c>
      <c r="G2654" s="79"/>
      <c r="H2654" s="79" t="s">
        <v>1470</v>
      </c>
    </row>
    <row r="2655" spans="1:8">
      <c r="A2655" s="79" t="str">
        <f>LeaveData[[#This Row],[ EMP ID]]&amp;LeaveData[[#This Row],[Date]]</f>
        <v>20242100446018</v>
      </c>
      <c r="B2655" s="79" t="s">
        <v>1471</v>
      </c>
      <c r="C2655" s="79" t="s">
        <v>270</v>
      </c>
      <c r="D2655" s="101">
        <v>46018</v>
      </c>
      <c r="E2655" s="79" t="s">
        <v>12</v>
      </c>
      <c r="F2655" s="79" t="s">
        <v>29</v>
      </c>
      <c r="G2655" s="79"/>
      <c r="H2655" s="79" t="s">
        <v>416</v>
      </c>
    </row>
    <row r="2656" spans="1:8">
      <c r="A2656" s="79" t="str">
        <f>LeaveData[[#This Row],[ EMP ID]]&amp;LeaveData[[#This Row],[Date]]</f>
        <v>20211800845998</v>
      </c>
      <c r="B2656" s="92">
        <v>202118008</v>
      </c>
      <c r="C2656" s="92" t="s">
        <v>25</v>
      </c>
      <c r="D2656" s="101">
        <v>45998</v>
      </c>
      <c r="E2656" s="79" t="s">
        <v>154</v>
      </c>
      <c r="F2656" s="79" t="s">
        <v>104</v>
      </c>
      <c r="G2656" s="79"/>
      <c r="H2656" s="79" t="s">
        <v>1559</v>
      </c>
    </row>
    <row r="2657" spans="1:8">
      <c r="A2657" s="79" t="str">
        <f>LeaveData[[#This Row],[ EMP ID]]&amp;LeaveData[[#This Row],[Date]]</f>
        <v>20211800846004</v>
      </c>
      <c r="B2657" s="92">
        <v>202118008</v>
      </c>
      <c r="C2657" s="92" t="s">
        <v>25</v>
      </c>
      <c r="D2657" s="101">
        <v>46004</v>
      </c>
      <c r="E2657" s="79" t="s">
        <v>154</v>
      </c>
      <c r="F2657" s="79" t="s">
        <v>104</v>
      </c>
      <c r="G2657" s="79"/>
      <c r="H2657" s="79" t="s">
        <v>1578</v>
      </c>
    </row>
    <row r="2658" spans="1:8">
      <c r="A2658" s="79" t="str">
        <f>LeaveData[[#This Row],[ EMP ID]]&amp;LeaveData[[#This Row],[Date]]</f>
        <v>20211800846012</v>
      </c>
      <c r="B2658" s="92">
        <v>202118008</v>
      </c>
      <c r="C2658" s="92" t="s">
        <v>25</v>
      </c>
      <c r="D2658" s="101">
        <v>46012</v>
      </c>
      <c r="E2658" s="79" t="s">
        <v>154</v>
      </c>
      <c r="F2658" s="79" t="s">
        <v>104</v>
      </c>
      <c r="G2658" s="79"/>
      <c r="H2658" s="79" t="s">
        <v>1559</v>
      </c>
    </row>
    <row r="2659" spans="1:8">
      <c r="A2659" s="79" t="str">
        <f>LeaveData[[#This Row],[ EMP ID]]&amp;LeaveData[[#This Row],[Date]]</f>
        <v>20250100846020</v>
      </c>
      <c r="B2659" s="92">
        <v>202501008</v>
      </c>
      <c r="C2659" s="92" t="s">
        <v>1368</v>
      </c>
      <c r="D2659" s="101">
        <v>46020</v>
      </c>
      <c r="E2659" s="79" t="s">
        <v>12</v>
      </c>
      <c r="F2659" s="79" t="s">
        <v>235</v>
      </c>
      <c r="G2659" s="79"/>
      <c r="H2659" s="79" t="s">
        <v>416</v>
      </c>
    </row>
    <row r="2660" spans="1:8">
      <c r="A2660" s="79" t="str">
        <f>LeaveData[[#This Row],[ EMP ID]]&amp;LeaveData[[#This Row],[Date]]</f>
        <v>20182000146017</v>
      </c>
      <c r="B2660" s="92">
        <v>201820001</v>
      </c>
      <c r="C2660" s="92" t="s">
        <v>18</v>
      </c>
      <c r="D2660" s="101">
        <v>46017</v>
      </c>
      <c r="E2660" s="79" t="s">
        <v>12</v>
      </c>
      <c r="F2660" s="79" t="s">
        <v>118</v>
      </c>
      <c r="G2660" s="79"/>
      <c r="H2660" s="79" t="s">
        <v>416</v>
      </c>
    </row>
    <row r="2661" spans="1:8">
      <c r="A2661" s="79" t="str">
        <f>LeaveData[[#This Row],[ EMP ID]]&amp;LeaveData[[#This Row],[Date]]</f>
        <v>20250101246020</v>
      </c>
      <c r="B2661" s="79">
        <v>202501012</v>
      </c>
      <c r="C2661" s="79" t="s">
        <v>1394</v>
      </c>
      <c r="D2661" s="101">
        <v>46020</v>
      </c>
      <c r="E2661" s="79" t="s">
        <v>14</v>
      </c>
      <c r="F2661" s="79" t="s">
        <v>246</v>
      </c>
      <c r="G2661" s="79"/>
      <c r="H2661" s="79" t="s">
        <v>1579</v>
      </c>
    </row>
    <row r="2662" spans="1:8">
      <c r="A2662" s="79" t="str">
        <f>LeaveData[[#This Row],[ EMP ID]]&amp;LeaveData[[#This Row],[Date]]</f>
        <v>20231801746022</v>
      </c>
      <c r="B2662" s="92">
        <v>202318017</v>
      </c>
      <c r="C2662" s="92" t="s">
        <v>37</v>
      </c>
      <c r="D2662" s="101">
        <v>46022</v>
      </c>
      <c r="E2662" s="79" t="s">
        <v>15</v>
      </c>
      <c r="F2662" s="79" t="s">
        <v>1365</v>
      </c>
      <c r="G2662" s="79"/>
      <c r="H2662" s="79" t="s">
        <v>416</v>
      </c>
    </row>
    <row r="2663" spans="1:8">
      <c r="A2663" s="79" t="str">
        <f>LeaveData[[#This Row],[ EMP ID]]&amp;LeaveData[[#This Row],[Date]]</f>
        <v>20250102146021</v>
      </c>
      <c r="B2663" s="92">
        <v>202501021</v>
      </c>
      <c r="C2663" s="92" t="s">
        <v>1489</v>
      </c>
      <c r="D2663" s="101">
        <v>46021</v>
      </c>
      <c r="E2663" s="79" t="s">
        <v>16</v>
      </c>
      <c r="F2663" s="79" t="s">
        <v>246</v>
      </c>
      <c r="G2663" s="79"/>
      <c r="H2663" s="79" t="s">
        <v>416</v>
      </c>
    </row>
    <row r="2664" spans="1:8">
      <c r="A2664" s="79" t="str">
        <f>LeaveData[[#This Row],[ EMP ID]]&amp;LeaveData[[#This Row],[Date]]</f>
        <v>20250102146022</v>
      </c>
      <c r="B2664" s="92">
        <v>202501021</v>
      </c>
      <c r="C2664" s="92" t="s">
        <v>1489</v>
      </c>
      <c r="D2664" s="101">
        <v>46022</v>
      </c>
      <c r="E2664" s="79" t="s">
        <v>16</v>
      </c>
      <c r="F2664" s="79" t="s">
        <v>246</v>
      </c>
      <c r="G2664" s="79"/>
      <c r="H2664" s="79" t="s">
        <v>416</v>
      </c>
    </row>
    <row r="2665" spans="1:8">
      <c r="A2665" s="79" t="str">
        <f>LeaveData[[#This Row],[ EMP ID]]&amp;LeaveData[[#This Row],[Date]]</f>
        <v>20231802546023</v>
      </c>
      <c r="B2665" s="92">
        <v>202318025</v>
      </c>
      <c r="C2665" s="92" t="s">
        <v>122</v>
      </c>
      <c r="D2665" s="101">
        <v>46023</v>
      </c>
      <c r="E2665" s="79" t="s">
        <v>14</v>
      </c>
      <c r="F2665" s="79" t="s">
        <v>1365</v>
      </c>
      <c r="G2665" s="79"/>
      <c r="H2665" s="79" t="s">
        <v>1580</v>
      </c>
    </row>
    <row r="2666" spans="1:8">
      <c r="A2666" s="79" t="str">
        <f>LeaveData[[#This Row],[ EMP ID]]&amp;LeaveData[[#This Row],[Date]]</f>
        <v>20211800746020</v>
      </c>
      <c r="B2666" s="79">
        <v>202118007</v>
      </c>
      <c r="C2666" s="79" t="s">
        <v>103</v>
      </c>
      <c r="D2666" s="101">
        <v>46020</v>
      </c>
      <c r="E2666" s="79" t="s">
        <v>12</v>
      </c>
      <c r="F2666" s="79" t="s">
        <v>114</v>
      </c>
      <c r="G2666" s="79"/>
      <c r="H2666" s="79" t="s">
        <v>416</v>
      </c>
    </row>
    <row r="2667" spans="1:8">
      <c r="A2667" s="79" t="str">
        <f>LeaveData[[#This Row],[ EMP ID]]&amp;LeaveData[[#This Row],[Date]]</f>
        <v>20211800746017</v>
      </c>
      <c r="B2667" s="79">
        <v>202118007</v>
      </c>
      <c r="C2667" s="79" t="s">
        <v>103</v>
      </c>
      <c r="D2667" s="101">
        <v>46017</v>
      </c>
      <c r="E2667" s="79" t="s">
        <v>16</v>
      </c>
      <c r="F2667" s="79" t="s">
        <v>114</v>
      </c>
      <c r="G2667" s="79"/>
      <c r="H2667" s="79" t="s">
        <v>416</v>
      </c>
    </row>
    <row r="2668" spans="1:8">
      <c r="A2668" s="79" t="str">
        <f>LeaveData[[#This Row],[ EMP ID]]&amp;LeaveData[[#This Row],[Date]]</f>
        <v>20211800746013</v>
      </c>
      <c r="B2668" s="79">
        <v>202118007</v>
      </c>
      <c r="C2668" s="79" t="s">
        <v>103</v>
      </c>
      <c r="D2668" s="101">
        <v>46013</v>
      </c>
      <c r="E2668" s="79" t="s">
        <v>14</v>
      </c>
      <c r="F2668" s="79" t="s">
        <v>114</v>
      </c>
      <c r="G2668" s="79"/>
      <c r="H2668" s="79" t="s">
        <v>416</v>
      </c>
    </row>
    <row r="2669" spans="1:8">
      <c r="A2669" s="79" t="str">
        <f>LeaveData[[#This Row],[ EMP ID]]&amp;LeaveData[[#This Row],[Date]]</f>
        <v>20232000746021</v>
      </c>
      <c r="B2669" s="92">
        <v>202320007</v>
      </c>
      <c r="C2669" s="92" t="s">
        <v>183</v>
      </c>
      <c r="D2669" s="101">
        <v>46021</v>
      </c>
      <c r="E2669" s="79" t="s">
        <v>16</v>
      </c>
      <c r="F2669" s="79" t="s">
        <v>114</v>
      </c>
      <c r="G2669" s="79"/>
      <c r="H2669" s="79" t="s">
        <v>1576</v>
      </c>
    </row>
    <row r="2670" spans="1:8">
      <c r="A2670" s="79" t="str">
        <f>LeaveData[[#This Row],[ EMP ID]]&amp;LeaveData[[#This Row],[Date]]</f>
        <v>20232000746011</v>
      </c>
      <c r="B2670" s="92">
        <v>202320007</v>
      </c>
      <c r="C2670" s="92" t="s">
        <v>183</v>
      </c>
      <c r="D2670" s="101">
        <v>46011</v>
      </c>
      <c r="E2670" s="79" t="s">
        <v>16</v>
      </c>
      <c r="F2670" s="79" t="s">
        <v>114</v>
      </c>
      <c r="G2670" s="79"/>
      <c r="H2670" s="79" t="s">
        <v>416</v>
      </c>
    </row>
    <row r="2671" spans="1:8">
      <c r="A2671" s="79" t="str">
        <f>LeaveData[[#This Row],[ EMP ID]]&amp;LeaveData[[#This Row],[Date]]</f>
        <v>20232000745993</v>
      </c>
      <c r="B2671" s="92">
        <v>202320007</v>
      </c>
      <c r="C2671" s="92" t="s">
        <v>183</v>
      </c>
      <c r="D2671" s="101">
        <v>45993</v>
      </c>
      <c r="E2671" s="79" t="s">
        <v>13</v>
      </c>
      <c r="F2671" s="79" t="s">
        <v>114</v>
      </c>
      <c r="G2671" s="79"/>
      <c r="H2671" s="79" t="s">
        <v>116</v>
      </c>
    </row>
    <row r="2672" spans="1:8">
      <c r="A2672" s="79" t="str">
        <f>LeaveData[[#This Row],[ EMP ID]]&amp;LeaveData[[#This Row],[Date]]</f>
        <v>20232000745994</v>
      </c>
      <c r="B2672" s="92">
        <v>202320007</v>
      </c>
      <c r="C2672" s="92" t="s">
        <v>183</v>
      </c>
      <c r="D2672" s="101">
        <v>45994</v>
      </c>
      <c r="E2672" s="79" t="s">
        <v>13</v>
      </c>
      <c r="F2672" s="79" t="s">
        <v>114</v>
      </c>
      <c r="G2672" s="79"/>
      <c r="H2672" s="79" t="s">
        <v>116</v>
      </c>
    </row>
    <row r="2673" spans="1:8">
      <c r="A2673" s="79" t="str">
        <f>LeaveData[[#This Row],[ EMP ID]]&amp;LeaveData[[#This Row],[Date]]</f>
        <v>20250101346025</v>
      </c>
      <c r="B2673" s="92">
        <v>202501013</v>
      </c>
      <c r="C2673" s="92" t="s">
        <v>1395</v>
      </c>
      <c r="D2673" s="101">
        <v>46025</v>
      </c>
      <c r="E2673" s="79" t="s">
        <v>13</v>
      </c>
      <c r="F2673" s="79" t="s">
        <v>246</v>
      </c>
      <c r="G2673" s="79"/>
      <c r="H2673" s="79" t="s">
        <v>1581</v>
      </c>
    </row>
    <row r="2674" spans="1:8">
      <c r="A2674" s="79" t="str">
        <f>LeaveData[[#This Row],[ EMP ID]]&amp;LeaveData[[#This Row],[Date]]</f>
        <v>20250101346027</v>
      </c>
      <c r="B2674" s="92">
        <v>202501013</v>
      </c>
      <c r="C2674" s="92" t="s">
        <v>1395</v>
      </c>
      <c r="D2674" s="101">
        <v>46027</v>
      </c>
      <c r="E2674" s="79" t="s">
        <v>13</v>
      </c>
      <c r="F2674" s="79" t="s">
        <v>246</v>
      </c>
      <c r="G2674" s="79"/>
      <c r="H2674" s="79" t="s">
        <v>1581</v>
      </c>
    </row>
    <row r="2675" spans="1:8">
      <c r="A2675" s="79" t="str">
        <f>LeaveData[[#This Row],[ EMP ID]]&amp;LeaveData[[#This Row],[Date]]</f>
        <v>20261804946023</v>
      </c>
      <c r="B2675" s="92">
        <v>202618049</v>
      </c>
      <c r="C2675" s="92" t="s">
        <v>1582</v>
      </c>
      <c r="D2675" s="101">
        <v>46023</v>
      </c>
      <c r="E2675" s="79" t="s">
        <v>199</v>
      </c>
      <c r="F2675" s="79" t="s">
        <v>83</v>
      </c>
      <c r="G2675" s="79"/>
      <c r="H2675" s="79" t="s">
        <v>1583</v>
      </c>
    </row>
    <row r="2676" spans="1:8">
      <c r="A2676" s="79" t="str">
        <f>LeaveData[[#This Row],[ EMP ID]]&amp;LeaveData[[#This Row],[Date]]</f>
        <v>20250102146022</v>
      </c>
      <c r="B2676" s="92">
        <v>202501021</v>
      </c>
      <c r="C2676" s="92" t="s">
        <v>1489</v>
      </c>
      <c r="D2676" s="101">
        <v>46022</v>
      </c>
      <c r="E2676" s="79" t="s">
        <v>195</v>
      </c>
      <c r="F2676" s="79" t="s">
        <v>246</v>
      </c>
      <c r="G2676" s="79"/>
      <c r="H2676" s="79" t="s">
        <v>1584</v>
      </c>
    </row>
    <row r="2677" spans="1:8">
      <c r="A2677" s="79" t="str">
        <f>LeaveData[[#This Row],[ EMP ID]]&amp;LeaveData[[#This Row],[Date]]</f>
        <v>20251804846022</v>
      </c>
      <c r="B2677" s="92">
        <v>202518048</v>
      </c>
      <c r="C2677" s="92" t="s">
        <v>1488</v>
      </c>
      <c r="D2677" s="101">
        <v>46022</v>
      </c>
      <c r="E2677" s="79" t="s">
        <v>195</v>
      </c>
      <c r="F2677" s="79" t="s">
        <v>246</v>
      </c>
      <c r="G2677" s="79"/>
      <c r="H2677" s="79" t="s">
        <v>1584</v>
      </c>
    </row>
    <row r="2678" spans="1:8">
      <c r="A2678" s="79" t="str">
        <f>LeaveData[[#This Row],[ EMP ID]]&amp;LeaveData[[#This Row],[Date]]</f>
        <v>20250101246025</v>
      </c>
      <c r="B2678" s="79">
        <v>202501012</v>
      </c>
      <c r="C2678" s="79" t="s">
        <v>1394</v>
      </c>
      <c r="D2678" s="130">
        <v>46025</v>
      </c>
      <c r="E2678" s="79" t="s">
        <v>16</v>
      </c>
      <c r="F2678" s="79" t="s">
        <v>246</v>
      </c>
      <c r="G2678" s="79"/>
      <c r="H2678" s="79" t="s">
        <v>416</v>
      </c>
    </row>
    <row r="2679" spans="1:8">
      <c r="A2679" s="79" t="str">
        <f>LeaveData[[#This Row],[ EMP ID]]&amp;LeaveData[[#This Row],[Date]]</f>
        <v>20250101646025</v>
      </c>
      <c r="B2679" s="92">
        <v>202501016</v>
      </c>
      <c r="C2679" s="92" t="s">
        <v>1430</v>
      </c>
      <c r="D2679" s="101">
        <v>46025</v>
      </c>
      <c r="E2679" s="79" t="s">
        <v>16</v>
      </c>
      <c r="F2679" s="79" t="s">
        <v>235</v>
      </c>
      <c r="G2679" s="79"/>
      <c r="H2679" s="79" t="s">
        <v>416</v>
      </c>
    </row>
    <row r="2680" spans="1:8">
      <c r="A2680" s="79" t="str">
        <f>LeaveData[[#This Row],[ EMP ID]]&amp;LeaveData[[#This Row],[Date]]</f>
        <v>20250102045993</v>
      </c>
      <c r="B2680" s="92">
        <v>202501020</v>
      </c>
      <c r="C2680" s="92" t="s">
        <v>1468</v>
      </c>
      <c r="D2680" s="101">
        <v>45993</v>
      </c>
      <c r="E2680" s="79" t="s">
        <v>12</v>
      </c>
      <c r="F2680" s="79" t="s">
        <v>246</v>
      </c>
      <c r="G2680" s="79"/>
      <c r="H2680" s="79" t="s">
        <v>416</v>
      </c>
    </row>
    <row r="2681" spans="1:8">
      <c r="A2681" s="79" t="str">
        <f>LeaveData[[#This Row],[ EMP ID]]&amp;LeaveData[[#This Row],[Date]]</f>
        <v>20211800746022</v>
      </c>
      <c r="B2681" s="79">
        <v>202118007</v>
      </c>
      <c r="C2681" s="79" t="s">
        <v>103</v>
      </c>
      <c r="D2681" s="101">
        <v>46022</v>
      </c>
      <c r="E2681" s="79" t="s">
        <v>16</v>
      </c>
      <c r="F2681" s="79" t="s">
        <v>114</v>
      </c>
      <c r="G2681" s="79"/>
      <c r="H2681" s="79" t="s">
        <v>1585</v>
      </c>
    </row>
    <row r="2682" spans="1:8">
      <c r="A2682" s="79" t="str">
        <f>LeaveData[[#This Row],[ EMP ID]]&amp;LeaveData[[#This Row],[Date]]</f>
        <v>20211800746023</v>
      </c>
      <c r="B2682" s="79">
        <v>202118007</v>
      </c>
      <c r="C2682" s="79" t="s">
        <v>103</v>
      </c>
      <c r="D2682" s="101">
        <v>46023</v>
      </c>
      <c r="E2682" s="79" t="s">
        <v>16</v>
      </c>
      <c r="F2682" s="79" t="s">
        <v>114</v>
      </c>
      <c r="G2682" s="79"/>
      <c r="H2682" s="79" t="s">
        <v>1585</v>
      </c>
    </row>
    <row r="2683" spans="1:8">
      <c r="A2683" s="79" t="str">
        <f>LeaveData[[#This Row],[ EMP ID]]&amp;LeaveData[[#This Row],[Date]]</f>
        <v>20211800746024</v>
      </c>
      <c r="B2683" s="79">
        <v>202118007</v>
      </c>
      <c r="C2683" s="79" t="s">
        <v>103</v>
      </c>
      <c r="D2683" s="101">
        <v>46024</v>
      </c>
      <c r="E2683" s="79" t="s">
        <v>16</v>
      </c>
      <c r="F2683" s="79" t="s">
        <v>114</v>
      </c>
      <c r="G2683" s="79"/>
      <c r="H2683" s="79" t="s">
        <v>1585</v>
      </c>
    </row>
    <row r="2684" spans="1:8">
      <c r="A2684" s="79" t="str">
        <f>LeaveData[[#This Row],[ EMP ID]]&amp;LeaveData[[#This Row],[Date]]</f>
        <v>20211800746025</v>
      </c>
      <c r="B2684" s="79">
        <v>202118007</v>
      </c>
      <c r="C2684" s="79" t="s">
        <v>103</v>
      </c>
      <c r="D2684" s="101">
        <v>46025</v>
      </c>
      <c r="E2684" s="79" t="s">
        <v>16</v>
      </c>
      <c r="F2684" s="79" t="s">
        <v>114</v>
      </c>
      <c r="G2684" s="79"/>
      <c r="H2684" s="79" t="s">
        <v>1585</v>
      </c>
    </row>
    <row r="2685" spans="1:8">
      <c r="A2685" s="79" t="str">
        <f>LeaveData[[#This Row],[ EMP ID]]&amp;LeaveData[[#This Row],[Date]]</f>
        <v>20211800746027</v>
      </c>
      <c r="B2685" s="79">
        <v>202118007</v>
      </c>
      <c r="C2685" s="79" t="s">
        <v>103</v>
      </c>
      <c r="D2685" s="101">
        <v>46027</v>
      </c>
      <c r="E2685" s="79" t="s">
        <v>16</v>
      </c>
      <c r="F2685" s="79" t="s">
        <v>114</v>
      </c>
      <c r="G2685" s="79"/>
      <c r="H2685" s="79" t="s">
        <v>1585</v>
      </c>
    </row>
    <row r="2686" spans="1:8">
      <c r="A2686" s="79" t="str">
        <f>LeaveData[[#This Row],[ EMP ID]]&amp;LeaveData[[#This Row],[Date]]</f>
        <v>20211800746028</v>
      </c>
      <c r="B2686" s="79">
        <v>202118007</v>
      </c>
      <c r="C2686" s="79" t="s">
        <v>103</v>
      </c>
      <c r="D2686" s="101">
        <v>46028</v>
      </c>
      <c r="E2686" s="79" t="s">
        <v>16</v>
      </c>
      <c r="F2686" s="79" t="s">
        <v>114</v>
      </c>
      <c r="G2686" s="79"/>
      <c r="H2686" s="79" t="s">
        <v>1585</v>
      </c>
    </row>
    <row r="2687" spans="1:8">
      <c r="A2687" s="79" t="str">
        <f>LeaveData[[#This Row],[ EMP ID]]&amp;LeaveData[[#This Row],[Date]]</f>
        <v>20211800746029</v>
      </c>
      <c r="B2687" s="79">
        <v>202118007</v>
      </c>
      <c r="C2687" s="79" t="s">
        <v>103</v>
      </c>
      <c r="D2687" s="101">
        <v>46029</v>
      </c>
      <c r="E2687" s="79" t="s">
        <v>16</v>
      </c>
      <c r="F2687" s="79" t="s">
        <v>114</v>
      </c>
      <c r="G2687" s="79"/>
      <c r="H2687" s="79" t="s">
        <v>1585</v>
      </c>
    </row>
    <row r="2688" spans="1:8">
      <c r="A2688" s="79" t="str">
        <f>LeaveData[[#This Row],[ EMP ID]]&amp;LeaveData[[#This Row],[Date]]</f>
        <v>20211800746030</v>
      </c>
      <c r="B2688" s="79">
        <v>202118007</v>
      </c>
      <c r="C2688" s="79" t="s">
        <v>103</v>
      </c>
      <c r="D2688" s="101">
        <v>46030</v>
      </c>
      <c r="E2688" s="79" t="s">
        <v>16</v>
      </c>
      <c r="F2688" s="79" t="s">
        <v>114</v>
      </c>
      <c r="G2688" s="79"/>
      <c r="H2688" s="79" t="s">
        <v>1585</v>
      </c>
    </row>
    <row r="2689" spans="1:8">
      <c r="A2689" s="79" t="str">
        <f>LeaveData[[#This Row],[ EMP ID]]&amp;LeaveData[[#This Row],[Date]]</f>
        <v>20211800746031</v>
      </c>
      <c r="B2689" s="79">
        <v>202118007</v>
      </c>
      <c r="C2689" s="79" t="s">
        <v>103</v>
      </c>
      <c r="D2689" s="101">
        <v>46031</v>
      </c>
      <c r="E2689" s="79" t="s">
        <v>16</v>
      </c>
      <c r="F2689" s="79" t="s">
        <v>114</v>
      </c>
      <c r="G2689" s="79"/>
      <c r="H2689" s="79" t="s">
        <v>1585</v>
      </c>
    </row>
    <row r="2690" spans="1:8">
      <c r="A2690" s="79" t="str">
        <f>LeaveData[[#This Row],[ EMP ID]]&amp;LeaveData[[#This Row],[Date]]</f>
        <v>20211800746032</v>
      </c>
      <c r="B2690" s="79">
        <v>202118007</v>
      </c>
      <c r="C2690" s="79" t="s">
        <v>103</v>
      </c>
      <c r="D2690" s="101">
        <v>46032</v>
      </c>
      <c r="E2690" s="79" t="s">
        <v>16</v>
      </c>
      <c r="F2690" s="79" t="s">
        <v>114</v>
      </c>
      <c r="G2690" s="79"/>
      <c r="H2690" s="79" t="s">
        <v>1585</v>
      </c>
    </row>
    <row r="2691" spans="1:8">
      <c r="A2691" s="79" t="str">
        <f>LeaveData[[#This Row],[ EMP ID]]&amp;LeaveData[[#This Row],[Date]]</f>
        <v>20211800746033</v>
      </c>
      <c r="B2691" s="79">
        <v>202118007</v>
      </c>
      <c r="C2691" s="79" t="s">
        <v>103</v>
      </c>
      <c r="D2691" s="101">
        <v>46033</v>
      </c>
      <c r="E2691" s="79" t="s">
        <v>16</v>
      </c>
      <c r="F2691" s="79" t="s">
        <v>114</v>
      </c>
      <c r="G2691" s="79"/>
      <c r="H2691" s="79" t="s">
        <v>1585</v>
      </c>
    </row>
    <row r="2692" spans="1:8">
      <c r="A2692" s="79" t="str">
        <f>LeaveData[[#This Row],[ EMP ID]]&amp;LeaveData[[#This Row],[Date]]</f>
        <v>20211800746034</v>
      </c>
      <c r="B2692" s="79">
        <v>202118007</v>
      </c>
      <c r="C2692" s="79" t="s">
        <v>103</v>
      </c>
      <c r="D2692" s="101">
        <v>46034</v>
      </c>
      <c r="E2692" s="79" t="s">
        <v>16</v>
      </c>
      <c r="F2692" s="79" t="s">
        <v>114</v>
      </c>
      <c r="G2692" s="79"/>
      <c r="H2692" s="79" t="s">
        <v>1585</v>
      </c>
    </row>
    <row r="2693" spans="1:8">
      <c r="A2693" s="79" t="str">
        <f>LeaveData[[#This Row],[ EMP ID]]&amp;LeaveData[[#This Row],[Date]]</f>
        <v>20211800746035</v>
      </c>
      <c r="B2693" s="79">
        <v>202118007</v>
      </c>
      <c r="C2693" s="79" t="s">
        <v>103</v>
      </c>
      <c r="D2693" s="101">
        <v>46035</v>
      </c>
      <c r="E2693" s="79" t="s">
        <v>16</v>
      </c>
      <c r="F2693" s="79" t="s">
        <v>114</v>
      </c>
      <c r="G2693" s="79"/>
      <c r="H2693" s="79" t="s">
        <v>1585</v>
      </c>
    </row>
    <row r="2694" spans="1:8">
      <c r="A2694" s="79" t="str">
        <f>LeaveData[[#This Row],[ EMP ID]]&amp;LeaveData[[#This Row],[Date]]</f>
        <v>20211800746038</v>
      </c>
      <c r="B2694" s="79">
        <v>202118007</v>
      </c>
      <c r="C2694" s="79" t="s">
        <v>103</v>
      </c>
      <c r="D2694" s="101">
        <v>46038</v>
      </c>
      <c r="E2694" s="79" t="s">
        <v>318</v>
      </c>
      <c r="F2694" s="79" t="s">
        <v>114</v>
      </c>
      <c r="G2694" s="79"/>
      <c r="H2694" s="79" t="s">
        <v>1586</v>
      </c>
    </row>
    <row r="2695" spans="1:8">
      <c r="A2695" s="79" t="str">
        <f>LeaveData[[#This Row],[ EMP ID]]&amp;LeaveData[[#This Row],[Date]]</f>
        <v>20250101646012</v>
      </c>
      <c r="B2695" s="92">
        <v>202501016</v>
      </c>
      <c r="C2695" s="92" t="s">
        <v>1430</v>
      </c>
      <c r="D2695" s="101">
        <v>46012</v>
      </c>
      <c r="E2695" s="79" t="s">
        <v>154</v>
      </c>
      <c r="F2695" s="79" t="s">
        <v>235</v>
      </c>
      <c r="G2695" s="79"/>
      <c r="H2695" s="79" t="s">
        <v>1587</v>
      </c>
    </row>
    <row r="2696" spans="1:8">
      <c r="A2696" s="79" t="str">
        <f>LeaveData[[#This Row],[ EMP ID]]&amp;LeaveData[[#This Row],[Date]]</f>
        <v>20232000746041</v>
      </c>
      <c r="B2696" s="92">
        <v>202320007</v>
      </c>
      <c r="C2696" s="92" t="s">
        <v>183</v>
      </c>
      <c r="D2696" s="101">
        <v>46041</v>
      </c>
      <c r="E2696" s="79" t="s">
        <v>13</v>
      </c>
      <c r="F2696" s="79" t="s">
        <v>114</v>
      </c>
      <c r="G2696" s="79"/>
      <c r="H2696" s="79" t="s">
        <v>1588</v>
      </c>
    </row>
    <row r="2697" spans="1:8">
      <c r="A2697" s="79" t="str">
        <f>LeaveData[[#This Row],[ EMP ID]]&amp;LeaveData[[#This Row],[Date]]</f>
        <v>20232000746042</v>
      </c>
      <c r="B2697" s="92">
        <v>202320007</v>
      </c>
      <c r="C2697" s="92" t="s">
        <v>183</v>
      </c>
      <c r="D2697" s="101">
        <v>46042</v>
      </c>
      <c r="E2697" s="79" t="s">
        <v>13</v>
      </c>
      <c r="F2697" s="79" t="s">
        <v>114</v>
      </c>
      <c r="G2697" s="79"/>
      <c r="H2697" s="79" t="s">
        <v>1588</v>
      </c>
    </row>
    <row r="2698" spans="1:8">
      <c r="A2698" s="79" t="str">
        <f>LeaveData[[#This Row],[ EMP ID]]&amp;LeaveData[[#This Row],[Date]]</f>
        <v>20232000746043</v>
      </c>
      <c r="B2698" s="92">
        <v>202320007</v>
      </c>
      <c r="C2698" s="92" t="s">
        <v>183</v>
      </c>
      <c r="D2698" s="101">
        <v>46043</v>
      </c>
      <c r="E2698" s="79" t="s">
        <v>13</v>
      </c>
      <c r="F2698" s="79" t="s">
        <v>114</v>
      </c>
      <c r="G2698" s="79"/>
      <c r="H2698" s="79" t="s">
        <v>1588</v>
      </c>
    </row>
    <row r="2699" spans="1:8">
      <c r="A2699" s="79" t="str">
        <f>LeaveData[[#This Row],[ EMP ID]]&amp;LeaveData[[#This Row],[Date]]</f>
        <v>20232000746044</v>
      </c>
      <c r="B2699" s="92">
        <v>202320007</v>
      </c>
      <c r="C2699" s="92" t="s">
        <v>183</v>
      </c>
      <c r="D2699" s="101">
        <v>46044</v>
      </c>
      <c r="E2699" s="79" t="s">
        <v>13</v>
      </c>
      <c r="F2699" s="79" t="s">
        <v>114</v>
      </c>
      <c r="G2699" s="79"/>
      <c r="H2699" s="79" t="s">
        <v>1588</v>
      </c>
    </row>
    <row r="2700" spans="1:8">
      <c r="A2700" s="79" t="str">
        <f>LeaveData[[#This Row],[ EMP ID]]&amp;LeaveData[[#This Row],[Date]]</f>
        <v>20232000746045</v>
      </c>
      <c r="B2700" s="92">
        <v>202320007</v>
      </c>
      <c r="C2700" s="92" t="s">
        <v>183</v>
      </c>
      <c r="D2700" s="101">
        <v>46045</v>
      </c>
      <c r="E2700" s="79" t="s">
        <v>13</v>
      </c>
      <c r="F2700" s="79" t="s">
        <v>114</v>
      </c>
      <c r="G2700" s="79"/>
      <c r="H2700" s="79" t="s">
        <v>1588</v>
      </c>
    </row>
    <row r="2701" spans="1:8">
      <c r="A2701" s="79" t="str">
        <f>LeaveData[[#This Row],[ EMP ID]]&amp;LeaveData[[#This Row],[Date]]</f>
        <v>20232000746048</v>
      </c>
      <c r="B2701" s="92">
        <v>202320007</v>
      </c>
      <c r="C2701" s="92" t="s">
        <v>183</v>
      </c>
      <c r="D2701" s="101">
        <v>46048</v>
      </c>
      <c r="E2701" s="79" t="s">
        <v>13</v>
      </c>
      <c r="F2701" s="79" t="s">
        <v>114</v>
      </c>
      <c r="G2701" s="79"/>
      <c r="H2701" s="79" t="s">
        <v>1588</v>
      </c>
    </row>
    <row r="2702" spans="1:8">
      <c r="A2702" s="79" t="str">
        <f>LeaveData[[#This Row],[ EMP ID]]&amp;LeaveData[[#This Row],[Date]]</f>
        <v>20232000746049</v>
      </c>
      <c r="B2702" s="92">
        <v>202320007</v>
      </c>
      <c r="C2702" s="92" t="s">
        <v>183</v>
      </c>
      <c r="D2702" s="101">
        <v>46049</v>
      </c>
      <c r="E2702" s="79" t="s">
        <v>13</v>
      </c>
      <c r="F2702" s="79" t="s">
        <v>114</v>
      </c>
      <c r="G2702" s="79"/>
      <c r="H2702" s="79" t="s">
        <v>1588</v>
      </c>
    </row>
    <row r="2703" spans="1:8">
      <c r="A2703" s="79" t="str">
        <f>LeaveData[[#This Row],[ EMP ID]]&amp;LeaveData[[#This Row],[Date]]</f>
        <v>20232000746050</v>
      </c>
      <c r="B2703" s="92">
        <v>202320007</v>
      </c>
      <c r="C2703" s="92" t="s">
        <v>183</v>
      </c>
      <c r="D2703" s="101">
        <v>46050</v>
      </c>
      <c r="E2703" s="79" t="s">
        <v>13</v>
      </c>
      <c r="F2703" s="79" t="s">
        <v>114</v>
      </c>
      <c r="G2703" s="79"/>
      <c r="H2703" s="79" t="s">
        <v>1588</v>
      </c>
    </row>
    <row r="2704" spans="1:8">
      <c r="A2704" s="79" t="str">
        <f>LeaveData[[#This Row],[ EMP ID]]&amp;LeaveData[[#This Row],[Date]]</f>
        <v>20232000746051</v>
      </c>
      <c r="B2704" s="92">
        <v>202320007</v>
      </c>
      <c r="C2704" s="92" t="s">
        <v>183</v>
      </c>
      <c r="D2704" s="101">
        <v>46051</v>
      </c>
      <c r="E2704" s="79" t="s">
        <v>13</v>
      </c>
      <c r="F2704" s="79" t="s">
        <v>114</v>
      </c>
      <c r="G2704" s="79"/>
      <c r="H2704" s="79" t="s">
        <v>1588</v>
      </c>
    </row>
    <row r="2705" spans="1:8">
      <c r="A2705" s="79" t="str">
        <f>LeaveData[[#This Row],[ EMP ID]]&amp;LeaveData[[#This Row],[Date]]</f>
        <v>20232000746052</v>
      </c>
      <c r="B2705" s="92">
        <v>202320007</v>
      </c>
      <c r="C2705" s="92" t="s">
        <v>183</v>
      </c>
      <c r="D2705" s="101">
        <v>46052</v>
      </c>
      <c r="E2705" s="79" t="s">
        <v>13</v>
      </c>
      <c r="F2705" s="79" t="s">
        <v>114</v>
      </c>
      <c r="G2705" s="79"/>
      <c r="H2705" s="79" t="s">
        <v>1588</v>
      </c>
    </row>
    <row r="2706" spans="1:8">
      <c r="A2706" s="79" t="str">
        <f>LeaveData[[#This Row],[ EMP ID]]&amp;LeaveData[[#This Row],[Date]]</f>
        <v>20232000746053</v>
      </c>
      <c r="B2706" s="92">
        <v>202320007</v>
      </c>
      <c r="C2706" s="92" t="s">
        <v>183</v>
      </c>
      <c r="D2706" s="101">
        <v>46053</v>
      </c>
      <c r="E2706" s="79" t="s">
        <v>13</v>
      </c>
      <c r="F2706" s="79" t="s">
        <v>114</v>
      </c>
      <c r="G2706" s="79"/>
      <c r="H2706" s="79" t="s">
        <v>1588</v>
      </c>
    </row>
    <row r="2707" spans="1:8">
      <c r="A2707" s="79" t="str">
        <f>LeaveData[[#This Row],[ EMP ID]]&amp;LeaveData[[#This Row],[Date]]</f>
        <v>20232000746055</v>
      </c>
      <c r="B2707" s="92">
        <v>202320007</v>
      </c>
      <c r="C2707" s="92" t="s">
        <v>183</v>
      </c>
      <c r="D2707" s="101">
        <v>46055</v>
      </c>
      <c r="E2707" s="79" t="s">
        <v>13</v>
      </c>
      <c r="F2707" s="79" t="s">
        <v>114</v>
      </c>
      <c r="G2707" s="79"/>
      <c r="H2707" s="79" t="s">
        <v>1588</v>
      </c>
    </row>
    <row r="2708" spans="1:8">
      <c r="A2708" s="79" t="str">
        <f>LeaveData[[#This Row],[ EMP ID]]&amp;LeaveData[[#This Row],[Date]]</f>
        <v>20232000746056</v>
      </c>
      <c r="B2708" s="92">
        <v>202320007</v>
      </c>
      <c r="C2708" s="92" t="s">
        <v>183</v>
      </c>
      <c r="D2708" s="101">
        <v>46056</v>
      </c>
      <c r="E2708" s="79" t="s">
        <v>13</v>
      </c>
      <c r="F2708" s="79" t="s">
        <v>114</v>
      </c>
      <c r="G2708" s="79"/>
      <c r="H2708" s="79" t="s">
        <v>1588</v>
      </c>
    </row>
    <row r="2709" spans="1:8">
      <c r="A2709" s="79" t="str">
        <f>LeaveData[[#This Row],[ EMP ID]]&amp;LeaveData[[#This Row],[Date]]</f>
        <v>20232000746057</v>
      </c>
      <c r="B2709" s="92">
        <v>202320007</v>
      </c>
      <c r="C2709" s="92" t="s">
        <v>183</v>
      </c>
      <c r="D2709" s="101">
        <v>46057</v>
      </c>
      <c r="E2709" s="79" t="s">
        <v>13</v>
      </c>
      <c r="F2709" s="79" t="s">
        <v>114</v>
      </c>
      <c r="G2709" s="79"/>
      <c r="H2709" s="79" t="s">
        <v>1588</v>
      </c>
    </row>
    <row r="2710" spans="1:8">
      <c r="A2710" s="79" t="str">
        <f>LeaveData[[#This Row],[ EMP ID]]&amp;LeaveData[[#This Row],[Date]]</f>
        <v>20232000746058</v>
      </c>
      <c r="B2710" s="92">
        <v>202320007</v>
      </c>
      <c r="C2710" s="92" t="s">
        <v>183</v>
      </c>
      <c r="D2710" s="101">
        <v>46058</v>
      </c>
      <c r="E2710" s="79" t="s">
        <v>13</v>
      </c>
      <c r="F2710" s="79" t="s">
        <v>114</v>
      </c>
      <c r="G2710" s="79"/>
      <c r="H2710" s="79" t="s">
        <v>1588</v>
      </c>
    </row>
    <row r="2711" spans="1:8">
      <c r="A2711" s="79" t="str">
        <f>LeaveData[[#This Row],[ EMP ID]]&amp;LeaveData[[#This Row],[Date]]</f>
        <v>20232000746059</v>
      </c>
      <c r="B2711" s="92">
        <v>202320007</v>
      </c>
      <c r="C2711" s="92" t="s">
        <v>183</v>
      </c>
      <c r="D2711" s="101">
        <v>46059</v>
      </c>
      <c r="E2711" s="79" t="s">
        <v>13</v>
      </c>
      <c r="F2711" s="79" t="s">
        <v>114</v>
      </c>
      <c r="G2711" s="79"/>
      <c r="H2711" s="79" t="s">
        <v>1588</v>
      </c>
    </row>
    <row r="2712" spans="1:8">
      <c r="A2712" s="79" t="str">
        <f>LeaveData[[#This Row],[ EMP ID]]&amp;LeaveData[[#This Row],[Date]]</f>
        <v>20232000746060</v>
      </c>
      <c r="B2712" s="92">
        <v>202320007</v>
      </c>
      <c r="C2712" s="92" t="s">
        <v>183</v>
      </c>
      <c r="D2712" s="101">
        <v>46060</v>
      </c>
      <c r="E2712" s="79" t="s">
        <v>13</v>
      </c>
      <c r="F2712" s="79" t="s">
        <v>114</v>
      </c>
      <c r="G2712" s="79"/>
      <c r="H2712" s="79" t="s">
        <v>1588</v>
      </c>
    </row>
    <row r="2713" spans="1:8">
      <c r="A2713" s="79" t="str">
        <f>LeaveData[[#This Row],[ EMP ID]]&amp;LeaveData[[#This Row],[Date]]</f>
        <v>20250101246027</v>
      </c>
      <c r="B2713" s="79">
        <v>202501012</v>
      </c>
      <c r="C2713" s="79" t="s">
        <v>1394</v>
      </c>
      <c r="D2713" s="101">
        <v>46027</v>
      </c>
      <c r="E2713" s="79" t="s">
        <v>12</v>
      </c>
      <c r="F2713" s="79" t="s">
        <v>246</v>
      </c>
      <c r="G2713" s="79"/>
      <c r="H2713" s="79" t="s">
        <v>416</v>
      </c>
    </row>
    <row r="2714" spans="1:8">
      <c r="A2714" s="79" t="str">
        <f>LeaveData[[#This Row],[ EMP ID]]&amp;LeaveData[[#This Row],[Date]]</f>
        <v>20250101646027</v>
      </c>
      <c r="B2714" s="92">
        <v>202501016</v>
      </c>
      <c r="C2714" s="92" t="s">
        <v>1430</v>
      </c>
      <c r="D2714" s="101">
        <v>46027</v>
      </c>
      <c r="E2714" s="79" t="s">
        <v>16</v>
      </c>
      <c r="F2714" s="79" t="s">
        <v>235</v>
      </c>
      <c r="G2714" s="79"/>
      <c r="H2714" s="79" t="s">
        <v>416</v>
      </c>
    </row>
    <row r="2715" spans="1:8">
      <c r="A2715" s="79" t="str">
        <f>LeaveData[[#This Row],[ EMP ID]]&amp;LeaveData[[#This Row],[Date]]</f>
        <v>20232000746026</v>
      </c>
      <c r="B2715" s="92">
        <v>202320007</v>
      </c>
      <c r="C2715" s="92" t="s">
        <v>183</v>
      </c>
      <c r="D2715" s="101">
        <v>46026</v>
      </c>
      <c r="E2715" s="79" t="s">
        <v>154</v>
      </c>
      <c r="F2715" s="79" t="s">
        <v>125</v>
      </c>
      <c r="G2715" s="79"/>
      <c r="H2715" s="79" t="s">
        <v>1589</v>
      </c>
    </row>
    <row r="2716" spans="1:8">
      <c r="A2716" s="79" t="str">
        <f>LeaveData[[#This Row],[ EMP ID]]&amp;LeaveData[[#This Row],[Date]]</f>
        <v>20250101946024</v>
      </c>
      <c r="B2716" s="92">
        <v>202501019</v>
      </c>
      <c r="C2716" s="92" t="s">
        <v>1461</v>
      </c>
      <c r="D2716" s="101">
        <v>46024</v>
      </c>
      <c r="E2716" s="79" t="s">
        <v>14</v>
      </c>
      <c r="F2716" s="79" t="s">
        <v>125</v>
      </c>
      <c r="G2716" s="79"/>
      <c r="H2716" s="79" t="s">
        <v>1590</v>
      </c>
    </row>
    <row r="2717" spans="1:8">
      <c r="A2717" s="79" t="str">
        <f>LeaveData[[#This Row],[ EMP ID]]&amp;LeaveData[[#This Row],[Date]]</f>
        <v>20250101246028</v>
      </c>
      <c r="B2717" s="79">
        <v>202501012</v>
      </c>
      <c r="C2717" s="79" t="s">
        <v>1394</v>
      </c>
      <c r="D2717" s="101">
        <v>46028</v>
      </c>
      <c r="E2717" s="79" t="s">
        <v>12</v>
      </c>
      <c r="F2717" s="79" t="s">
        <v>246</v>
      </c>
      <c r="G2717" s="79"/>
      <c r="H2717" s="79" t="s">
        <v>416</v>
      </c>
    </row>
    <row r="2718" spans="1:8">
      <c r="A2718" s="79" t="str">
        <f>LeaveData[[#This Row],[ EMP ID]]&amp;LeaveData[[#This Row],[Date]]</f>
        <v>20251804646026</v>
      </c>
      <c r="B2718" s="92" t="s">
        <v>1573</v>
      </c>
      <c r="C2718" s="122" t="s">
        <v>403</v>
      </c>
      <c r="D2718" s="101">
        <v>46026</v>
      </c>
      <c r="E2718" s="79" t="s">
        <v>154</v>
      </c>
      <c r="F2718" s="79" t="s">
        <v>43</v>
      </c>
      <c r="G2718" s="79"/>
      <c r="H2718" s="79" t="s">
        <v>422</v>
      </c>
    </row>
    <row r="2719" spans="1:8">
      <c r="A2719" s="79" t="str">
        <f>LeaveData[[#This Row],[ EMP ID]]&amp;LeaveData[[#This Row],[Date]]</f>
        <v>20251804646028</v>
      </c>
      <c r="B2719" s="92" t="s">
        <v>1573</v>
      </c>
      <c r="C2719" s="122" t="s">
        <v>403</v>
      </c>
      <c r="D2719" s="101">
        <v>46028</v>
      </c>
      <c r="E2719" s="79" t="s">
        <v>16</v>
      </c>
      <c r="F2719" s="79" t="s">
        <v>43</v>
      </c>
      <c r="G2719" s="79"/>
      <c r="H2719" s="79" t="s">
        <v>1591</v>
      </c>
    </row>
    <row r="2720" spans="1:8">
      <c r="A2720" s="79" t="str">
        <f>LeaveData[[#This Row],[ EMP ID]]&amp;LeaveData[[#This Row],[Date]]</f>
        <v>20250101246029</v>
      </c>
      <c r="B2720" s="79">
        <v>202501012</v>
      </c>
      <c r="C2720" s="79" t="s">
        <v>1394</v>
      </c>
      <c r="D2720" s="101">
        <v>46029</v>
      </c>
      <c r="E2720" s="79" t="s">
        <v>16</v>
      </c>
      <c r="F2720" s="79" t="s">
        <v>246</v>
      </c>
      <c r="G2720" s="79"/>
      <c r="H2720" s="79" t="s">
        <v>416</v>
      </c>
    </row>
    <row r="2721" spans="1:8">
      <c r="A2721" s="79" t="str">
        <f>LeaveData[[#This Row],[ EMP ID]]&amp;LeaveData[[#This Row],[Date]]</f>
        <v>20251804646032</v>
      </c>
      <c r="B2721" s="92" t="s">
        <v>1573</v>
      </c>
      <c r="C2721" s="122" t="s">
        <v>403</v>
      </c>
      <c r="D2721" s="101">
        <v>46032</v>
      </c>
      <c r="E2721" s="79" t="s">
        <v>12</v>
      </c>
      <c r="F2721" s="79" t="s">
        <v>1592</v>
      </c>
      <c r="G2721" s="79"/>
      <c r="H2721" s="79" t="s">
        <v>416</v>
      </c>
    </row>
    <row r="2722" spans="1:8">
      <c r="A2722" s="79" t="str">
        <f>LeaveData[[#This Row],[ EMP ID]]&amp;LeaveData[[#This Row],[Date]]</f>
        <v>20221801146062</v>
      </c>
      <c r="B2722" s="92">
        <v>202218011</v>
      </c>
      <c r="C2722" s="92" t="s">
        <v>28</v>
      </c>
      <c r="D2722" s="101">
        <v>46062</v>
      </c>
      <c r="E2722" s="79" t="s">
        <v>13</v>
      </c>
      <c r="F2722" s="79" t="s">
        <v>235</v>
      </c>
      <c r="G2722" s="79"/>
      <c r="H2722" s="79" t="s">
        <v>1593</v>
      </c>
    </row>
    <row r="2723" spans="1:8">
      <c r="A2723" s="79" t="str">
        <f>LeaveData[[#This Row],[ EMP ID]]&amp;LeaveData[[#This Row],[Date]]</f>
        <v>20221801146063</v>
      </c>
      <c r="B2723" s="92">
        <v>202218011</v>
      </c>
      <c r="C2723" s="92" t="s">
        <v>28</v>
      </c>
      <c r="D2723" s="101">
        <v>46063</v>
      </c>
      <c r="E2723" s="79" t="s">
        <v>13</v>
      </c>
      <c r="F2723" s="79" t="s">
        <v>235</v>
      </c>
      <c r="G2723" s="79"/>
      <c r="H2723" s="79" t="s">
        <v>1593</v>
      </c>
    </row>
    <row r="2724" spans="1:8">
      <c r="A2724" s="79" t="str">
        <f>LeaveData[[#This Row],[ EMP ID]]&amp;LeaveData[[#This Row],[Date]]</f>
        <v>20221801146064</v>
      </c>
      <c r="B2724" s="92">
        <v>202218011</v>
      </c>
      <c r="C2724" s="92" t="s">
        <v>28</v>
      </c>
      <c r="D2724" s="101">
        <v>46064</v>
      </c>
      <c r="E2724" s="79" t="s">
        <v>13</v>
      </c>
      <c r="F2724" s="79" t="s">
        <v>235</v>
      </c>
      <c r="G2724" s="79"/>
      <c r="H2724" s="79" t="s">
        <v>1593</v>
      </c>
    </row>
    <row r="2725" spans="1:8">
      <c r="A2725" s="79" t="str">
        <f>LeaveData[[#This Row],[ EMP ID]]&amp;LeaveData[[#This Row],[Date]]</f>
        <v>20221801146065</v>
      </c>
      <c r="B2725" s="92">
        <v>202218011</v>
      </c>
      <c r="C2725" s="92" t="s">
        <v>28</v>
      </c>
      <c r="D2725" s="101">
        <v>46065</v>
      </c>
      <c r="E2725" s="79" t="s">
        <v>13</v>
      </c>
      <c r="F2725" s="79" t="s">
        <v>235</v>
      </c>
      <c r="G2725" s="79"/>
      <c r="H2725" s="79" t="s">
        <v>1593</v>
      </c>
    </row>
    <row r="2726" spans="1:8">
      <c r="A2726" s="79" t="str">
        <f>LeaveData[[#This Row],[ EMP ID]]&amp;LeaveData[[#This Row],[Date]]</f>
        <v>20221801146066</v>
      </c>
      <c r="B2726" s="92">
        <v>202218011</v>
      </c>
      <c r="C2726" s="92" t="s">
        <v>28</v>
      </c>
      <c r="D2726" s="101">
        <v>46066</v>
      </c>
      <c r="E2726" s="79" t="s">
        <v>13</v>
      </c>
      <c r="F2726" s="79" t="s">
        <v>235</v>
      </c>
      <c r="G2726" s="79"/>
      <c r="H2726" s="79" t="s">
        <v>1593</v>
      </c>
    </row>
    <row r="2727" spans="1:8">
      <c r="A2727" s="79" t="str">
        <f>LeaveData[[#This Row],[ EMP ID]]&amp;LeaveData[[#This Row],[Date]]</f>
        <v>20221801146069</v>
      </c>
      <c r="B2727" s="92">
        <v>202218011</v>
      </c>
      <c r="C2727" s="92" t="s">
        <v>28</v>
      </c>
      <c r="D2727" s="101">
        <v>46069</v>
      </c>
      <c r="E2727" s="79" t="s">
        <v>13</v>
      </c>
      <c r="F2727" s="79" t="s">
        <v>235</v>
      </c>
      <c r="G2727" s="79"/>
      <c r="H2727" s="79" t="s">
        <v>1593</v>
      </c>
    </row>
    <row r="2728" spans="1:8">
      <c r="A2728" s="79" t="str">
        <f>LeaveData[[#This Row],[ EMP ID]]&amp;LeaveData[[#This Row],[Date]]</f>
        <v>20221801146070</v>
      </c>
      <c r="B2728" s="92">
        <v>202218011</v>
      </c>
      <c r="C2728" s="92" t="s">
        <v>28</v>
      </c>
      <c r="D2728" s="101">
        <v>46070</v>
      </c>
      <c r="E2728" s="79" t="s">
        <v>13</v>
      </c>
      <c r="F2728" s="79" t="s">
        <v>235</v>
      </c>
      <c r="G2728" s="79"/>
      <c r="H2728" s="79" t="s">
        <v>1593</v>
      </c>
    </row>
    <row r="2729" spans="1:8">
      <c r="A2729" s="79" t="str">
        <f>LeaveData[[#This Row],[ EMP ID]]&amp;LeaveData[[#This Row],[Date]]</f>
        <v>20221801146071</v>
      </c>
      <c r="B2729" s="92">
        <v>202218011</v>
      </c>
      <c r="C2729" s="92" t="s">
        <v>28</v>
      </c>
      <c r="D2729" s="101">
        <v>46071</v>
      </c>
      <c r="E2729" s="79" t="s">
        <v>13</v>
      </c>
      <c r="F2729" s="79" t="s">
        <v>235</v>
      </c>
      <c r="G2729" s="79"/>
      <c r="H2729" s="79" t="s">
        <v>1593</v>
      </c>
    </row>
    <row r="2730" spans="1:8">
      <c r="A2730" s="79" t="str">
        <f>LeaveData[[#This Row],[ EMP ID]]&amp;LeaveData[[#This Row],[Date]]</f>
        <v>20221801146072</v>
      </c>
      <c r="B2730" s="92">
        <v>202218011</v>
      </c>
      <c r="C2730" s="92" t="s">
        <v>28</v>
      </c>
      <c r="D2730" s="101">
        <v>46072</v>
      </c>
      <c r="E2730" s="79" t="s">
        <v>13</v>
      </c>
      <c r="F2730" s="79" t="s">
        <v>235</v>
      </c>
      <c r="G2730" s="79"/>
      <c r="H2730" s="79" t="s">
        <v>1593</v>
      </c>
    </row>
    <row r="2731" spans="1:8">
      <c r="A2731" s="79" t="str">
        <f>LeaveData[[#This Row],[ EMP ID]]&amp;LeaveData[[#This Row],[Date]]</f>
        <v>20221801146073</v>
      </c>
      <c r="B2731" s="92">
        <v>202218011</v>
      </c>
      <c r="C2731" s="92" t="s">
        <v>28</v>
      </c>
      <c r="D2731" s="101">
        <v>46073</v>
      </c>
      <c r="E2731" s="79" t="s">
        <v>13</v>
      </c>
      <c r="F2731" s="79" t="s">
        <v>235</v>
      </c>
      <c r="G2731" s="79"/>
      <c r="H2731" s="79" t="s">
        <v>1593</v>
      </c>
    </row>
    <row r="2732" spans="1:8">
      <c r="A2732" s="79" t="str">
        <f>LeaveData[[#This Row],[ EMP ID]]&amp;LeaveData[[#This Row],[Date]]</f>
        <v>20221801146074</v>
      </c>
      <c r="B2732" s="92">
        <v>202218011</v>
      </c>
      <c r="C2732" s="92" t="s">
        <v>28</v>
      </c>
      <c r="D2732" s="101">
        <v>46074</v>
      </c>
      <c r="E2732" s="79" t="s">
        <v>13</v>
      </c>
      <c r="F2732" s="79" t="s">
        <v>235</v>
      </c>
      <c r="G2732" s="79"/>
      <c r="H2732" s="79" t="s">
        <v>1593</v>
      </c>
    </row>
    <row r="2733" spans="1:8">
      <c r="A2733" s="79" t="str">
        <f>LeaveData[[#This Row],[ EMP ID]]&amp;LeaveData[[#This Row],[Date]]</f>
        <v>20221801146076</v>
      </c>
      <c r="B2733" s="92">
        <v>202218011</v>
      </c>
      <c r="C2733" s="92" t="s">
        <v>28</v>
      </c>
      <c r="D2733" s="101">
        <v>46076</v>
      </c>
      <c r="E2733" s="79" t="s">
        <v>13</v>
      </c>
      <c r="F2733" s="79" t="s">
        <v>235</v>
      </c>
      <c r="G2733" s="79"/>
      <c r="H2733" s="79" t="s">
        <v>1593</v>
      </c>
    </row>
    <row r="2734" spans="1:8">
      <c r="A2734" s="79" t="str">
        <f>LeaveData[[#This Row],[ EMP ID]]&amp;LeaveData[[#This Row],[Date]]</f>
        <v>20221801146077</v>
      </c>
      <c r="B2734" s="92">
        <v>202218011</v>
      </c>
      <c r="C2734" s="92" t="s">
        <v>28</v>
      </c>
      <c r="D2734" s="101">
        <v>46077</v>
      </c>
      <c r="E2734" s="79" t="s">
        <v>13</v>
      </c>
      <c r="F2734" s="79" t="s">
        <v>235</v>
      </c>
      <c r="G2734" s="79"/>
      <c r="H2734" s="79" t="s">
        <v>1593</v>
      </c>
    </row>
    <row r="2735" spans="1:8">
      <c r="A2735" s="79" t="str">
        <f>LeaveData[[#This Row],[ EMP ID]]&amp;LeaveData[[#This Row],[Date]]</f>
        <v>20221801146078</v>
      </c>
      <c r="B2735" s="92">
        <v>202218011</v>
      </c>
      <c r="C2735" s="92" t="s">
        <v>28</v>
      </c>
      <c r="D2735" s="101">
        <v>46078</v>
      </c>
      <c r="E2735" s="79" t="s">
        <v>13</v>
      </c>
      <c r="F2735" s="79" t="s">
        <v>235</v>
      </c>
      <c r="G2735" s="79"/>
      <c r="H2735" s="79" t="s">
        <v>1593</v>
      </c>
    </row>
    <row r="2736" spans="1:8">
      <c r="A2736" s="79" t="str">
        <f>LeaveData[[#This Row],[ EMP ID]]&amp;LeaveData[[#This Row],[Date]]</f>
        <v>20221801146079</v>
      </c>
      <c r="B2736" s="92">
        <v>202218011</v>
      </c>
      <c r="C2736" s="92" t="s">
        <v>28</v>
      </c>
      <c r="D2736" s="101">
        <v>46079</v>
      </c>
      <c r="E2736" s="79" t="s">
        <v>13</v>
      </c>
      <c r="F2736" s="79" t="s">
        <v>235</v>
      </c>
      <c r="G2736" s="79"/>
      <c r="H2736" s="79" t="s">
        <v>1593</v>
      </c>
    </row>
    <row r="2737" spans="1:8">
      <c r="A2737" s="79" t="str">
        <f>LeaveData[[#This Row],[ EMP ID]]&amp;LeaveData[[#This Row],[Date]]</f>
        <v>20221801146080</v>
      </c>
      <c r="B2737" s="92">
        <v>202218011</v>
      </c>
      <c r="C2737" s="92" t="s">
        <v>28</v>
      </c>
      <c r="D2737" s="101">
        <v>46080</v>
      </c>
      <c r="E2737" s="79" t="s">
        <v>13</v>
      </c>
      <c r="F2737" s="79" t="s">
        <v>235</v>
      </c>
      <c r="G2737" s="79"/>
      <c r="H2737" s="79" t="s">
        <v>1593</v>
      </c>
    </row>
    <row r="2738" spans="1:8">
      <c r="A2738" s="79" t="str">
        <f>LeaveData[[#This Row],[ EMP ID]]&amp;LeaveData[[#This Row],[Date]]</f>
        <v>20221801146081</v>
      </c>
      <c r="B2738" s="92">
        <v>202218011</v>
      </c>
      <c r="C2738" s="92" t="s">
        <v>28</v>
      </c>
      <c r="D2738" s="101">
        <v>46081</v>
      </c>
      <c r="E2738" s="79" t="s">
        <v>13</v>
      </c>
      <c r="F2738" s="79" t="s">
        <v>235</v>
      </c>
      <c r="G2738" s="79"/>
      <c r="H2738" s="79" t="s">
        <v>1593</v>
      </c>
    </row>
    <row r="2739" spans="1:8">
      <c r="A2739" s="79" t="str">
        <f>LeaveData[[#This Row],[ EMP ID]]&amp;LeaveData[[#This Row],[Date]]</f>
        <v>20182000146062</v>
      </c>
      <c r="B2739" s="92">
        <v>201820001</v>
      </c>
      <c r="C2739" s="92" t="s">
        <v>18</v>
      </c>
      <c r="D2739" s="101">
        <v>46062</v>
      </c>
      <c r="E2739" s="79" t="s">
        <v>13</v>
      </c>
      <c r="F2739" s="79" t="s">
        <v>118</v>
      </c>
      <c r="G2739" s="79"/>
      <c r="H2739" s="79" t="s">
        <v>1593</v>
      </c>
    </row>
    <row r="2740" spans="1:8">
      <c r="A2740" s="79" t="str">
        <f>LeaveData[[#This Row],[ EMP ID]]&amp;LeaveData[[#This Row],[Date]]</f>
        <v>20182000146063</v>
      </c>
      <c r="B2740" s="92">
        <v>201820001</v>
      </c>
      <c r="C2740" s="92" t="s">
        <v>18</v>
      </c>
      <c r="D2740" s="101">
        <v>46063</v>
      </c>
      <c r="E2740" s="79" t="s">
        <v>13</v>
      </c>
      <c r="F2740" s="79" t="s">
        <v>118</v>
      </c>
      <c r="G2740" s="79"/>
      <c r="H2740" s="79" t="s">
        <v>1593</v>
      </c>
    </row>
    <row r="2741" spans="1:8">
      <c r="A2741" s="79" t="str">
        <f>LeaveData[[#This Row],[ EMP ID]]&amp;LeaveData[[#This Row],[Date]]</f>
        <v>20182000146064</v>
      </c>
      <c r="B2741" s="92">
        <v>201820001</v>
      </c>
      <c r="C2741" s="92" t="s">
        <v>18</v>
      </c>
      <c r="D2741" s="101">
        <v>46064</v>
      </c>
      <c r="E2741" s="79" t="s">
        <v>13</v>
      </c>
      <c r="F2741" s="79" t="s">
        <v>118</v>
      </c>
      <c r="G2741" s="79"/>
      <c r="H2741" s="79" t="s">
        <v>1593</v>
      </c>
    </row>
    <row r="2742" spans="1:8">
      <c r="A2742" s="79" t="str">
        <f>LeaveData[[#This Row],[ EMP ID]]&amp;LeaveData[[#This Row],[Date]]</f>
        <v>20182000146065</v>
      </c>
      <c r="B2742" s="92">
        <v>201820001</v>
      </c>
      <c r="C2742" s="92" t="s">
        <v>18</v>
      </c>
      <c r="D2742" s="101">
        <v>46065</v>
      </c>
      <c r="E2742" s="79" t="s">
        <v>13</v>
      </c>
      <c r="F2742" s="79" t="s">
        <v>118</v>
      </c>
      <c r="G2742" s="79"/>
      <c r="H2742" s="79" t="s">
        <v>1593</v>
      </c>
    </row>
    <row r="2743" spans="1:8">
      <c r="A2743" s="79" t="str">
        <f>LeaveData[[#This Row],[ EMP ID]]&amp;LeaveData[[#This Row],[Date]]</f>
        <v>20182000146066</v>
      </c>
      <c r="B2743" s="92">
        <v>201820001</v>
      </c>
      <c r="C2743" s="92" t="s">
        <v>18</v>
      </c>
      <c r="D2743" s="101">
        <v>46066</v>
      </c>
      <c r="E2743" s="79" t="s">
        <v>13</v>
      </c>
      <c r="F2743" s="79" t="s">
        <v>118</v>
      </c>
      <c r="G2743" s="79"/>
      <c r="H2743" s="79" t="s">
        <v>1593</v>
      </c>
    </row>
    <row r="2744" spans="1:8">
      <c r="A2744" s="79" t="str">
        <f>LeaveData[[#This Row],[ EMP ID]]&amp;LeaveData[[#This Row],[Date]]</f>
        <v>20182000146069</v>
      </c>
      <c r="B2744" s="92">
        <v>201820001</v>
      </c>
      <c r="C2744" s="92" t="s">
        <v>18</v>
      </c>
      <c r="D2744" s="101">
        <v>46069</v>
      </c>
      <c r="E2744" s="79" t="s">
        <v>13</v>
      </c>
      <c r="F2744" s="79" t="s">
        <v>118</v>
      </c>
      <c r="G2744" s="79"/>
      <c r="H2744" s="79" t="s">
        <v>1593</v>
      </c>
    </row>
    <row r="2745" spans="1:8">
      <c r="A2745" s="79" t="str">
        <f>LeaveData[[#This Row],[ EMP ID]]&amp;LeaveData[[#This Row],[Date]]</f>
        <v>20182000146070</v>
      </c>
      <c r="B2745" s="92">
        <v>201820001</v>
      </c>
      <c r="C2745" s="92" t="s">
        <v>18</v>
      </c>
      <c r="D2745" s="101">
        <v>46070</v>
      </c>
      <c r="E2745" s="79" t="s">
        <v>13</v>
      </c>
      <c r="F2745" s="79" t="s">
        <v>118</v>
      </c>
      <c r="G2745" s="79"/>
      <c r="H2745" s="79" t="s">
        <v>1593</v>
      </c>
    </row>
    <row r="2746" spans="1:8">
      <c r="A2746" s="79" t="str">
        <f>LeaveData[[#This Row],[ EMP ID]]&amp;LeaveData[[#This Row],[Date]]</f>
        <v>20182000146071</v>
      </c>
      <c r="B2746" s="92">
        <v>201820001</v>
      </c>
      <c r="C2746" s="92" t="s">
        <v>18</v>
      </c>
      <c r="D2746" s="101">
        <v>46071</v>
      </c>
      <c r="E2746" s="79" t="s">
        <v>13</v>
      </c>
      <c r="F2746" s="79" t="s">
        <v>118</v>
      </c>
      <c r="G2746" s="79"/>
      <c r="H2746" s="79" t="s">
        <v>1593</v>
      </c>
    </row>
    <row r="2747" spans="1:8">
      <c r="A2747" s="79" t="str">
        <f>LeaveData[[#This Row],[ EMP ID]]&amp;LeaveData[[#This Row],[Date]]</f>
        <v>20182000146072</v>
      </c>
      <c r="B2747" s="92">
        <v>201820001</v>
      </c>
      <c r="C2747" s="92" t="s">
        <v>18</v>
      </c>
      <c r="D2747" s="101">
        <v>46072</v>
      </c>
      <c r="E2747" s="79" t="s">
        <v>13</v>
      </c>
      <c r="F2747" s="79" t="s">
        <v>118</v>
      </c>
      <c r="G2747" s="79"/>
      <c r="H2747" s="79" t="s">
        <v>1593</v>
      </c>
    </row>
    <row r="2748" spans="1:8">
      <c r="A2748" s="79" t="str">
        <f>LeaveData[[#This Row],[ EMP ID]]&amp;LeaveData[[#This Row],[Date]]</f>
        <v>20182000146073</v>
      </c>
      <c r="B2748" s="92">
        <v>201820001</v>
      </c>
      <c r="C2748" s="92" t="s">
        <v>18</v>
      </c>
      <c r="D2748" s="101">
        <v>46073</v>
      </c>
      <c r="E2748" s="79" t="s">
        <v>13</v>
      </c>
      <c r="F2748" s="79" t="s">
        <v>118</v>
      </c>
      <c r="G2748" s="79"/>
      <c r="H2748" s="79" t="s">
        <v>1593</v>
      </c>
    </row>
    <row r="2749" spans="1:8">
      <c r="A2749" s="79" t="str">
        <f>LeaveData[[#This Row],[ EMP ID]]&amp;LeaveData[[#This Row],[Date]]</f>
        <v>20182000146074</v>
      </c>
      <c r="B2749" s="92">
        <v>201820001</v>
      </c>
      <c r="C2749" s="92" t="s">
        <v>18</v>
      </c>
      <c r="D2749" s="101">
        <v>46074</v>
      </c>
      <c r="E2749" s="79" t="s">
        <v>13</v>
      </c>
      <c r="F2749" s="79" t="s">
        <v>118</v>
      </c>
      <c r="G2749" s="79"/>
      <c r="H2749" s="79" t="s">
        <v>1593</v>
      </c>
    </row>
    <row r="2750" spans="1:8">
      <c r="A2750" s="79" t="str">
        <f>LeaveData[[#This Row],[ EMP ID]]&amp;LeaveData[[#This Row],[Date]]</f>
        <v>20182000146076</v>
      </c>
      <c r="B2750" s="92">
        <v>201820001</v>
      </c>
      <c r="C2750" s="92" t="s">
        <v>18</v>
      </c>
      <c r="D2750" s="101">
        <v>46076</v>
      </c>
      <c r="E2750" s="79" t="s">
        <v>13</v>
      </c>
      <c r="F2750" s="79" t="s">
        <v>118</v>
      </c>
      <c r="G2750" s="79"/>
      <c r="H2750" s="79" t="s">
        <v>1593</v>
      </c>
    </row>
    <row r="2751" spans="1:8">
      <c r="A2751" s="79" t="str">
        <f>LeaveData[[#This Row],[ EMP ID]]&amp;LeaveData[[#This Row],[Date]]</f>
        <v>20182000146077</v>
      </c>
      <c r="B2751" s="92">
        <v>201820001</v>
      </c>
      <c r="C2751" s="92" t="s">
        <v>18</v>
      </c>
      <c r="D2751" s="101">
        <v>46077</v>
      </c>
      <c r="E2751" s="79" t="s">
        <v>13</v>
      </c>
      <c r="F2751" s="79" t="s">
        <v>118</v>
      </c>
      <c r="G2751" s="79"/>
      <c r="H2751" s="79" t="s">
        <v>1593</v>
      </c>
    </row>
    <row r="2752" spans="1:8">
      <c r="A2752" s="79" t="str">
        <f>LeaveData[[#This Row],[ EMP ID]]&amp;LeaveData[[#This Row],[Date]]</f>
        <v>20182000146078</v>
      </c>
      <c r="B2752" s="92">
        <v>201820001</v>
      </c>
      <c r="C2752" s="92" t="s">
        <v>18</v>
      </c>
      <c r="D2752" s="101">
        <v>46078</v>
      </c>
      <c r="E2752" s="79" t="s">
        <v>13</v>
      </c>
      <c r="F2752" s="79" t="s">
        <v>118</v>
      </c>
      <c r="G2752" s="79"/>
      <c r="H2752" s="79" t="s">
        <v>1593</v>
      </c>
    </row>
    <row r="2753" spans="1:8">
      <c r="A2753" s="79" t="str">
        <f>LeaveData[[#This Row],[ EMP ID]]&amp;LeaveData[[#This Row],[Date]]</f>
        <v>20182000146079</v>
      </c>
      <c r="B2753" s="92">
        <v>201820001</v>
      </c>
      <c r="C2753" s="92" t="s">
        <v>18</v>
      </c>
      <c r="D2753" s="101">
        <v>46079</v>
      </c>
      <c r="E2753" s="79" t="s">
        <v>13</v>
      </c>
      <c r="F2753" s="79" t="s">
        <v>118</v>
      </c>
      <c r="G2753" s="79"/>
      <c r="H2753" s="79" t="s">
        <v>1593</v>
      </c>
    </row>
    <row r="2754" spans="1:8">
      <c r="A2754" s="79" t="str">
        <f>LeaveData[[#This Row],[ EMP ID]]&amp;LeaveData[[#This Row],[Date]]</f>
        <v>20182000146080</v>
      </c>
      <c r="B2754" s="92">
        <v>201820001</v>
      </c>
      <c r="C2754" s="92" t="s">
        <v>18</v>
      </c>
      <c r="D2754" s="101">
        <v>46080</v>
      </c>
      <c r="E2754" s="79" t="s">
        <v>13</v>
      </c>
      <c r="F2754" s="79" t="s">
        <v>118</v>
      </c>
      <c r="G2754" s="79"/>
      <c r="H2754" s="79" t="s">
        <v>1593</v>
      </c>
    </row>
    <row r="2755" spans="1:8">
      <c r="A2755" s="79" t="str">
        <f>LeaveData[[#This Row],[ EMP ID]]&amp;LeaveData[[#This Row],[Date]]</f>
        <v>20182000146081</v>
      </c>
      <c r="B2755" s="92">
        <v>201820001</v>
      </c>
      <c r="C2755" s="92" t="s">
        <v>18</v>
      </c>
      <c r="D2755" s="101">
        <v>46081</v>
      </c>
      <c r="E2755" s="79" t="s">
        <v>13</v>
      </c>
      <c r="F2755" s="79" t="s">
        <v>118</v>
      </c>
      <c r="G2755" s="79"/>
      <c r="H2755" s="79" t="s">
        <v>1593</v>
      </c>
    </row>
    <row r="2756" spans="1:8">
      <c r="A2756" s="79" t="str">
        <f>LeaveData[[#This Row],[ EMP ID]]&amp;LeaveData[[#This Row],[Date]]</f>
        <v>20241804246034</v>
      </c>
      <c r="B2756" s="92">
        <v>202418042</v>
      </c>
      <c r="C2756" s="92" t="s">
        <v>402</v>
      </c>
      <c r="D2756" s="101">
        <v>46034</v>
      </c>
      <c r="E2756" s="79" t="s">
        <v>12</v>
      </c>
      <c r="F2756" s="79" t="s">
        <v>235</v>
      </c>
      <c r="G2756" s="79"/>
      <c r="H2756" s="79" t="s">
        <v>416</v>
      </c>
    </row>
    <row r="2757" spans="1:8">
      <c r="A2757" s="79" t="str">
        <f>LeaveData[[#This Row],[ EMP ID]]&amp;LeaveData[[#This Row],[Date]]</f>
        <v>20232000746034</v>
      </c>
      <c r="B2757" s="92">
        <v>202320007</v>
      </c>
      <c r="C2757" s="92" t="s">
        <v>183</v>
      </c>
      <c r="D2757" s="101">
        <v>46034</v>
      </c>
      <c r="E2757" s="79" t="s">
        <v>16</v>
      </c>
      <c r="F2757" s="79" t="s">
        <v>114</v>
      </c>
      <c r="G2757" s="79"/>
      <c r="H2757" s="79" t="s">
        <v>168</v>
      </c>
    </row>
    <row r="2758" spans="1:8">
      <c r="A2758" s="79" t="str">
        <f>LeaveData[[#This Row],[ EMP ID]]&amp;LeaveData[[#This Row],[Date]]</f>
        <v>20232000746035</v>
      </c>
      <c r="B2758" s="92">
        <v>202320007</v>
      </c>
      <c r="C2758" s="92" t="s">
        <v>183</v>
      </c>
      <c r="D2758" s="101">
        <v>46035</v>
      </c>
      <c r="E2758" s="79" t="s">
        <v>16</v>
      </c>
      <c r="F2758" s="79" t="s">
        <v>114</v>
      </c>
      <c r="G2758" s="79"/>
      <c r="H2758" s="79" t="s">
        <v>168</v>
      </c>
    </row>
    <row r="2759" spans="1:8">
      <c r="A2759" s="79" t="str">
        <f>LeaveData[[#This Row],[ EMP ID]]&amp;LeaveData[[#This Row],[Date]]</f>
        <v>20232000746038</v>
      </c>
      <c r="B2759" s="92">
        <v>202320007</v>
      </c>
      <c r="C2759" s="92" t="s">
        <v>183</v>
      </c>
      <c r="D2759" s="101">
        <v>46038</v>
      </c>
      <c r="E2759" s="79" t="s">
        <v>13</v>
      </c>
      <c r="F2759" s="79" t="s">
        <v>114</v>
      </c>
      <c r="G2759" s="79"/>
      <c r="H2759" s="79" t="s">
        <v>168</v>
      </c>
    </row>
    <row r="2760" spans="1:8">
      <c r="A2760" s="79" t="str">
        <f>LeaveData[[#This Row],[ EMP ID]]&amp;LeaveData[[#This Row],[Date]]</f>
        <v>20232000746039</v>
      </c>
      <c r="B2760" s="92">
        <v>202320007</v>
      </c>
      <c r="C2760" s="92" t="s">
        <v>183</v>
      </c>
      <c r="D2760" s="101">
        <v>46039</v>
      </c>
      <c r="E2760" s="79" t="s">
        <v>13</v>
      </c>
      <c r="F2760" s="79" t="s">
        <v>114</v>
      </c>
      <c r="G2760" s="79"/>
      <c r="H2760" s="79" t="s">
        <v>168</v>
      </c>
    </row>
    <row r="2761" spans="1:8">
      <c r="A2761" s="79" t="str">
        <f>LeaveData[[#This Row],[ EMP ID]]&amp;LeaveData[[#This Row],[Date]]</f>
        <v>20211800846048</v>
      </c>
      <c r="B2761" s="92">
        <v>202118008</v>
      </c>
      <c r="C2761" s="122" t="s">
        <v>25</v>
      </c>
      <c r="D2761" s="101">
        <v>46048</v>
      </c>
      <c r="E2761" s="79" t="s">
        <v>13</v>
      </c>
      <c r="F2761" s="79" t="s">
        <v>104</v>
      </c>
      <c r="G2761" s="79"/>
      <c r="H2761" s="79" t="s">
        <v>168</v>
      </c>
    </row>
    <row r="2762" spans="1:8">
      <c r="A2762" s="79" t="str">
        <f>LeaveData[[#This Row],[ EMP ID]]&amp;LeaveData[[#This Row],[Date]]</f>
        <v>20211800846049</v>
      </c>
      <c r="B2762" s="92">
        <v>202118008</v>
      </c>
      <c r="C2762" s="122" t="s">
        <v>25</v>
      </c>
      <c r="D2762" s="101">
        <v>46049</v>
      </c>
      <c r="E2762" s="79" t="s">
        <v>13</v>
      </c>
      <c r="F2762" s="79" t="s">
        <v>104</v>
      </c>
      <c r="G2762" s="79"/>
      <c r="H2762" s="79" t="s">
        <v>168</v>
      </c>
    </row>
    <row r="2763" spans="1:8">
      <c r="A2763" s="79" t="str">
        <f>LeaveData[[#This Row],[ EMP ID]]&amp;LeaveData[[#This Row],[Date]]</f>
        <v>20211800846050</v>
      </c>
      <c r="B2763" s="92">
        <v>202118008</v>
      </c>
      <c r="C2763" s="122" t="s">
        <v>25</v>
      </c>
      <c r="D2763" s="101">
        <v>46050</v>
      </c>
      <c r="E2763" s="79" t="s">
        <v>13</v>
      </c>
      <c r="F2763" s="79" t="s">
        <v>104</v>
      </c>
      <c r="G2763" s="79"/>
      <c r="H2763" s="79" t="s">
        <v>168</v>
      </c>
    </row>
    <row r="2764" spans="1:8">
      <c r="A2764" s="79" t="str">
        <f>LeaveData[[#This Row],[ EMP ID]]&amp;LeaveData[[#This Row],[Date]]</f>
        <v>20211800846051</v>
      </c>
      <c r="B2764" s="92">
        <v>202118008</v>
      </c>
      <c r="C2764" s="122" t="s">
        <v>25</v>
      </c>
      <c r="D2764" s="101">
        <v>46051</v>
      </c>
      <c r="E2764" s="79" t="s">
        <v>13</v>
      </c>
      <c r="F2764" s="79" t="s">
        <v>104</v>
      </c>
      <c r="G2764" s="79"/>
      <c r="H2764" s="79" t="s">
        <v>168</v>
      </c>
    </row>
    <row r="2765" spans="1:8">
      <c r="A2765" s="79" t="str">
        <f>LeaveData[[#This Row],[ EMP ID]]&amp;LeaveData[[#This Row],[Date]]</f>
        <v>20211800846052</v>
      </c>
      <c r="B2765" s="92">
        <v>202118008</v>
      </c>
      <c r="C2765" s="122" t="s">
        <v>25</v>
      </c>
      <c r="D2765" s="101">
        <v>46052</v>
      </c>
      <c r="E2765" s="79" t="s">
        <v>13</v>
      </c>
      <c r="F2765" s="79" t="s">
        <v>104</v>
      </c>
      <c r="G2765" s="79"/>
      <c r="H2765" s="79" t="s">
        <v>168</v>
      </c>
    </row>
    <row r="2766" spans="1:8">
      <c r="A2766" s="79" t="str">
        <f>LeaveData[[#This Row],[ EMP ID]]&amp;LeaveData[[#This Row],[Date]]</f>
        <v>20211800846053</v>
      </c>
      <c r="B2766" s="92">
        <v>202118008</v>
      </c>
      <c r="C2766" s="122" t="s">
        <v>25</v>
      </c>
      <c r="D2766" s="101">
        <v>46053</v>
      </c>
      <c r="E2766" s="79" t="s">
        <v>13</v>
      </c>
      <c r="F2766" s="79" t="s">
        <v>104</v>
      </c>
      <c r="G2766" s="79"/>
      <c r="H2766" s="79" t="s">
        <v>168</v>
      </c>
    </row>
    <row r="2767" spans="1:8">
      <c r="A2767" s="79" t="str">
        <f>LeaveData[[#This Row],[ EMP ID]]&amp;LeaveData[[#This Row],[Date]]</f>
        <v>20231802646056</v>
      </c>
      <c r="B2767" s="92">
        <v>202318026</v>
      </c>
      <c r="C2767" s="122" t="s">
        <v>53</v>
      </c>
      <c r="D2767" s="101">
        <v>46056</v>
      </c>
      <c r="E2767" s="79" t="s">
        <v>13</v>
      </c>
      <c r="F2767" s="79" t="s">
        <v>246</v>
      </c>
      <c r="G2767" s="79"/>
      <c r="H2767" s="79" t="s">
        <v>168</v>
      </c>
    </row>
    <row r="2768" spans="1:8">
      <c r="A2768" s="79" t="str">
        <f>LeaveData[[#This Row],[ EMP ID]]&amp;LeaveData[[#This Row],[Date]]</f>
        <v>20231802646057</v>
      </c>
      <c r="B2768" s="92">
        <v>202318026</v>
      </c>
      <c r="C2768" s="122" t="s">
        <v>53</v>
      </c>
      <c r="D2768" s="101">
        <v>46057</v>
      </c>
      <c r="E2768" s="79" t="s">
        <v>13</v>
      </c>
      <c r="F2768" s="79" t="s">
        <v>246</v>
      </c>
      <c r="G2768" s="79"/>
      <c r="H2768" s="79" t="s">
        <v>168</v>
      </c>
    </row>
    <row r="2769" spans="1:8">
      <c r="A2769" s="79" t="str">
        <f>LeaveData[[#This Row],[ EMP ID]]&amp;LeaveData[[#This Row],[Date]]</f>
        <v>20231802646058</v>
      </c>
      <c r="B2769" s="92">
        <v>202318026</v>
      </c>
      <c r="C2769" s="122" t="s">
        <v>53</v>
      </c>
      <c r="D2769" s="101">
        <v>46058</v>
      </c>
      <c r="E2769" s="79" t="s">
        <v>13</v>
      </c>
      <c r="F2769" s="79" t="s">
        <v>246</v>
      </c>
      <c r="G2769" s="79"/>
      <c r="H2769" s="79" t="s">
        <v>168</v>
      </c>
    </row>
    <row r="2770" spans="1:8">
      <c r="A2770" s="79" t="str">
        <f>LeaveData[[#This Row],[ EMP ID]]&amp;LeaveData[[#This Row],[Date]]</f>
        <v>20231802646059</v>
      </c>
      <c r="B2770" s="92">
        <v>202318026</v>
      </c>
      <c r="C2770" s="122" t="s">
        <v>53</v>
      </c>
      <c r="D2770" s="101">
        <v>46059</v>
      </c>
      <c r="E2770" s="79" t="s">
        <v>13</v>
      </c>
      <c r="F2770" s="79" t="s">
        <v>246</v>
      </c>
      <c r="G2770" s="79"/>
      <c r="H2770" s="79" t="s">
        <v>168</v>
      </c>
    </row>
    <row r="2771" spans="1:8">
      <c r="A2771" s="79" t="str">
        <f>LeaveData[[#This Row],[ EMP ID]]&amp;LeaveData[[#This Row],[Date]]</f>
        <v>20231802646060</v>
      </c>
      <c r="B2771" s="92">
        <v>202318026</v>
      </c>
      <c r="C2771" s="122" t="s">
        <v>53</v>
      </c>
      <c r="D2771" s="101">
        <v>46060</v>
      </c>
      <c r="E2771" s="79" t="s">
        <v>13</v>
      </c>
      <c r="F2771" s="79" t="s">
        <v>246</v>
      </c>
      <c r="G2771" s="79"/>
      <c r="H2771" s="79" t="s">
        <v>168</v>
      </c>
    </row>
    <row r="2772" spans="1:8">
      <c r="A2772" s="79" t="str">
        <f>LeaveData[[#This Row],[ EMP ID]]&amp;LeaveData[[#This Row],[Date]]</f>
        <v>20231801945998</v>
      </c>
      <c r="B2772" s="79">
        <v>202318019</v>
      </c>
      <c r="C2772" s="79" t="s">
        <v>89</v>
      </c>
      <c r="D2772" s="101">
        <v>45998</v>
      </c>
      <c r="E2772" s="79" t="s">
        <v>154</v>
      </c>
      <c r="F2772" s="79" t="s">
        <v>45</v>
      </c>
      <c r="G2772" s="79"/>
      <c r="H2772" s="79" t="s">
        <v>1594</v>
      </c>
    </row>
    <row r="2773" spans="1:8">
      <c r="A2773" s="79" t="str">
        <f>LeaveData[[#This Row],[ EMP ID]]&amp;LeaveData[[#This Row],[Date]]</f>
        <v>20231801946004</v>
      </c>
      <c r="B2773" s="79">
        <v>202318019</v>
      </c>
      <c r="C2773" s="79" t="s">
        <v>89</v>
      </c>
      <c r="D2773" s="101">
        <v>46004</v>
      </c>
      <c r="E2773" s="79" t="s">
        <v>154</v>
      </c>
      <c r="F2773" s="79" t="s">
        <v>45</v>
      </c>
      <c r="G2773" s="79"/>
      <c r="H2773" s="79" t="s">
        <v>1594</v>
      </c>
    </row>
    <row r="2774" spans="1:8">
      <c r="A2774" s="79" t="str">
        <f>LeaveData[[#This Row],[ EMP ID]]&amp;LeaveData[[#This Row],[Date]]</f>
        <v>20231801946012</v>
      </c>
      <c r="B2774" s="79">
        <v>202318019</v>
      </c>
      <c r="C2774" s="79" t="s">
        <v>89</v>
      </c>
      <c r="D2774" s="101">
        <v>46012</v>
      </c>
      <c r="E2774" s="79" t="s">
        <v>154</v>
      </c>
      <c r="F2774" s="79" t="s">
        <v>45</v>
      </c>
      <c r="G2774" s="79"/>
      <c r="H2774" s="79" t="s">
        <v>1594</v>
      </c>
    </row>
    <row r="2775" spans="1:8">
      <c r="A2775" s="79" t="str">
        <f>LeaveData[[#This Row],[ EMP ID]]&amp;LeaveData[[#This Row],[Date]]</f>
        <v>20231801946019</v>
      </c>
      <c r="B2775" s="79">
        <v>202318019</v>
      </c>
      <c r="C2775" s="79" t="s">
        <v>89</v>
      </c>
      <c r="D2775" s="101">
        <v>46019</v>
      </c>
      <c r="E2775" s="79" t="s">
        <v>154</v>
      </c>
      <c r="F2775" s="79" t="s">
        <v>45</v>
      </c>
      <c r="G2775" s="79"/>
      <c r="H2775" s="79" t="s">
        <v>1594</v>
      </c>
    </row>
    <row r="2776" spans="1:8">
      <c r="A2776" s="79" t="str">
        <f>LeaveData[[#This Row],[ EMP ID]]&amp;LeaveData[[#This Row],[Date]]</f>
        <v>20250101346035</v>
      </c>
      <c r="B2776" s="92">
        <v>202501013</v>
      </c>
      <c r="C2776" s="92" t="s">
        <v>1395</v>
      </c>
      <c r="D2776" s="101">
        <v>46035</v>
      </c>
      <c r="E2776" s="79" t="s">
        <v>12</v>
      </c>
      <c r="F2776" s="79" t="s">
        <v>246</v>
      </c>
      <c r="G2776" s="79"/>
      <c r="H2776" s="79" t="s">
        <v>416</v>
      </c>
    </row>
    <row r="2777" spans="1:8">
      <c r="A2777" s="79" t="str">
        <f>LeaveData[[#This Row],[ EMP ID]]&amp;LeaveData[[#This Row],[Date]]</f>
        <v>20261804946042</v>
      </c>
      <c r="B2777" s="92">
        <v>202618049</v>
      </c>
      <c r="C2777" s="92" t="s">
        <v>1582</v>
      </c>
      <c r="D2777" s="101">
        <v>46042</v>
      </c>
      <c r="E2777" s="79" t="s">
        <v>13</v>
      </c>
      <c r="F2777" s="79" t="s">
        <v>83</v>
      </c>
      <c r="G2777" s="79"/>
      <c r="H2777" s="79" t="s">
        <v>105</v>
      </c>
    </row>
    <row r="2778" spans="1:8">
      <c r="A2778" s="79" t="str">
        <f>LeaveData[[#This Row],[ EMP ID]]&amp;LeaveData[[#This Row],[Date]]</f>
        <v>20251804646038</v>
      </c>
      <c r="B2778" s="92" t="s">
        <v>1573</v>
      </c>
      <c r="C2778" s="122" t="s">
        <v>403</v>
      </c>
      <c r="D2778" s="101">
        <v>46038</v>
      </c>
      <c r="E2778" s="79" t="s">
        <v>16</v>
      </c>
      <c r="F2778" s="79" t="s">
        <v>1592</v>
      </c>
      <c r="G2778" s="79"/>
      <c r="H2778" s="79" t="s">
        <v>416</v>
      </c>
    </row>
    <row r="2779" spans="1:8">
      <c r="A2779" s="79" t="str">
        <f>LeaveData[[#This Row],[ EMP ID]]&amp;LeaveData[[#This Row],[Date]]</f>
        <v>20241803846042</v>
      </c>
      <c r="B2779" s="92">
        <v>202418038</v>
      </c>
      <c r="C2779" s="92" t="s">
        <v>246</v>
      </c>
      <c r="D2779" s="101">
        <v>46042</v>
      </c>
      <c r="E2779" s="79" t="s">
        <v>13</v>
      </c>
      <c r="F2779" s="79" t="s">
        <v>125</v>
      </c>
      <c r="G2779" s="79"/>
      <c r="H2779" s="79" t="s">
        <v>1595</v>
      </c>
    </row>
    <row r="2780" spans="1:8">
      <c r="A2780" s="79" t="str">
        <f>LeaveData[[#This Row],[ EMP ID]]&amp;LeaveData[[#This Row],[Date]]</f>
        <v>20241803846044</v>
      </c>
      <c r="B2780" s="92">
        <v>202418038</v>
      </c>
      <c r="C2780" s="92" t="s">
        <v>246</v>
      </c>
      <c r="D2780" s="101">
        <v>46044</v>
      </c>
      <c r="E2780" s="79" t="s">
        <v>13</v>
      </c>
      <c r="F2780" s="79" t="s">
        <v>125</v>
      </c>
      <c r="G2780" s="79"/>
      <c r="H2780" s="79" t="s">
        <v>1595</v>
      </c>
    </row>
    <row r="2781" spans="1:8">
      <c r="A2781" s="79" t="str">
        <f>LeaveData[[#This Row],[ EMP ID]]&amp;LeaveData[[#This Row],[Date]]</f>
        <v>20241803846052</v>
      </c>
      <c r="B2781" s="92">
        <v>202418038</v>
      </c>
      <c r="C2781" s="92" t="s">
        <v>246</v>
      </c>
      <c r="D2781" s="101">
        <v>46052</v>
      </c>
      <c r="E2781" s="79" t="s">
        <v>13</v>
      </c>
      <c r="F2781" s="79" t="s">
        <v>125</v>
      </c>
      <c r="G2781" s="79"/>
      <c r="H2781" s="79" t="s">
        <v>1596</v>
      </c>
    </row>
    <row r="2782" spans="1:8">
      <c r="A2782" s="79" t="str">
        <f>LeaveData[[#This Row],[ EMP ID]]&amp;LeaveData[[#This Row],[Date]]</f>
        <v>20250100846041</v>
      </c>
      <c r="B2782" s="92">
        <v>202501008</v>
      </c>
      <c r="C2782" s="92" t="s">
        <v>1368</v>
      </c>
      <c r="D2782" s="101">
        <v>46041</v>
      </c>
      <c r="E2782" s="79" t="s">
        <v>12</v>
      </c>
      <c r="F2782" s="79" t="s">
        <v>235</v>
      </c>
      <c r="G2782" s="79"/>
      <c r="H2782" s="79" t="s">
        <v>416</v>
      </c>
    </row>
    <row r="2783" spans="1:8">
      <c r="A2783" s="79" t="str">
        <f>LeaveData[[#This Row],[ EMP ID]]&amp;LeaveData[[#This Row],[Date]]</f>
        <v>20211800746043</v>
      </c>
      <c r="B2783" s="79">
        <v>202118007</v>
      </c>
      <c r="C2783" s="79" t="s">
        <v>103</v>
      </c>
      <c r="D2783" s="101">
        <v>46043</v>
      </c>
      <c r="E2783" s="79" t="s">
        <v>13</v>
      </c>
      <c r="F2783" s="79" t="s">
        <v>104</v>
      </c>
      <c r="G2783" s="79"/>
      <c r="H2783" s="79" t="s">
        <v>1597</v>
      </c>
    </row>
    <row r="2784" spans="1:8">
      <c r="A2784" s="79" t="str">
        <f>LeaveData[[#This Row],[ EMP ID]]&amp;LeaveData[[#This Row],[Date]]</f>
        <v>20211800746044</v>
      </c>
      <c r="B2784" s="79">
        <v>202118007</v>
      </c>
      <c r="C2784" s="79" t="s">
        <v>103</v>
      </c>
      <c r="D2784" s="101">
        <v>46044</v>
      </c>
      <c r="E2784" s="79" t="s">
        <v>13</v>
      </c>
      <c r="F2784" s="79" t="s">
        <v>104</v>
      </c>
      <c r="G2784" s="79"/>
      <c r="H2784" s="79" t="s">
        <v>1597</v>
      </c>
    </row>
    <row r="2785" spans="1:8">
      <c r="A2785" s="79" t="str">
        <f>LeaveData[[#This Row],[ EMP ID]]&amp;LeaveData[[#This Row],[Date]]</f>
        <v>20211800746045</v>
      </c>
      <c r="B2785" s="79">
        <v>202118007</v>
      </c>
      <c r="C2785" s="79" t="s">
        <v>103</v>
      </c>
      <c r="D2785" s="101">
        <v>46045</v>
      </c>
      <c r="E2785" s="79" t="s">
        <v>13</v>
      </c>
      <c r="F2785" s="79" t="s">
        <v>104</v>
      </c>
      <c r="G2785" s="79"/>
      <c r="H2785" s="79" t="s">
        <v>1597</v>
      </c>
    </row>
    <row r="2786" spans="1:8">
      <c r="A2786" s="79" t="str">
        <f>LeaveData[[#This Row],[ EMP ID]]&amp;LeaveData[[#This Row],[Date]]</f>
        <v>20231801946042</v>
      </c>
      <c r="B2786" s="79">
        <v>202318019</v>
      </c>
      <c r="C2786" s="79" t="s">
        <v>89</v>
      </c>
      <c r="D2786" s="101">
        <v>46042</v>
      </c>
      <c r="E2786" s="79" t="s">
        <v>16</v>
      </c>
      <c r="F2786" s="79" t="s">
        <v>45</v>
      </c>
      <c r="G2786" s="79"/>
      <c r="H2786" s="79" t="s">
        <v>1598</v>
      </c>
    </row>
    <row r="2787" spans="1:8">
      <c r="A2787" s="79" t="str">
        <f>LeaveData[[#This Row],[ EMP ID]]&amp;LeaveData[[#This Row],[Date]]</f>
        <v>20231801946043</v>
      </c>
      <c r="B2787" s="79">
        <v>202318019</v>
      </c>
      <c r="C2787" s="79" t="s">
        <v>89</v>
      </c>
      <c r="D2787" s="101">
        <v>46043</v>
      </c>
      <c r="E2787" s="79" t="s">
        <v>16</v>
      </c>
      <c r="F2787" s="79" t="s">
        <v>45</v>
      </c>
      <c r="G2787" s="79"/>
      <c r="H2787" s="79" t="s">
        <v>1598</v>
      </c>
    </row>
    <row r="2788" spans="1:8">
      <c r="A2788" s="79" t="str">
        <f>LeaveData[[#This Row],[ EMP ID]]&amp;LeaveData[[#This Row],[Date]]</f>
        <v>20231801946044</v>
      </c>
      <c r="B2788" s="79">
        <v>202318019</v>
      </c>
      <c r="C2788" s="79" t="s">
        <v>89</v>
      </c>
      <c r="D2788" s="101">
        <v>46044</v>
      </c>
      <c r="E2788" s="79" t="s">
        <v>16</v>
      </c>
      <c r="F2788" s="79" t="s">
        <v>45</v>
      </c>
      <c r="G2788" s="79"/>
      <c r="H2788" s="79" t="s">
        <v>1598</v>
      </c>
    </row>
    <row r="2789" spans="1:8">
      <c r="A2789" s="79" t="str">
        <f>LeaveData[[#This Row],[ EMP ID]]&amp;LeaveData[[#This Row],[Date]]</f>
        <v>20231801946045</v>
      </c>
      <c r="B2789" s="79">
        <v>202318019</v>
      </c>
      <c r="C2789" s="79" t="s">
        <v>89</v>
      </c>
      <c r="D2789" s="101">
        <v>46045</v>
      </c>
      <c r="E2789" s="79" t="s">
        <v>16</v>
      </c>
      <c r="F2789" s="79" t="s">
        <v>45</v>
      </c>
      <c r="G2789" s="79"/>
      <c r="H2789" s="79" t="s">
        <v>1598</v>
      </c>
    </row>
    <row r="2790" spans="1:8">
      <c r="A2790" s="79" t="str">
        <f>LeaveData[[#This Row],[ EMP ID]]&amp;LeaveData[[#This Row],[Date]]</f>
        <v>20231801946048</v>
      </c>
      <c r="B2790" s="79">
        <v>202318019</v>
      </c>
      <c r="C2790" s="79" t="s">
        <v>89</v>
      </c>
      <c r="D2790" s="101">
        <v>46048</v>
      </c>
      <c r="E2790" s="79" t="s">
        <v>16</v>
      </c>
      <c r="F2790" s="79" t="s">
        <v>45</v>
      </c>
      <c r="G2790" s="79"/>
      <c r="H2790" s="79" t="s">
        <v>1598</v>
      </c>
    </row>
    <row r="2791" spans="1:8">
      <c r="A2791" s="79" t="str">
        <f>LeaveData[[#This Row],[ EMP ID]]&amp;LeaveData[[#This Row],[Date]]</f>
        <v>20231801946049</v>
      </c>
      <c r="B2791" s="79">
        <v>202318019</v>
      </c>
      <c r="C2791" s="79" t="s">
        <v>89</v>
      </c>
      <c r="D2791" s="101">
        <v>46049</v>
      </c>
      <c r="E2791" s="79" t="s">
        <v>16</v>
      </c>
      <c r="F2791" s="79" t="s">
        <v>45</v>
      </c>
      <c r="G2791" s="79"/>
      <c r="H2791" s="79" t="s">
        <v>1598</v>
      </c>
    </row>
    <row r="2792" spans="1:8">
      <c r="A2792" s="79" t="str">
        <f>LeaveData[[#This Row],[ EMP ID]]&amp;LeaveData[[#This Row],[Date]]</f>
        <v>20231801946050</v>
      </c>
      <c r="B2792" s="79">
        <v>202318019</v>
      </c>
      <c r="C2792" s="79" t="s">
        <v>89</v>
      </c>
      <c r="D2792" s="101">
        <v>46050</v>
      </c>
      <c r="E2792" s="79" t="s">
        <v>16</v>
      </c>
      <c r="F2792" s="79" t="s">
        <v>45</v>
      </c>
      <c r="G2792" s="79"/>
      <c r="H2792" s="79" t="s">
        <v>1598</v>
      </c>
    </row>
    <row r="2793" spans="1:8">
      <c r="A2793" s="79" t="str">
        <f>LeaveData[[#This Row],[ EMP ID]]&amp;LeaveData[[#This Row],[Date]]</f>
        <v>20231801946051</v>
      </c>
      <c r="B2793" s="79">
        <v>202318019</v>
      </c>
      <c r="C2793" s="79" t="s">
        <v>89</v>
      </c>
      <c r="D2793" s="101">
        <v>46051</v>
      </c>
      <c r="E2793" s="79" t="s">
        <v>16</v>
      </c>
      <c r="F2793" s="79" t="s">
        <v>45</v>
      </c>
      <c r="G2793" s="79"/>
      <c r="H2793" s="79" t="s">
        <v>1598</v>
      </c>
    </row>
    <row r="2794" spans="1:8">
      <c r="A2794" s="79" t="str">
        <f>LeaveData[[#This Row],[ EMP ID]]&amp;LeaveData[[#This Row],[Date]]</f>
        <v>20231801946052</v>
      </c>
      <c r="B2794" s="79">
        <v>202318019</v>
      </c>
      <c r="C2794" s="79" t="s">
        <v>89</v>
      </c>
      <c r="D2794" s="101">
        <v>46052</v>
      </c>
      <c r="E2794" s="79" t="s">
        <v>16</v>
      </c>
      <c r="F2794" s="79" t="s">
        <v>45</v>
      </c>
      <c r="G2794" s="79"/>
      <c r="H2794" s="79" t="s">
        <v>1598</v>
      </c>
    </row>
    <row r="2795" spans="1:8">
      <c r="A2795" s="79" t="str">
        <f>LeaveData[[#This Row],[ EMP ID]]&amp;LeaveData[[#This Row],[Date]]</f>
        <v>20231801946089</v>
      </c>
      <c r="B2795" s="79">
        <v>202318019</v>
      </c>
      <c r="C2795" s="79" t="s">
        <v>89</v>
      </c>
      <c r="D2795" s="101">
        <v>46089</v>
      </c>
      <c r="E2795" s="79" t="s">
        <v>154</v>
      </c>
      <c r="F2795" s="79" t="s">
        <v>45</v>
      </c>
      <c r="G2795" s="79"/>
      <c r="H2795" s="79" t="s">
        <v>155</v>
      </c>
    </row>
    <row r="2796" spans="1:8">
      <c r="A2796" s="79" t="str">
        <f>LeaveData[[#This Row],[ EMP ID]]&amp;LeaveData[[#This Row],[Date]]</f>
        <v>20231801946046</v>
      </c>
      <c r="B2796" s="79">
        <v>202318019</v>
      </c>
      <c r="C2796" s="79" t="s">
        <v>89</v>
      </c>
      <c r="D2796" s="101">
        <v>46046</v>
      </c>
      <c r="E2796" s="79" t="s">
        <v>154</v>
      </c>
      <c r="F2796" s="79" t="s">
        <v>45</v>
      </c>
      <c r="G2796" s="79"/>
      <c r="H2796" s="79" t="s">
        <v>155</v>
      </c>
    </row>
    <row r="2797" spans="1:8">
      <c r="A2797" s="79" t="str">
        <f>LeaveData[[#This Row],[ EMP ID]]&amp;LeaveData[[#This Row],[Date]]</f>
        <v>20231801946034</v>
      </c>
      <c r="B2797" s="79">
        <v>202318019</v>
      </c>
      <c r="C2797" s="79" t="s">
        <v>89</v>
      </c>
      <c r="D2797" s="101">
        <v>46034</v>
      </c>
      <c r="E2797" s="79" t="s">
        <v>14</v>
      </c>
      <c r="F2797" s="79" t="s">
        <v>45</v>
      </c>
      <c r="G2797" s="79"/>
      <c r="H2797" s="79" t="s">
        <v>168</v>
      </c>
    </row>
    <row r="2798" spans="1:8">
      <c r="A2798" s="79" t="str">
        <f>LeaveData[[#This Row],[ EMP ID]]&amp;LeaveData[[#This Row],[Date]]</f>
        <v>20221801146043</v>
      </c>
      <c r="B2798" s="92">
        <v>202218011</v>
      </c>
      <c r="C2798" s="92" t="s">
        <v>28</v>
      </c>
      <c r="D2798" s="101">
        <v>46043</v>
      </c>
      <c r="E2798" s="79" t="s">
        <v>16</v>
      </c>
      <c r="F2798" s="79" t="s">
        <v>235</v>
      </c>
      <c r="G2798" s="79"/>
      <c r="H2798" s="79" t="s">
        <v>168</v>
      </c>
    </row>
    <row r="2799" spans="1:8">
      <c r="A2799" s="79" t="str">
        <f>LeaveData[[#This Row],[ EMP ID]]&amp;LeaveData[[#This Row],[Date]]</f>
        <v>20221801146044</v>
      </c>
      <c r="B2799" s="92">
        <v>202218011</v>
      </c>
      <c r="C2799" s="92" t="s">
        <v>28</v>
      </c>
      <c r="D2799" s="101">
        <v>46044</v>
      </c>
      <c r="E2799" s="79" t="s">
        <v>13</v>
      </c>
      <c r="F2799" s="79" t="s">
        <v>235</v>
      </c>
      <c r="G2799" s="79"/>
      <c r="H2799" s="79" t="s">
        <v>168</v>
      </c>
    </row>
    <row r="2800" spans="1:8">
      <c r="A2800" s="79" t="str">
        <f>LeaveData[[#This Row],[ EMP ID]]&amp;LeaveData[[#This Row],[Date]]</f>
        <v>20221801146045</v>
      </c>
      <c r="B2800" s="92">
        <v>202218011</v>
      </c>
      <c r="C2800" s="92" t="s">
        <v>28</v>
      </c>
      <c r="D2800" s="101">
        <v>46045</v>
      </c>
      <c r="E2800" s="79" t="s">
        <v>13</v>
      </c>
      <c r="F2800" s="79" t="s">
        <v>235</v>
      </c>
      <c r="G2800" s="79"/>
      <c r="H2800" s="79" t="s">
        <v>1597</v>
      </c>
    </row>
    <row r="2801" spans="1:8">
      <c r="A2801" s="79" t="str">
        <f>LeaveData[[#This Row],[ EMP ID]]&amp;LeaveData[[#This Row],[Date]]</f>
        <v>20231801746041</v>
      </c>
      <c r="B2801" s="92">
        <v>202318017</v>
      </c>
      <c r="C2801" s="122" t="s">
        <v>37</v>
      </c>
      <c r="D2801" s="130">
        <v>46041</v>
      </c>
      <c r="E2801" s="79" t="s">
        <v>13</v>
      </c>
      <c r="F2801" s="79" t="s">
        <v>1365</v>
      </c>
      <c r="G2801" s="79"/>
      <c r="H2801" s="79" t="s">
        <v>1604</v>
      </c>
    </row>
    <row r="2802" spans="1:8">
      <c r="A2802" s="79" t="str">
        <f>LeaveData[[#This Row],[ EMP ID]]&amp;LeaveData[[#This Row],[Date]]</f>
        <v>20231801746042</v>
      </c>
      <c r="B2802" s="92">
        <v>202318017</v>
      </c>
      <c r="C2802" s="122" t="s">
        <v>37</v>
      </c>
      <c r="D2802" s="130">
        <v>46042</v>
      </c>
      <c r="E2802" s="79" t="s">
        <v>13</v>
      </c>
      <c r="F2802" s="79" t="s">
        <v>1365</v>
      </c>
      <c r="G2802" s="79"/>
      <c r="H2802" s="79" t="s">
        <v>1604</v>
      </c>
    </row>
    <row r="2803" spans="1:8">
      <c r="A2803" s="79" t="str">
        <f>LeaveData[[#This Row],[ EMP ID]]&amp;LeaveData[[#This Row],[Date]]</f>
        <v>20231801746043</v>
      </c>
      <c r="B2803" s="92">
        <v>202318017</v>
      </c>
      <c r="C2803" s="122" t="s">
        <v>37</v>
      </c>
      <c r="D2803" s="130">
        <v>46043</v>
      </c>
      <c r="E2803" s="79" t="s">
        <v>13</v>
      </c>
      <c r="F2803" s="79" t="s">
        <v>1365</v>
      </c>
      <c r="G2803" s="79"/>
      <c r="H2803" s="79" t="s">
        <v>1604</v>
      </c>
    </row>
    <row r="2804" spans="1:8">
      <c r="A2804" s="79" t="str">
        <f>LeaveData[[#This Row],[ EMP ID]]&amp;LeaveData[[#This Row],[Date]]</f>
        <v>20231801746044</v>
      </c>
      <c r="B2804" s="92">
        <v>202318017</v>
      </c>
      <c r="C2804" s="122" t="s">
        <v>37</v>
      </c>
      <c r="D2804" s="130">
        <v>46044</v>
      </c>
      <c r="E2804" s="79" t="s">
        <v>13</v>
      </c>
      <c r="F2804" s="79" t="s">
        <v>1365</v>
      </c>
      <c r="G2804" s="79"/>
      <c r="H2804" s="79" t="s">
        <v>1604</v>
      </c>
    </row>
    <row r="2805" spans="1:8">
      <c r="A2805" s="79" t="str">
        <f>LeaveData[[#This Row],[ EMP ID]]&amp;LeaveData[[#This Row],[Date]]</f>
        <v>20231801746045</v>
      </c>
      <c r="B2805" s="92">
        <v>202318017</v>
      </c>
      <c r="C2805" s="122" t="s">
        <v>37</v>
      </c>
      <c r="D2805" s="130">
        <v>46045</v>
      </c>
      <c r="E2805" s="79" t="s">
        <v>13</v>
      </c>
      <c r="F2805" s="79" t="s">
        <v>1365</v>
      </c>
      <c r="G2805" s="79"/>
      <c r="H2805" s="79" t="s">
        <v>1604</v>
      </c>
    </row>
    <row r="2806" spans="1:8">
      <c r="A2806" s="79" t="str">
        <f>LeaveData[[#This Row],[ EMP ID]]&amp;LeaveData[[#This Row],[Date]]</f>
        <v>20231801746048</v>
      </c>
      <c r="B2806" s="92">
        <v>202318017</v>
      </c>
      <c r="C2806" s="122" t="s">
        <v>37</v>
      </c>
      <c r="D2806" s="130">
        <v>46048</v>
      </c>
      <c r="E2806" s="79" t="s">
        <v>13</v>
      </c>
      <c r="F2806" s="79" t="s">
        <v>1365</v>
      </c>
      <c r="G2806" s="79"/>
      <c r="H2806" s="79" t="s">
        <v>1604</v>
      </c>
    </row>
    <row r="2807" spans="1:8">
      <c r="A2807" s="79" t="str">
        <f>LeaveData[[#This Row],[ EMP ID]]&amp;LeaveData[[#This Row],[Date]]</f>
        <v>20231801746049</v>
      </c>
      <c r="B2807" s="92">
        <v>202318017</v>
      </c>
      <c r="C2807" s="122" t="s">
        <v>37</v>
      </c>
      <c r="D2807" s="130">
        <v>46049</v>
      </c>
      <c r="E2807" s="79" t="s">
        <v>13</v>
      </c>
      <c r="F2807" s="79" t="s">
        <v>1365</v>
      </c>
      <c r="G2807" s="79"/>
      <c r="H2807" s="79" t="s">
        <v>1604</v>
      </c>
    </row>
    <row r="2808" spans="1:8">
      <c r="A2808" s="79" t="str">
        <f>LeaveData[[#This Row],[ EMP ID]]&amp;LeaveData[[#This Row],[Date]]</f>
        <v>20231801746050</v>
      </c>
      <c r="B2808" s="92">
        <v>202318017</v>
      </c>
      <c r="C2808" s="122" t="s">
        <v>37</v>
      </c>
      <c r="D2808" s="130">
        <v>46050</v>
      </c>
      <c r="E2808" s="79" t="s">
        <v>13</v>
      </c>
      <c r="F2808" s="79" t="s">
        <v>1365</v>
      </c>
      <c r="G2808" s="79"/>
      <c r="H2808" s="79" t="s">
        <v>1604</v>
      </c>
    </row>
    <row r="2809" spans="1:8">
      <c r="A2809" s="79" t="str">
        <f>LeaveData[[#This Row],[ EMP ID]]&amp;LeaveData[[#This Row],[Date]]</f>
        <v>20231801746051</v>
      </c>
      <c r="B2809" s="92">
        <v>202318017</v>
      </c>
      <c r="C2809" s="122" t="s">
        <v>37</v>
      </c>
      <c r="D2809" s="130">
        <v>46051</v>
      </c>
      <c r="E2809" s="79" t="s">
        <v>13</v>
      </c>
      <c r="F2809" s="79" t="s">
        <v>1365</v>
      </c>
      <c r="G2809" s="79"/>
      <c r="H2809" s="79" t="s">
        <v>1604</v>
      </c>
    </row>
    <row r="2810" spans="1:8">
      <c r="A2810" s="79" t="str">
        <f>LeaveData[[#This Row],[ EMP ID]]&amp;LeaveData[[#This Row],[Date]]</f>
        <v>20231801746052</v>
      </c>
      <c r="B2810" s="92">
        <v>202318017</v>
      </c>
      <c r="C2810" s="122" t="s">
        <v>37</v>
      </c>
      <c r="D2810" s="130">
        <v>46052</v>
      </c>
      <c r="E2810" s="79" t="s">
        <v>13</v>
      </c>
      <c r="F2810" s="79" t="s">
        <v>1365</v>
      </c>
      <c r="G2810" s="79"/>
      <c r="H2810" s="79" t="s">
        <v>1604</v>
      </c>
    </row>
    <row r="2811" spans="1:8">
      <c r="A2811" s="79" t="str">
        <f>LeaveData[[#This Row],[ EMP ID]]&amp;LeaveData[[#This Row],[Date]]</f>
        <v>20182000146044</v>
      </c>
      <c r="B2811" s="92">
        <v>201820001</v>
      </c>
      <c r="C2811" s="92" t="s">
        <v>18</v>
      </c>
      <c r="D2811" s="101">
        <v>46044</v>
      </c>
      <c r="E2811" s="79" t="s">
        <v>13</v>
      </c>
      <c r="F2811" s="79" t="s">
        <v>118</v>
      </c>
      <c r="G2811" s="79"/>
      <c r="H2811" s="79" t="s">
        <v>168</v>
      </c>
    </row>
    <row r="2812" spans="1:8">
      <c r="A2812" s="79" t="str">
        <f>LeaveData[[#This Row],[ EMP ID]]&amp;LeaveData[[#This Row],[Date]]</f>
        <v>20182000146045</v>
      </c>
      <c r="B2812" s="92">
        <v>201820001</v>
      </c>
      <c r="C2812" s="92" t="s">
        <v>18</v>
      </c>
      <c r="D2812" s="101">
        <v>46045</v>
      </c>
      <c r="E2812" s="79" t="s">
        <v>14</v>
      </c>
      <c r="F2812" s="79" t="s">
        <v>118</v>
      </c>
      <c r="G2812" s="79"/>
      <c r="H2812" s="79" t="s">
        <v>168</v>
      </c>
    </row>
    <row r="2813" spans="1:8">
      <c r="A2813" s="79" t="str">
        <f>LeaveData[[#This Row],[ EMP ID]]&amp;LeaveData[[#This Row],[Date]]</f>
        <v>20231801846045</v>
      </c>
      <c r="B2813" s="92">
        <v>202318018</v>
      </c>
      <c r="C2813" s="92" t="s">
        <v>40</v>
      </c>
      <c r="D2813" s="101">
        <v>46045</v>
      </c>
      <c r="E2813" s="79" t="s">
        <v>13</v>
      </c>
      <c r="F2813" s="79" t="s">
        <v>125</v>
      </c>
      <c r="G2813" s="79"/>
      <c r="H2813" s="79" t="s">
        <v>1599</v>
      </c>
    </row>
    <row r="2814" spans="1:8">
      <c r="A2814" s="79" t="str">
        <f>LeaveData[[#This Row],[ EMP ID]]&amp;LeaveData[[#This Row],[Date]]</f>
        <v>20221800946045</v>
      </c>
      <c r="B2814" s="92">
        <v>202218009</v>
      </c>
      <c r="C2814" s="92" t="s">
        <v>26</v>
      </c>
      <c r="D2814" s="101">
        <v>46045</v>
      </c>
      <c r="E2814" s="79" t="s">
        <v>13</v>
      </c>
      <c r="F2814" s="79" t="s">
        <v>128</v>
      </c>
      <c r="G2814" s="79"/>
      <c r="H2814" s="79" t="s">
        <v>1597</v>
      </c>
    </row>
    <row r="2815" spans="1:8">
      <c r="A2815" s="79" t="str">
        <f>LeaveData[[#This Row],[ EMP ID]]&amp;LeaveData[[#This Row],[Date]]</f>
        <v>20231802746044</v>
      </c>
      <c r="B2815" s="92">
        <v>202318027</v>
      </c>
      <c r="C2815" s="92" t="s">
        <v>54</v>
      </c>
      <c r="D2815" s="101">
        <v>46044</v>
      </c>
      <c r="E2815" s="79" t="s">
        <v>16</v>
      </c>
      <c r="F2815" s="79" t="s">
        <v>1365</v>
      </c>
      <c r="G2815" s="79"/>
      <c r="H2815" s="79" t="s">
        <v>168</v>
      </c>
    </row>
    <row r="2816" spans="1:8">
      <c r="A2816" s="79" t="str">
        <f>LeaveData[[#This Row],[ EMP ID]]&amp;LeaveData[[#This Row],[Date]]</f>
        <v>20250101246045</v>
      </c>
      <c r="B2816" s="79">
        <v>202501012</v>
      </c>
      <c r="C2816" s="79" t="s">
        <v>1394</v>
      </c>
      <c r="D2816" s="101">
        <v>46045</v>
      </c>
      <c r="E2816" s="79" t="s">
        <v>16</v>
      </c>
      <c r="F2816" s="79" t="s">
        <v>246</v>
      </c>
      <c r="G2816" s="79"/>
      <c r="H2816" s="79" t="s">
        <v>1625</v>
      </c>
    </row>
    <row r="2817" spans="1:8">
      <c r="A2817" s="79" t="str">
        <f>LeaveData[[#This Row],[ EMP ID]]&amp;LeaveData[[#This Row],[Date]]</f>
        <v>20231802846055</v>
      </c>
      <c r="B2817" s="92">
        <v>202318028</v>
      </c>
      <c r="C2817" s="92" t="s">
        <v>57</v>
      </c>
      <c r="D2817" s="101">
        <v>46055</v>
      </c>
      <c r="E2817" s="79" t="s">
        <v>13</v>
      </c>
      <c r="F2817" s="79" t="s">
        <v>104</v>
      </c>
      <c r="G2817" s="79"/>
      <c r="H2817" s="79" t="s">
        <v>1600</v>
      </c>
    </row>
    <row r="2818" spans="1:8">
      <c r="A2818" s="79" t="str">
        <f>LeaveData[[#This Row],[ EMP ID]]&amp;LeaveData[[#This Row],[Date]]</f>
        <v>20231802846056</v>
      </c>
      <c r="B2818" s="92">
        <v>202318028</v>
      </c>
      <c r="C2818" s="92" t="s">
        <v>57</v>
      </c>
      <c r="D2818" s="101">
        <v>46056</v>
      </c>
      <c r="E2818" s="79" t="s">
        <v>13</v>
      </c>
      <c r="F2818" s="79" t="s">
        <v>104</v>
      </c>
      <c r="G2818" s="79"/>
      <c r="H2818" s="79" t="s">
        <v>1600</v>
      </c>
    </row>
    <row r="2819" spans="1:8">
      <c r="A2819" s="79" t="str">
        <f>LeaveData[[#This Row],[ EMP ID]]&amp;LeaveData[[#This Row],[Date]]</f>
        <v>20250102046046</v>
      </c>
      <c r="B2819" s="92">
        <v>202501020</v>
      </c>
      <c r="C2819" s="92" t="s">
        <v>1468</v>
      </c>
      <c r="D2819" s="101">
        <v>46046</v>
      </c>
      <c r="E2819" s="79" t="s">
        <v>154</v>
      </c>
      <c r="F2819" s="79" t="s">
        <v>246</v>
      </c>
      <c r="G2819" s="79"/>
      <c r="H2819" s="79" t="s">
        <v>1594</v>
      </c>
    </row>
    <row r="2820" spans="1:8">
      <c r="A2820" s="79" t="str">
        <f>LeaveData[[#This Row],[ EMP ID]]&amp;LeaveData[[#This Row],[Date]]</f>
        <v>20242100146049</v>
      </c>
      <c r="B2820" s="92">
        <v>202421001</v>
      </c>
      <c r="C2820" s="122" t="s">
        <v>221</v>
      </c>
      <c r="D2820" s="101">
        <v>46049</v>
      </c>
      <c r="E2820" s="79" t="s">
        <v>16</v>
      </c>
      <c r="F2820" s="79" t="s">
        <v>29</v>
      </c>
      <c r="G2820" s="79"/>
      <c r="H2820" s="79" t="s">
        <v>416</v>
      </c>
    </row>
    <row r="2821" spans="1:8">
      <c r="A2821" s="79" t="str">
        <f>LeaveData[[#This Row],[ EMP ID]]&amp;LeaveData[[#This Row],[Date]]</f>
        <v>20231801846053</v>
      </c>
      <c r="B2821" s="92">
        <v>202318018</v>
      </c>
      <c r="C2821" s="92" t="s">
        <v>40</v>
      </c>
      <c r="D2821" s="101">
        <v>46053</v>
      </c>
      <c r="E2821" s="79" t="s">
        <v>16</v>
      </c>
      <c r="F2821" s="79" t="s">
        <v>125</v>
      </c>
      <c r="G2821" s="79"/>
      <c r="H2821" s="79" t="s">
        <v>1601</v>
      </c>
    </row>
    <row r="2822" spans="1:8">
      <c r="A2822" s="79" t="str">
        <f>LeaveData[[#This Row],[ EMP ID]]&amp;LeaveData[[#This Row],[Date]]</f>
        <v>20231802346050</v>
      </c>
      <c r="B2822" s="92">
        <v>202318023</v>
      </c>
      <c r="C2822" s="122" t="s">
        <v>148</v>
      </c>
      <c r="D2822" s="101">
        <v>46050</v>
      </c>
      <c r="E2822" s="79" t="s">
        <v>13</v>
      </c>
      <c r="F2822" s="79" t="s">
        <v>128</v>
      </c>
      <c r="G2822" s="79"/>
      <c r="H2822" s="79" t="s">
        <v>1602</v>
      </c>
    </row>
    <row r="2823" spans="1:8">
      <c r="A2823" s="79" t="str">
        <f>LeaveData[[#This Row],[ EMP ID]]&amp;LeaveData[[#This Row],[Date]]</f>
        <v>20211800746055</v>
      </c>
      <c r="B2823" s="79">
        <v>202118007</v>
      </c>
      <c r="C2823" s="79" t="s">
        <v>103</v>
      </c>
      <c r="D2823" s="101">
        <v>46055</v>
      </c>
      <c r="E2823" s="79" t="s">
        <v>318</v>
      </c>
      <c r="F2823" s="79" t="s">
        <v>114</v>
      </c>
      <c r="G2823" s="79"/>
      <c r="H2823" s="79" t="s">
        <v>1603</v>
      </c>
    </row>
    <row r="2824" spans="1:8">
      <c r="A2824" s="79" t="str">
        <f>LeaveData[[#This Row],[ EMP ID]]&amp;LeaveData[[#This Row],[Date]]</f>
        <v>20261804946056</v>
      </c>
      <c r="B2824" s="92">
        <v>202618049</v>
      </c>
      <c r="C2824" s="92" t="s">
        <v>1582</v>
      </c>
      <c r="D2824" s="101">
        <v>46056</v>
      </c>
      <c r="E2824" s="79" t="s">
        <v>13</v>
      </c>
      <c r="F2824" s="79" t="s">
        <v>83</v>
      </c>
      <c r="G2824" s="79"/>
      <c r="H2824" s="79" t="s">
        <v>105</v>
      </c>
    </row>
    <row r="2825" spans="1:8">
      <c r="A2825" s="79" t="str">
        <f>LeaveData[[#This Row],[ EMP ID]]&amp;LeaveData[[#This Row],[Date]]</f>
        <v>20231802046050</v>
      </c>
      <c r="B2825" s="92">
        <v>202318020</v>
      </c>
      <c r="C2825" s="92" t="s">
        <v>43</v>
      </c>
      <c r="D2825" s="101">
        <v>46050</v>
      </c>
      <c r="E2825" s="79" t="s">
        <v>13</v>
      </c>
      <c r="F2825" s="79" t="s">
        <v>45</v>
      </c>
      <c r="G2825" s="79"/>
      <c r="H2825" s="79" t="s">
        <v>1605</v>
      </c>
    </row>
    <row r="2826" spans="1:8">
      <c r="A2826" s="79" t="str">
        <f>LeaveData[[#This Row],[ EMP ID]]&amp;LeaveData[[#This Row],[Date]]</f>
        <v>20231802046051</v>
      </c>
      <c r="B2826" s="92">
        <v>202318020</v>
      </c>
      <c r="C2826" s="92" t="s">
        <v>43</v>
      </c>
      <c r="D2826" s="101">
        <v>46051</v>
      </c>
      <c r="E2826" s="79" t="s">
        <v>13</v>
      </c>
      <c r="F2826" s="79" t="s">
        <v>45</v>
      </c>
      <c r="G2826" s="79"/>
      <c r="H2826" s="79" t="s">
        <v>1605</v>
      </c>
    </row>
    <row r="2827" spans="1:8">
      <c r="A2827" s="79" t="str">
        <f>LeaveData[[#This Row],[ EMP ID]]&amp;LeaveData[[#This Row],[Date]]</f>
        <v>20231802046052</v>
      </c>
      <c r="B2827" s="92">
        <v>202318020</v>
      </c>
      <c r="C2827" s="92" t="s">
        <v>43</v>
      </c>
      <c r="D2827" s="101">
        <v>46052</v>
      </c>
      <c r="E2827" s="79" t="s">
        <v>13</v>
      </c>
      <c r="F2827" s="79" t="s">
        <v>45</v>
      </c>
      <c r="G2827" s="79"/>
      <c r="H2827" s="79" t="s">
        <v>1605</v>
      </c>
    </row>
    <row r="2828" spans="1:8">
      <c r="A2828" s="79" t="str">
        <f>LeaveData[[#This Row],[ EMP ID]]&amp;LeaveData[[#This Row],[Date]]</f>
        <v>20231802246060</v>
      </c>
      <c r="B2828" s="79">
        <v>202318022</v>
      </c>
      <c r="C2828" s="79" t="s">
        <v>45</v>
      </c>
      <c r="D2828" s="101">
        <v>46060</v>
      </c>
      <c r="E2828" s="79" t="s">
        <v>13</v>
      </c>
      <c r="F2828" s="79" t="s">
        <v>1365</v>
      </c>
      <c r="G2828" s="79"/>
      <c r="H2828" s="79" t="s">
        <v>1606</v>
      </c>
    </row>
    <row r="2829" spans="1:8">
      <c r="A2829" s="79" t="str">
        <f>LeaveData[[#This Row],[ EMP ID]]&amp;LeaveData[[#This Row],[Date]]</f>
        <v>20231802246062</v>
      </c>
      <c r="B2829" s="79">
        <v>202318022</v>
      </c>
      <c r="C2829" s="79" t="s">
        <v>45</v>
      </c>
      <c r="D2829" s="101">
        <v>46062</v>
      </c>
      <c r="E2829" s="79" t="s">
        <v>13</v>
      </c>
      <c r="F2829" s="79" t="s">
        <v>1365</v>
      </c>
      <c r="G2829" s="79"/>
      <c r="H2829" s="79" t="s">
        <v>1606</v>
      </c>
    </row>
    <row r="2830" spans="1:8">
      <c r="A2830" s="79" t="str">
        <f>LeaveData[[#This Row],[ EMP ID]]&amp;LeaveData[[#This Row],[Date]]</f>
        <v>20231802246063</v>
      </c>
      <c r="B2830" s="79">
        <v>202318022</v>
      </c>
      <c r="C2830" s="79" t="s">
        <v>45</v>
      </c>
      <c r="D2830" s="101">
        <v>46063</v>
      </c>
      <c r="E2830" s="79" t="s">
        <v>13</v>
      </c>
      <c r="F2830" s="79" t="s">
        <v>1365</v>
      </c>
      <c r="G2830" s="79"/>
      <c r="H2830" s="79" t="s">
        <v>1606</v>
      </c>
    </row>
    <row r="2831" spans="1:8">
      <c r="A2831" s="79" t="str">
        <f>LeaveData[[#This Row],[ EMP ID]]&amp;LeaveData[[#This Row],[Date]]</f>
        <v>20231802246064</v>
      </c>
      <c r="B2831" s="79">
        <v>202318022</v>
      </c>
      <c r="C2831" s="79" t="s">
        <v>45</v>
      </c>
      <c r="D2831" s="101">
        <v>46064</v>
      </c>
      <c r="E2831" s="79" t="s">
        <v>13</v>
      </c>
      <c r="F2831" s="79" t="s">
        <v>1365</v>
      </c>
      <c r="G2831" s="79"/>
      <c r="H2831" s="79" t="s">
        <v>1606</v>
      </c>
    </row>
    <row r="2832" spans="1:8">
      <c r="A2832" s="79" t="str">
        <f>LeaveData[[#This Row],[ EMP ID]]&amp;LeaveData[[#This Row],[Date]]</f>
        <v>20231802246065</v>
      </c>
      <c r="B2832" s="79">
        <v>202318022</v>
      </c>
      <c r="C2832" s="79" t="s">
        <v>45</v>
      </c>
      <c r="D2832" s="101">
        <v>46065</v>
      </c>
      <c r="E2832" s="79" t="s">
        <v>13</v>
      </c>
      <c r="F2832" s="79" t="s">
        <v>1365</v>
      </c>
      <c r="G2832" s="79"/>
      <c r="H2832" s="79" t="s">
        <v>1606</v>
      </c>
    </row>
    <row r="2833" spans="1:8">
      <c r="A2833" s="79" t="str">
        <f>LeaveData[[#This Row],[ EMP ID]]&amp;LeaveData[[#This Row],[Date]]</f>
        <v>20231802246066</v>
      </c>
      <c r="B2833" s="79">
        <v>202318022</v>
      </c>
      <c r="C2833" s="79" t="s">
        <v>45</v>
      </c>
      <c r="D2833" s="101">
        <v>46066</v>
      </c>
      <c r="E2833" s="79" t="s">
        <v>13</v>
      </c>
      <c r="F2833" s="79" t="s">
        <v>1365</v>
      </c>
      <c r="G2833" s="79"/>
      <c r="H2833" s="79" t="s">
        <v>1606</v>
      </c>
    </row>
    <row r="2834" spans="1:8">
      <c r="A2834" s="79" t="str">
        <f>LeaveData[[#This Row],[ EMP ID]]&amp;LeaveData[[#This Row],[Date]]</f>
        <v>20242100246036</v>
      </c>
      <c r="B2834" s="88">
        <v>202421002</v>
      </c>
      <c r="C2834" s="79" t="s">
        <v>223</v>
      </c>
      <c r="D2834" s="101">
        <v>46036</v>
      </c>
      <c r="E2834" s="79" t="s">
        <v>154</v>
      </c>
      <c r="F2834" s="79" t="s">
        <v>29</v>
      </c>
      <c r="G2834" s="79"/>
      <c r="H2834" s="79" t="s">
        <v>1594</v>
      </c>
    </row>
    <row r="2835" spans="1:8">
      <c r="A2835" s="79" t="str">
        <f>LeaveData[[#This Row],[ EMP ID]]&amp;LeaveData[[#This Row],[Date]]</f>
        <v>20242100246037</v>
      </c>
      <c r="B2835" s="88">
        <v>202421002</v>
      </c>
      <c r="C2835" s="79" t="s">
        <v>223</v>
      </c>
      <c r="D2835" s="101">
        <v>46037</v>
      </c>
      <c r="E2835" s="79" t="s">
        <v>154</v>
      </c>
      <c r="F2835" s="79" t="s">
        <v>29</v>
      </c>
      <c r="G2835" s="79"/>
      <c r="H2835" s="79" t="s">
        <v>1594</v>
      </c>
    </row>
    <row r="2836" spans="1:8">
      <c r="A2836" s="79" t="str">
        <f>LeaveData[[#This Row],[ EMP ID]]&amp;LeaveData[[#This Row],[Date]]</f>
        <v>20242100246038</v>
      </c>
      <c r="B2836" s="88">
        <v>202421002</v>
      </c>
      <c r="C2836" s="79" t="s">
        <v>223</v>
      </c>
      <c r="D2836" s="101">
        <v>46038</v>
      </c>
      <c r="E2836" s="79" t="s">
        <v>13</v>
      </c>
      <c r="F2836" s="79" t="s">
        <v>29</v>
      </c>
      <c r="G2836" s="79"/>
      <c r="H2836" s="79" t="s">
        <v>1607</v>
      </c>
    </row>
    <row r="2837" spans="1:8">
      <c r="A2837" s="79" t="str">
        <f>LeaveData[[#This Row],[ EMP ID]]&amp;LeaveData[[#This Row],[Date]]</f>
        <v>20242100245924</v>
      </c>
      <c r="B2837" s="88">
        <v>202421002</v>
      </c>
      <c r="C2837" s="79" t="s">
        <v>223</v>
      </c>
      <c r="D2837" s="101">
        <v>45924</v>
      </c>
      <c r="E2837" s="79" t="s">
        <v>14</v>
      </c>
      <c r="F2837" s="79" t="s">
        <v>29</v>
      </c>
      <c r="G2837" s="79"/>
      <c r="H2837" s="79" t="s">
        <v>168</v>
      </c>
    </row>
    <row r="2838" spans="1:8">
      <c r="A2838" s="79" t="str">
        <f>LeaveData[[#This Row],[ EMP ID]]&amp;LeaveData[[#This Row],[Date]]</f>
        <v>20242100246039</v>
      </c>
      <c r="B2838" s="88">
        <v>202421002</v>
      </c>
      <c r="C2838" s="79" t="s">
        <v>223</v>
      </c>
      <c r="D2838" s="101">
        <v>46039</v>
      </c>
      <c r="E2838" s="79" t="s">
        <v>13</v>
      </c>
      <c r="F2838" s="79" t="s">
        <v>29</v>
      </c>
      <c r="G2838" s="79"/>
      <c r="H2838" s="79" t="s">
        <v>1607</v>
      </c>
    </row>
    <row r="2839" spans="1:8">
      <c r="A2839" s="79" t="str">
        <f>LeaveData[[#This Row],[ EMP ID]]&amp;LeaveData[[#This Row],[Date]]</f>
        <v>20251804646039</v>
      </c>
      <c r="B2839" s="92">
        <v>202518046</v>
      </c>
      <c r="C2839" s="122" t="s">
        <v>403</v>
      </c>
      <c r="D2839" s="101">
        <v>46039</v>
      </c>
      <c r="E2839" s="79" t="s">
        <v>16</v>
      </c>
      <c r="F2839" s="79" t="s">
        <v>1592</v>
      </c>
      <c r="G2839" s="79"/>
      <c r="H2839" s="79" t="s">
        <v>1608</v>
      </c>
    </row>
    <row r="2840" spans="1:8">
      <c r="A2840" s="79" t="str">
        <f>LeaveData[[#This Row],[ EMP ID]]&amp;LeaveData[[#This Row],[Date]]</f>
        <v>20251804646041</v>
      </c>
      <c r="B2840" s="92">
        <v>202518046</v>
      </c>
      <c r="C2840" s="122" t="s">
        <v>403</v>
      </c>
      <c r="D2840" s="101">
        <v>46041</v>
      </c>
      <c r="E2840" s="79" t="s">
        <v>16</v>
      </c>
      <c r="F2840" s="79" t="s">
        <v>1592</v>
      </c>
      <c r="G2840" s="79"/>
      <c r="H2840" s="79" t="s">
        <v>1608</v>
      </c>
    </row>
    <row r="2841" spans="1:8">
      <c r="A2841" s="79" t="str">
        <f>LeaveData[[#This Row],[ EMP ID]]&amp;LeaveData[[#This Row],[Date]]</f>
        <v>20251804646042</v>
      </c>
      <c r="B2841" s="92">
        <v>202518046</v>
      </c>
      <c r="C2841" s="122" t="s">
        <v>403</v>
      </c>
      <c r="D2841" s="101">
        <v>46042</v>
      </c>
      <c r="E2841" s="79" t="s">
        <v>16</v>
      </c>
      <c r="F2841" s="79" t="s">
        <v>1592</v>
      </c>
      <c r="G2841" s="79"/>
      <c r="H2841" s="79" t="s">
        <v>1608</v>
      </c>
    </row>
    <row r="2842" spans="1:8">
      <c r="A2842" s="79" t="str">
        <f>LeaveData[[#This Row],[ EMP ID]]&amp;LeaveData[[#This Row],[Date]]</f>
        <v>20251804646043</v>
      </c>
      <c r="B2842" s="92">
        <v>202518046</v>
      </c>
      <c r="C2842" s="122" t="s">
        <v>403</v>
      </c>
      <c r="D2842" s="101">
        <v>46043</v>
      </c>
      <c r="E2842" s="79" t="s">
        <v>16</v>
      </c>
      <c r="F2842" s="79" t="s">
        <v>1592</v>
      </c>
      <c r="G2842" s="79"/>
      <c r="H2842" s="79" t="s">
        <v>1608</v>
      </c>
    </row>
    <row r="2843" spans="1:8">
      <c r="A2843" s="79" t="str">
        <f>LeaveData[[#This Row],[ EMP ID]]&amp;LeaveData[[#This Row],[Date]]</f>
        <v>20251804646044</v>
      </c>
      <c r="B2843" s="92">
        <v>202518046</v>
      </c>
      <c r="C2843" s="122" t="s">
        <v>403</v>
      </c>
      <c r="D2843" s="101">
        <v>46044</v>
      </c>
      <c r="E2843" s="79" t="s">
        <v>16</v>
      </c>
      <c r="F2843" s="79" t="s">
        <v>1592</v>
      </c>
      <c r="G2843" s="79"/>
      <c r="H2843" s="79" t="s">
        <v>1608</v>
      </c>
    </row>
    <row r="2844" spans="1:8">
      <c r="A2844" s="79" t="str">
        <f>LeaveData[[#This Row],[ EMP ID]]&amp;LeaveData[[#This Row],[Date]]</f>
        <v>20251804646045</v>
      </c>
      <c r="B2844" s="92">
        <v>202518046</v>
      </c>
      <c r="C2844" s="122" t="s">
        <v>403</v>
      </c>
      <c r="D2844" s="101">
        <v>46045</v>
      </c>
      <c r="E2844" s="79" t="s">
        <v>16</v>
      </c>
      <c r="F2844" s="79" t="s">
        <v>1592</v>
      </c>
      <c r="G2844" s="79"/>
      <c r="H2844" s="79" t="s">
        <v>1608</v>
      </c>
    </row>
    <row r="2845" spans="1:8">
      <c r="A2845" s="79" t="str">
        <f>LeaveData[[#This Row],[ EMP ID]]&amp;LeaveData[[#This Row],[Date]]</f>
        <v>20251804646048</v>
      </c>
      <c r="B2845" s="92">
        <v>202518046</v>
      </c>
      <c r="C2845" s="122" t="s">
        <v>403</v>
      </c>
      <c r="D2845" s="101">
        <v>46048</v>
      </c>
      <c r="E2845" s="79" t="s">
        <v>16</v>
      </c>
      <c r="F2845" s="79" t="s">
        <v>1592</v>
      </c>
      <c r="G2845" s="79"/>
      <c r="H2845" s="79" t="s">
        <v>1608</v>
      </c>
    </row>
    <row r="2846" spans="1:8">
      <c r="A2846" s="79" t="str">
        <f>LeaveData[[#This Row],[ EMP ID]]&amp;LeaveData[[#This Row],[Date]]</f>
        <v>20251804646049</v>
      </c>
      <c r="B2846" s="92">
        <v>202518046</v>
      </c>
      <c r="C2846" s="122" t="s">
        <v>403</v>
      </c>
      <c r="D2846" s="101">
        <v>46049</v>
      </c>
      <c r="E2846" s="79" t="s">
        <v>16</v>
      </c>
      <c r="F2846" s="79" t="s">
        <v>1592</v>
      </c>
      <c r="G2846" s="79"/>
      <c r="H2846" s="79" t="s">
        <v>1608</v>
      </c>
    </row>
    <row r="2847" spans="1:8">
      <c r="A2847" s="79" t="str">
        <f>LeaveData[[#This Row],[ EMP ID]]&amp;LeaveData[[#This Row],[Date]]</f>
        <v>20251804646050</v>
      </c>
      <c r="B2847" s="92">
        <v>202518046</v>
      </c>
      <c r="C2847" s="122" t="s">
        <v>403</v>
      </c>
      <c r="D2847" s="101">
        <v>46050</v>
      </c>
      <c r="E2847" s="79" t="s">
        <v>16</v>
      </c>
      <c r="F2847" s="79" t="s">
        <v>1592</v>
      </c>
      <c r="G2847" s="79"/>
      <c r="H2847" s="79" t="s">
        <v>1608</v>
      </c>
    </row>
    <row r="2848" spans="1:8">
      <c r="A2848" s="79" t="str">
        <f>LeaveData[[#This Row],[ EMP ID]]&amp;LeaveData[[#This Row],[Date]]</f>
        <v>20251804646051</v>
      </c>
      <c r="B2848" s="92">
        <v>202518046</v>
      </c>
      <c r="C2848" s="122" t="s">
        <v>403</v>
      </c>
      <c r="D2848" s="101">
        <v>46051</v>
      </c>
      <c r="E2848" s="79" t="s">
        <v>16</v>
      </c>
      <c r="F2848" s="79" t="s">
        <v>1592</v>
      </c>
      <c r="G2848" s="79"/>
      <c r="H2848" s="79" t="s">
        <v>1608</v>
      </c>
    </row>
    <row r="2849" spans="1:8">
      <c r="A2849" s="79" t="str">
        <f>LeaveData[[#This Row],[ EMP ID]]&amp;LeaveData[[#This Row],[Date]]</f>
        <v>20251804646052</v>
      </c>
      <c r="B2849" s="92">
        <v>202518046</v>
      </c>
      <c r="C2849" s="122" t="s">
        <v>403</v>
      </c>
      <c r="D2849" s="101">
        <v>46052</v>
      </c>
      <c r="E2849" s="79" t="s">
        <v>16</v>
      </c>
      <c r="F2849" s="79" t="s">
        <v>1592</v>
      </c>
      <c r="G2849" s="79"/>
      <c r="H2849" s="79" t="s">
        <v>1608</v>
      </c>
    </row>
    <row r="2850" spans="1:8">
      <c r="A2850" s="79" t="str">
        <f>LeaveData[[#This Row],[ EMP ID]]&amp;LeaveData[[#This Row],[Date]]</f>
        <v>20251804646053</v>
      </c>
      <c r="B2850" s="92">
        <v>202518046</v>
      </c>
      <c r="C2850" s="122" t="s">
        <v>403</v>
      </c>
      <c r="D2850" s="101">
        <v>46053</v>
      </c>
      <c r="E2850" s="79" t="s">
        <v>16</v>
      </c>
      <c r="F2850" s="79" t="s">
        <v>1592</v>
      </c>
      <c r="G2850" s="79"/>
      <c r="H2850" s="79" t="s">
        <v>1608</v>
      </c>
    </row>
    <row r="2851" spans="1:8">
      <c r="A2851" s="79" t="str">
        <f>LeaveData[[#This Row],[ EMP ID]]&amp;LeaveData[[#This Row],[Date]]</f>
        <v>20251804646055</v>
      </c>
      <c r="B2851" s="92">
        <v>202518046</v>
      </c>
      <c r="C2851" s="122" t="s">
        <v>403</v>
      </c>
      <c r="D2851" s="101">
        <v>46055</v>
      </c>
      <c r="E2851" s="79" t="s">
        <v>16</v>
      </c>
      <c r="F2851" s="79" t="s">
        <v>1592</v>
      </c>
      <c r="G2851" s="79"/>
      <c r="H2851" s="79" t="s">
        <v>1608</v>
      </c>
    </row>
    <row r="2852" spans="1:8">
      <c r="A2852" s="79" t="str">
        <f>LeaveData[[#This Row],[ EMP ID]]&amp;LeaveData[[#This Row],[Date]]</f>
        <v>20251804646056</v>
      </c>
      <c r="B2852" s="92">
        <v>202518046</v>
      </c>
      <c r="C2852" s="122" t="s">
        <v>403</v>
      </c>
      <c r="D2852" s="101">
        <v>46056</v>
      </c>
      <c r="E2852" s="79" t="s">
        <v>16</v>
      </c>
      <c r="F2852" s="79" t="s">
        <v>1592</v>
      </c>
      <c r="G2852" s="79"/>
      <c r="H2852" s="79" t="s">
        <v>1608</v>
      </c>
    </row>
    <row r="2853" spans="1:8">
      <c r="A2853" s="79" t="str">
        <f>LeaveData[[#This Row],[ EMP ID]]&amp;LeaveData[[#This Row],[Date]]</f>
        <v>20251804646057</v>
      </c>
      <c r="B2853" s="92">
        <v>202518046</v>
      </c>
      <c r="C2853" s="122" t="s">
        <v>403</v>
      </c>
      <c r="D2853" s="101">
        <v>46057</v>
      </c>
      <c r="E2853" s="79" t="s">
        <v>16</v>
      </c>
      <c r="F2853" s="79" t="s">
        <v>1592</v>
      </c>
      <c r="G2853" s="79"/>
      <c r="H2853" s="79" t="s">
        <v>1608</v>
      </c>
    </row>
    <row r="2854" spans="1:8">
      <c r="A2854" s="79" t="str">
        <f>LeaveData[[#This Row],[ EMP ID]]&amp;LeaveData[[#This Row],[Date]]</f>
        <v>20251804646058</v>
      </c>
      <c r="B2854" s="92">
        <v>202518046</v>
      </c>
      <c r="C2854" s="122" t="s">
        <v>403</v>
      </c>
      <c r="D2854" s="101">
        <v>46058</v>
      </c>
      <c r="E2854" s="79" t="s">
        <v>16</v>
      </c>
      <c r="F2854" s="79" t="s">
        <v>1592</v>
      </c>
      <c r="G2854" s="79"/>
      <c r="H2854" s="79" t="s">
        <v>1608</v>
      </c>
    </row>
    <row r="2855" spans="1:8">
      <c r="A2855" s="79" t="str">
        <f>LeaveData[[#This Row],[ EMP ID]]&amp;LeaveData[[#This Row],[Date]]</f>
        <v>20251804646059</v>
      </c>
      <c r="B2855" s="92">
        <v>202518046</v>
      </c>
      <c r="C2855" s="122" t="s">
        <v>403</v>
      </c>
      <c r="D2855" s="101">
        <v>46059</v>
      </c>
      <c r="E2855" s="79" t="s">
        <v>16</v>
      </c>
      <c r="F2855" s="79" t="s">
        <v>1592</v>
      </c>
      <c r="G2855" s="79"/>
      <c r="H2855" s="79" t="s">
        <v>1608</v>
      </c>
    </row>
    <row r="2856" spans="1:8">
      <c r="A2856" s="79" t="str">
        <f>LeaveData[[#This Row],[ EMP ID]]&amp;LeaveData[[#This Row],[Date]]</f>
        <v>20251804646060</v>
      </c>
      <c r="B2856" s="92">
        <v>202518046</v>
      </c>
      <c r="C2856" s="122" t="s">
        <v>403</v>
      </c>
      <c r="D2856" s="101">
        <v>46060</v>
      </c>
      <c r="E2856" s="79" t="s">
        <v>16</v>
      </c>
      <c r="F2856" s="79" t="s">
        <v>1592</v>
      </c>
      <c r="G2856" s="79"/>
      <c r="H2856" s="79" t="s">
        <v>1608</v>
      </c>
    </row>
    <row r="2857" spans="1:8">
      <c r="A2857" s="79" t="str">
        <f>LeaveData[[#This Row],[ EMP ID]]&amp;LeaveData[[#This Row],[Date]]</f>
        <v>20251804646062</v>
      </c>
      <c r="B2857" s="92">
        <v>202518046</v>
      </c>
      <c r="C2857" s="122" t="s">
        <v>403</v>
      </c>
      <c r="D2857" s="101">
        <v>46062</v>
      </c>
      <c r="E2857" s="79" t="s">
        <v>16</v>
      </c>
      <c r="F2857" s="79" t="s">
        <v>1592</v>
      </c>
      <c r="G2857" s="79"/>
      <c r="H2857" s="79" t="s">
        <v>1608</v>
      </c>
    </row>
    <row r="2858" spans="1:8">
      <c r="A2858" s="79" t="str">
        <f>LeaveData[[#This Row],[ EMP ID]]&amp;LeaveData[[#This Row],[Date]]</f>
        <v>20251804646063</v>
      </c>
      <c r="B2858" s="92">
        <v>202518046</v>
      </c>
      <c r="C2858" s="122" t="s">
        <v>403</v>
      </c>
      <c r="D2858" s="101">
        <v>46063</v>
      </c>
      <c r="E2858" s="79" t="s">
        <v>16</v>
      </c>
      <c r="F2858" s="79" t="s">
        <v>1592</v>
      </c>
      <c r="G2858" s="79"/>
      <c r="H2858" s="79" t="s">
        <v>1608</v>
      </c>
    </row>
    <row r="2859" spans="1:8">
      <c r="A2859" s="79" t="str">
        <f>LeaveData[[#This Row],[ EMP ID]]&amp;LeaveData[[#This Row],[Date]]</f>
        <v>20251804646064</v>
      </c>
      <c r="B2859" s="92">
        <v>202518046</v>
      </c>
      <c r="C2859" s="122" t="s">
        <v>403</v>
      </c>
      <c r="D2859" s="101">
        <v>46064</v>
      </c>
      <c r="E2859" s="79" t="s">
        <v>16</v>
      </c>
      <c r="F2859" s="79" t="s">
        <v>1592</v>
      </c>
      <c r="G2859" s="79"/>
      <c r="H2859" s="79" t="s">
        <v>1608</v>
      </c>
    </row>
    <row r="2860" spans="1:8">
      <c r="A2860" s="79" t="str">
        <f>LeaveData[[#This Row],[ EMP ID]]&amp;LeaveData[[#This Row],[Date]]</f>
        <v>20251804646065</v>
      </c>
      <c r="B2860" s="92">
        <v>202518046</v>
      </c>
      <c r="C2860" s="122" t="s">
        <v>403</v>
      </c>
      <c r="D2860" s="101">
        <v>46065</v>
      </c>
      <c r="E2860" s="79" t="s">
        <v>16</v>
      </c>
      <c r="F2860" s="79" t="s">
        <v>1592</v>
      </c>
      <c r="G2860" s="79"/>
      <c r="H2860" s="79" t="s">
        <v>1608</v>
      </c>
    </row>
    <row r="2861" spans="1:8">
      <c r="A2861" s="79" t="str">
        <f>LeaveData[[#This Row],[ EMP ID]]&amp;LeaveData[[#This Row],[Date]]</f>
        <v>20251804646066</v>
      </c>
      <c r="B2861" s="92">
        <v>202518046</v>
      </c>
      <c r="C2861" s="122" t="s">
        <v>403</v>
      </c>
      <c r="D2861" s="101">
        <v>46066</v>
      </c>
      <c r="E2861" s="79" t="s">
        <v>16</v>
      </c>
      <c r="F2861" s="79" t="s">
        <v>1592</v>
      </c>
      <c r="G2861" s="79"/>
      <c r="H2861" s="79" t="s">
        <v>1608</v>
      </c>
    </row>
    <row r="2862" spans="1:8">
      <c r="A2862" s="79" t="str">
        <f>LeaveData[[#This Row],[ EMP ID]]&amp;LeaveData[[#This Row],[Date]]</f>
        <v>20251804646069</v>
      </c>
      <c r="B2862" s="92">
        <v>202518046</v>
      </c>
      <c r="C2862" s="122" t="s">
        <v>403</v>
      </c>
      <c r="D2862" s="101">
        <v>46069</v>
      </c>
      <c r="E2862" s="79" t="s">
        <v>16</v>
      </c>
      <c r="F2862" s="79" t="s">
        <v>1592</v>
      </c>
      <c r="G2862" s="79"/>
      <c r="H2862" s="79" t="s">
        <v>1608</v>
      </c>
    </row>
    <row r="2863" spans="1:8">
      <c r="A2863" s="79" t="str">
        <f>LeaveData[[#This Row],[ EMP ID]]&amp;LeaveData[[#This Row],[Date]]</f>
        <v>20251804646070</v>
      </c>
      <c r="B2863" s="92">
        <v>202518046</v>
      </c>
      <c r="C2863" s="122" t="s">
        <v>403</v>
      </c>
      <c r="D2863" s="101">
        <v>46070</v>
      </c>
      <c r="E2863" s="79" t="s">
        <v>16</v>
      </c>
      <c r="F2863" s="79" t="s">
        <v>1592</v>
      </c>
      <c r="G2863" s="79"/>
      <c r="H2863" s="79" t="s">
        <v>1608</v>
      </c>
    </row>
    <row r="2864" spans="1:8">
      <c r="A2864" s="79" t="str">
        <f>LeaveData[[#This Row],[ EMP ID]]&amp;LeaveData[[#This Row],[Date]]</f>
        <v>20251804646071</v>
      </c>
      <c r="B2864" s="92">
        <v>202518046</v>
      </c>
      <c r="C2864" s="122" t="s">
        <v>403</v>
      </c>
      <c r="D2864" s="101">
        <v>46071</v>
      </c>
      <c r="E2864" s="79" t="s">
        <v>16</v>
      </c>
      <c r="F2864" s="79" t="s">
        <v>1592</v>
      </c>
      <c r="G2864" s="79"/>
      <c r="H2864" s="79" t="s">
        <v>1608</v>
      </c>
    </row>
    <row r="2865" spans="1:8">
      <c r="A2865" s="79" t="str">
        <f>LeaveData[[#This Row],[ EMP ID]]&amp;LeaveData[[#This Row],[Date]]</f>
        <v>20182000146058</v>
      </c>
      <c r="B2865" s="92">
        <v>201820001</v>
      </c>
      <c r="C2865" s="92" t="s">
        <v>18</v>
      </c>
      <c r="D2865" s="101">
        <v>46058</v>
      </c>
      <c r="E2865" s="79" t="s">
        <v>16</v>
      </c>
      <c r="F2865" s="79" t="s">
        <v>118</v>
      </c>
      <c r="G2865" s="79"/>
      <c r="H2865" s="79" t="s">
        <v>168</v>
      </c>
    </row>
    <row r="2866" spans="1:8">
      <c r="A2866" s="79" t="str">
        <f>LeaveData[[#This Row],[ EMP ID]]&amp;LeaveData[[#This Row],[Date]]</f>
        <v>20182000146059</v>
      </c>
      <c r="B2866" s="92">
        <v>201820001</v>
      </c>
      <c r="C2866" s="92" t="s">
        <v>18</v>
      </c>
      <c r="D2866" s="101">
        <v>46059</v>
      </c>
      <c r="E2866" s="79" t="s">
        <v>16</v>
      </c>
      <c r="F2866" s="79" t="s">
        <v>118</v>
      </c>
      <c r="G2866" s="79"/>
      <c r="H2866" s="79" t="s">
        <v>168</v>
      </c>
    </row>
    <row r="2867" spans="1:8">
      <c r="A2867" s="79" t="str">
        <f>LeaveData[[#This Row],[ EMP ID]]&amp;LeaveData[[#This Row],[Date]]</f>
        <v>20182000146060</v>
      </c>
      <c r="B2867" s="92">
        <v>201820001</v>
      </c>
      <c r="C2867" s="92" t="s">
        <v>18</v>
      </c>
      <c r="D2867" s="101">
        <v>46060</v>
      </c>
      <c r="E2867" s="79" t="s">
        <v>16</v>
      </c>
      <c r="F2867" s="79" t="s">
        <v>118</v>
      </c>
      <c r="G2867" s="79"/>
      <c r="H2867" s="79" t="s">
        <v>168</v>
      </c>
    </row>
    <row r="2868" spans="1:8">
      <c r="A2868" s="79" t="str">
        <f>LeaveData[[#This Row],[ EMP ID]]&amp;LeaveData[[#This Row],[Date]]</f>
        <v>20250101246058</v>
      </c>
      <c r="B2868" s="79">
        <v>202501012</v>
      </c>
      <c r="C2868" s="79" t="s">
        <v>1394</v>
      </c>
      <c r="D2868" s="101">
        <v>46058</v>
      </c>
      <c r="E2868" s="79" t="s">
        <v>14</v>
      </c>
      <c r="F2868" s="79" t="s">
        <v>246</v>
      </c>
      <c r="G2868" s="79"/>
      <c r="H2868" s="79" t="s">
        <v>168</v>
      </c>
    </row>
    <row r="2869" spans="1:8">
      <c r="A2869" s="79" t="str">
        <f>LeaveData[[#This Row],[ EMP ID]]&amp;LeaveData[[#This Row],[Date]]</f>
        <v>20211800746059</v>
      </c>
      <c r="B2869" s="79">
        <v>202118007</v>
      </c>
      <c r="C2869" s="79" t="s">
        <v>103</v>
      </c>
      <c r="D2869" s="101">
        <v>46059</v>
      </c>
      <c r="E2869" s="79" t="s">
        <v>12</v>
      </c>
      <c r="F2869" s="79" t="s">
        <v>114</v>
      </c>
      <c r="G2869" s="79"/>
      <c r="H2869" s="79" t="s">
        <v>416</v>
      </c>
    </row>
    <row r="2870" spans="1:8">
      <c r="A2870" s="79" t="str">
        <f>LeaveData[[#This Row],[ EMP ID]]&amp;LeaveData[[#This Row],[Date]]</f>
        <v>20241804246083</v>
      </c>
      <c r="B2870" s="92">
        <v>202418042</v>
      </c>
      <c r="C2870" s="92" t="s">
        <v>402</v>
      </c>
      <c r="D2870" s="101">
        <v>46083</v>
      </c>
      <c r="E2870" s="79" t="s">
        <v>13</v>
      </c>
      <c r="F2870" s="79" t="s">
        <v>235</v>
      </c>
      <c r="G2870" s="79"/>
      <c r="H2870" s="79" t="s">
        <v>168</v>
      </c>
    </row>
    <row r="2871" spans="1:8">
      <c r="A2871" s="79" t="str">
        <f>LeaveData[[#This Row],[ EMP ID]]&amp;LeaveData[[#This Row],[Date]]</f>
        <v>20241804246084</v>
      </c>
      <c r="B2871" s="92">
        <v>202418042</v>
      </c>
      <c r="C2871" s="92" t="s">
        <v>402</v>
      </c>
      <c r="D2871" s="101">
        <v>46084</v>
      </c>
      <c r="E2871" s="79" t="s">
        <v>13</v>
      </c>
      <c r="F2871" s="79" t="s">
        <v>235</v>
      </c>
      <c r="G2871" s="79"/>
      <c r="H2871" s="79" t="s">
        <v>168</v>
      </c>
    </row>
    <row r="2872" spans="1:8">
      <c r="A2872" s="79" t="str">
        <f>LeaveData[[#This Row],[ EMP ID]]&amp;LeaveData[[#This Row],[Date]]</f>
        <v>20241804246085</v>
      </c>
      <c r="B2872" s="92">
        <v>202418042</v>
      </c>
      <c r="C2872" s="92" t="s">
        <v>402</v>
      </c>
      <c r="D2872" s="101">
        <v>46085</v>
      </c>
      <c r="E2872" s="79" t="s">
        <v>13</v>
      </c>
      <c r="F2872" s="79" t="s">
        <v>235</v>
      </c>
      <c r="G2872" s="79"/>
      <c r="H2872" s="79" t="s">
        <v>168</v>
      </c>
    </row>
    <row r="2873" spans="1:8">
      <c r="A2873" s="79" t="str">
        <f>LeaveData[[#This Row],[ EMP ID]]&amp;LeaveData[[#This Row],[Date]]</f>
        <v>20241804246086</v>
      </c>
      <c r="B2873" s="92">
        <v>202418042</v>
      </c>
      <c r="C2873" s="92" t="s">
        <v>402</v>
      </c>
      <c r="D2873" s="101">
        <v>46086</v>
      </c>
      <c r="E2873" s="79" t="s">
        <v>13</v>
      </c>
      <c r="F2873" s="79" t="s">
        <v>235</v>
      </c>
      <c r="G2873" s="79"/>
      <c r="H2873" s="79" t="s">
        <v>168</v>
      </c>
    </row>
    <row r="2874" spans="1:8">
      <c r="A2874" s="79" t="str">
        <f>LeaveData[[#This Row],[ EMP ID]]&amp;LeaveData[[#This Row],[Date]]</f>
        <v>20241804246087</v>
      </c>
      <c r="B2874" s="92">
        <v>202418042</v>
      </c>
      <c r="C2874" s="92" t="s">
        <v>402</v>
      </c>
      <c r="D2874" s="101">
        <v>46087</v>
      </c>
      <c r="E2874" s="79" t="s">
        <v>13</v>
      </c>
      <c r="F2874" s="79" t="s">
        <v>235</v>
      </c>
      <c r="G2874" s="79"/>
      <c r="H2874" s="79" t="s">
        <v>168</v>
      </c>
    </row>
    <row r="2875" spans="1:8">
      <c r="A2875" s="79" t="str">
        <f>LeaveData[[#This Row],[ EMP ID]]&amp;LeaveData[[#This Row],[Date]]</f>
        <v>20241804246088</v>
      </c>
      <c r="B2875" s="92">
        <v>202418042</v>
      </c>
      <c r="C2875" s="92" t="s">
        <v>402</v>
      </c>
      <c r="D2875" s="101">
        <v>46088</v>
      </c>
      <c r="E2875" s="79" t="s">
        <v>13</v>
      </c>
      <c r="F2875" s="79" t="s">
        <v>235</v>
      </c>
      <c r="G2875" s="79"/>
      <c r="H2875" s="79" t="s">
        <v>168</v>
      </c>
    </row>
    <row r="2876" spans="1:8">
      <c r="A2876" s="79" t="str">
        <f>LeaveData[[#This Row],[ EMP ID]]&amp;LeaveData[[#This Row],[Date]]</f>
        <v>20250101946057</v>
      </c>
      <c r="B2876" s="92">
        <v>202501019</v>
      </c>
      <c r="C2876" s="92" t="s">
        <v>1461</v>
      </c>
      <c r="D2876" s="101">
        <v>46057</v>
      </c>
      <c r="E2876" s="79" t="s">
        <v>12</v>
      </c>
      <c r="F2876" s="79" t="s">
        <v>125</v>
      </c>
      <c r="G2876" s="79"/>
      <c r="H2876" s="79" t="s">
        <v>1500</v>
      </c>
    </row>
    <row r="2877" spans="1:8">
      <c r="A2877" s="79" t="str">
        <f>LeaveData[[#This Row],[ EMP ID]]&amp;LeaveData[[#This Row],[Date]]</f>
        <v>20250101946058</v>
      </c>
      <c r="B2877" s="92">
        <v>202501019</v>
      </c>
      <c r="C2877" s="92" t="s">
        <v>1461</v>
      </c>
      <c r="D2877" s="101">
        <v>46058</v>
      </c>
      <c r="E2877" s="79" t="s">
        <v>12</v>
      </c>
      <c r="F2877" s="79" t="s">
        <v>125</v>
      </c>
      <c r="G2877" s="79"/>
      <c r="H2877" s="79" t="s">
        <v>1500</v>
      </c>
    </row>
    <row r="2878" spans="1:8">
      <c r="A2878" s="79" t="str">
        <f>LeaveData[[#This Row],[ EMP ID]]&amp;LeaveData[[#This Row],[Date]]</f>
        <v>20250101946055</v>
      </c>
      <c r="B2878" s="92">
        <v>202501019</v>
      </c>
      <c r="C2878" s="92" t="s">
        <v>1461</v>
      </c>
      <c r="D2878" s="101">
        <v>46055</v>
      </c>
      <c r="E2878" s="79" t="s">
        <v>14</v>
      </c>
      <c r="F2878" s="79" t="s">
        <v>125</v>
      </c>
      <c r="G2878" s="79"/>
      <c r="H2878" s="79" t="s">
        <v>1500</v>
      </c>
    </row>
    <row r="2879" spans="1:8">
      <c r="A2879" s="79" t="str">
        <f>LeaveData[[#This Row],[ EMP ID]]&amp;LeaveData[[#This Row],[Date]]</f>
        <v>20231802746060</v>
      </c>
      <c r="B2879" s="92">
        <v>202318027</v>
      </c>
      <c r="C2879" s="92" t="s">
        <v>54</v>
      </c>
      <c r="D2879" s="101">
        <v>46060</v>
      </c>
      <c r="E2879" s="79" t="s">
        <v>13</v>
      </c>
      <c r="F2879" s="79" t="s">
        <v>1365</v>
      </c>
      <c r="G2879" s="79"/>
      <c r="H2879" s="79" t="s">
        <v>1609</v>
      </c>
    </row>
    <row r="2880" spans="1:8">
      <c r="A2880" s="79" t="str">
        <f>LeaveData[[#This Row],[ EMP ID]]&amp;LeaveData[[#This Row],[Date]]</f>
        <v>20211800746060</v>
      </c>
      <c r="B2880" s="92">
        <v>202118007</v>
      </c>
      <c r="C2880" s="122" t="s">
        <v>103</v>
      </c>
      <c r="D2880" s="101">
        <v>46060</v>
      </c>
      <c r="E2880" s="79" t="s">
        <v>16</v>
      </c>
      <c r="F2880" s="79" t="s">
        <v>114</v>
      </c>
      <c r="G2880" s="79"/>
      <c r="H2880" s="79" t="s">
        <v>416</v>
      </c>
    </row>
    <row r="2881" spans="1:8">
      <c r="A2881" s="79" t="str">
        <f>LeaveData[[#This Row],[ EMP ID]]&amp;LeaveData[[#This Row],[Date]]</f>
        <v>20211800746062</v>
      </c>
      <c r="B2881" s="92">
        <v>202118007</v>
      </c>
      <c r="C2881" s="122" t="s">
        <v>103</v>
      </c>
      <c r="D2881" s="101">
        <v>46062</v>
      </c>
      <c r="E2881" s="79" t="s">
        <v>195</v>
      </c>
      <c r="F2881" s="79" t="s">
        <v>114</v>
      </c>
      <c r="G2881" s="79"/>
      <c r="H2881" s="79" t="s">
        <v>416</v>
      </c>
    </row>
    <row r="2882" spans="1:8">
      <c r="A2882" s="79" t="str">
        <f>LeaveData[[#This Row],[ EMP ID]]&amp;LeaveData[[#This Row],[Date]]</f>
        <v>20221801146058</v>
      </c>
      <c r="B2882" s="92">
        <v>202218011</v>
      </c>
      <c r="C2882" s="92" t="s">
        <v>28</v>
      </c>
      <c r="D2882" s="101">
        <v>46058</v>
      </c>
      <c r="E2882" s="79" t="s">
        <v>16</v>
      </c>
      <c r="F2882" s="79" t="s">
        <v>235</v>
      </c>
      <c r="G2882" s="79"/>
      <c r="H2882" s="79" t="s">
        <v>168</v>
      </c>
    </row>
    <row r="2883" spans="1:8">
      <c r="A2883" s="79" t="str">
        <f>LeaveData[[#This Row],[ EMP ID]]&amp;LeaveData[[#This Row],[Date]]</f>
        <v>20221801146059</v>
      </c>
      <c r="B2883" s="92">
        <v>202218011</v>
      </c>
      <c r="C2883" s="92" t="s">
        <v>28</v>
      </c>
      <c r="D2883" s="101">
        <v>46059</v>
      </c>
      <c r="E2883" s="79" t="s">
        <v>16</v>
      </c>
      <c r="F2883" s="79" t="s">
        <v>235</v>
      </c>
      <c r="G2883" s="79"/>
      <c r="H2883" s="79" t="s">
        <v>168</v>
      </c>
    </row>
    <row r="2884" spans="1:8">
      <c r="A2884" s="79" t="str">
        <f>LeaveData[[#This Row],[ EMP ID]]&amp;LeaveData[[#This Row],[Date]]</f>
        <v>20221801146060</v>
      </c>
      <c r="B2884" s="92">
        <v>202218011</v>
      </c>
      <c r="C2884" s="92" t="s">
        <v>28</v>
      </c>
      <c r="D2884" s="101">
        <v>46060</v>
      </c>
      <c r="E2884" s="79" t="s">
        <v>14</v>
      </c>
      <c r="F2884" s="79" t="s">
        <v>235</v>
      </c>
      <c r="G2884" s="79"/>
      <c r="H2884" s="79" t="s">
        <v>168</v>
      </c>
    </row>
    <row r="2885" spans="1:8">
      <c r="A2885" s="79" t="str">
        <f>LeaveData[[#This Row],[ EMP ID]]&amp;LeaveData[[#This Row],[Date]]</f>
        <v>20221800946064</v>
      </c>
      <c r="B2885" s="92">
        <v>202218009</v>
      </c>
      <c r="C2885" s="92" t="s">
        <v>26</v>
      </c>
      <c r="D2885" s="101">
        <v>46064</v>
      </c>
      <c r="E2885" s="79" t="s">
        <v>13</v>
      </c>
      <c r="F2885" s="79" t="s">
        <v>128</v>
      </c>
      <c r="G2885" s="79"/>
      <c r="H2885" s="79" t="s">
        <v>1610</v>
      </c>
    </row>
    <row r="2886" spans="1:8">
      <c r="A2886" s="79" t="str">
        <f>LeaveData[[#This Row],[ EMP ID]]&amp;LeaveData[[#This Row],[Date]]</f>
        <v>20221800946065</v>
      </c>
      <c r="B2886" s="92">
        <v>202218009</v>
      </c>
      <c r="C2886" s="92" t="s">
        <v>26</v>
      </c>
      <c r="D2886" s="101">
        <v>46065</v>
      </c>
      <c r="E2886" s="79" t="s">
        <v>13</v>
      </c>
      <c r="F2886" s="79" t="s">
        <v>128</v>
      </c>
      <c r="G2886" s="79"/>
      <c r="H2886" s="79" t="s">
        <v>1610</v>
      </c>
    </row>
    <row r="2887" spans="1:8">
      <c r="A2887" s="79" t="str">
        <f>LeaveData[[#This Row],[ EMP ID]]&amp;LeaveData[[#This Row],[Date]]</f>
        <v>20242100446062</v>
      </c>
      <c r="B2887" s="92">
        <v>202421004</v>
      </c>
      <c r="C2887" s="92" t="s">
        <v>270</v>
      </c>
      <c r="D2887" s="101">
        <v>46062</v>
      </c>
      <c r="E2887" s="79" t="s">
        <v>12</v>
      </c>
      <c r="F2887" s="79" t="s">
        <v>29</v>
      </c>
      <c r="G2887" s="79"/>
      <c r="H2887" s="79" t="s">
        <v>1611</v>
      </c>
    </row>
    <row r="2888" spans="1:8">
      <c r="A2888" s="79" t="str">
        <f>LeaveData[[#This Row],[ EMP ID]]&amp;LeaveData[[#This Row],[Date]]</f>
        <v>20250101246060</v>
      </c>
      <c r="B2888" s="79">
        <v>202501012</v>
      </c>
      <c r="C2888" s="79" t="s">
        <v>1394</v>
      </c>
      <c r="D2888" s="101">
        <v>46060</v>
      </c>
      <c r="E2888" s="79" t="s">
        <v>12</v>
      </c>
      <c r="F2888" s="79" t="s">
        <v>246</v>
      </c>
      <c r="G2888" s="79"/>
      <c r="H2888" s="79" t="s">
        <v>416</v>
      </c>
    </row>
    <row r="2889" spans="1:8">
      <c r="A2889" s="79" t="str">
        <f>LeaveData[[#This Row],[ EMP ID]]&amp;LeaveData[[#This Row],[Date]]</f>
        <v>20231802346064</v>
      </c>
      <c r="B2889" s="92">
        <v>202318023</v>
      </c>
      <c r="C2889" s="122" t="s">
        <v>148</v>
      </c>
      <c r="D2889" s="101">
        <v>46064</v>
      </c>
      <c r="E2889" s="79" t="s">
        <v>14</v>
      </c>
      <c r="F2889" s="79" t="s">
        <v>128</v>
      </c>
      <c r="G2889" s="79"/>
      <c r="H2889" s="79" t="s">
        <v>1595</v>
      </c>
    </row>
    <row r="2890" spans="1:8">
      <c r="A2890" s="79" t="str">
        <f>LeaveData[[#This Row],[ EMP ID]]&amp;LeaveData[[#This Row],[Date]]</f>
        <v>20250101246064</v>
      </c>
      <c r="B2890" s="79">
        <v>202501012</v>
      </c>
      <c r="C2890" s="79" t="s">
        <v>1394</v>
      </c>
      <c r="D2890" s="101">
        <v>46064</v>
      </c>
      <c r="E2890" s="79" t="s">
        <v>12</v>
      </c>
      <c r="F2890" s="79" t="s">
        <v>246</v>
      </c>
      <c r="G2890" s="79"/>
      <c r="H2890" s="79" t="s">
        <v>416</v>
      </c>
    </row>
    <row r="2891" spans="1:8">
      <c r="A2891" s="79" t="str">
        <f>LeaveData[[#This Row],[ EMP ID]]&amp;LeaveData[[#This Row],[Date]]</f>
        <v>20232000746065</v>
      </c>
      <c r="B2891" s="92">
        <v>202320007</v>
      </c>
      <c r="C2891" s="92" t="s">
        <v>183</v>
      </c>
      <c r="D2891" s="101">
        <v>46065</v>
      </c>
      <c r="E2891" s="79" t="s">
        <v>14</v>
      </c>
      <c r="F2891" s="79" t="s">
        <v>114</v>
      </c>
      <c r="G2891" s="79"/>
      <c r="H2891" s="79" t="s">
        <v>1595</v>
      </c>
    </row>
    <row r="2892" spans="1:8">
      <c r="A2892" s="79" t="str">
        <f>LeaveData[[#This Row],[ EMP ID]]&amp;LeaveData[[#This Row],[Date]]</f>
        <v>20242100146065</v>
      </c>
      <c r="B2892" s="92">
        <v>202421001</v>
      </c>
      <c r="C2892" s="92" t="s">
        <v>221</v>
      </c>
      <c r="D2892" s="101">
        <v>46065</v>
      </c>
      <c r="E2892" s="79" t="s">
        <v>13</v>
      </c>
      <c r="F2892" s="79" t="s">
        <v>29</v>
      </c>
      <c r="G2892" s="79"/>
      <c r="H2892" s="79" t="s">
        <v>1612</v>
      </c>
    </row>
    <row r="2893" spans="1:8">
      <c r="A2893" s="79" t="str">
        <f>LeaveData[[#This Row],[ EMP ID]]&amp;LeaveData[[#This Row],[Date]]</f>
        <v>20242100146066</v>
      </c>
      <c r="B2893" s="92">
        <v>202421001</v>
      </c>
      <c r="C2893" s="92" t="s">
        <v>221</v>
      </c>
      <c r="D2893" s="101">
        <v>46066</v>
      </c>
      <c r="E2893" s="79" t="s">
        <v>13</v>
      </c>
      <c r="F2893" s="79" t="s">
        <v>29</v>
      </c>
      <c r="G2893" s="79"/>
      <c r="H2893" s="79" t="s">
        <v>168</v>
      </c>
    </row>
    <row r="2894" spans="1:8">
      <c r="A2894" s="79" t="str">
        <f>LeaveData[[#This Row],[ EMP ID]]&amp;LeaveData[[#This Row],[Date]]</f>
        <v>20231801946059</v>
      </c>
      <c r="B2894" s="79">
        <v>202318019</v>
      </c>
      <c r="C2894" s="79" t="s">
        <v>89</v>
      </c>
      <c r="D2894" s="101">
        <v>46059</v>
      </c>
      <c r="E2894" s="79" t="s">
        <v>16</v>
      </c>
      <c r="F2894" s="79" t="s">
        <v>45</v>
      </c>
      <c r="G2894" s="79"/>
      <c r="H2894" s="79" t="s">
        <v>168</v>
      </c>
    </row>
    <row r="2895" spans="1:8">
      <c r="A2895" s="79" t="str">
        <f>LeaveData[[#This Row],[ EMP ID]]&amp;LeaveData[[#This Row],[Date]]</f>
        <v>20231801946060</v>
      </c>
      <c r="B2895" s="79">
        <v>202318019</v>
      </c>
      <c r="C2895" s="79" t="s">
        <v>89</v>
      </c>
      <c r="D2895" s="101">
        <v>46060</v>
      </c>
      <c r="E2895" s="79" t="s">
        <v>16</v>
      </c>
      <c r="F2895" s="79" t="s">
        <v>45</v>
      </c>
      <c r="G2895" s="79"/>
      <c r="H2895" s="79" t="s">
        <v>168</v>
      </c>
    </row>
    <row r="2896" spans="1:8">
      <c r="A2896" s="79" t="str">
        <f>LeaveData[[#This Row],[ EMP ID]]&amp;LeaveData[[#This Row],[Date]]</f>
        <v>20231801946062</v>
      </c>
      <c r="B2896" s="79">
        <v>202318019</v>
      </c>
      <c r="C2896" s="79" t="s">
        <v>89</v>
      </c>
      <c r="D2896" s="101">
        <v>46062</v>
      </c>
      <c r="E2896" s="79" t="s">
        <v>16</v>
      </c>
      <c r="F2896" s="79" t="s">
        <v>45</v>
      </c>
      <c r="G2896" s="79"/>
      <c r="H2896" s="79" t="s">
        <v>168</v>
      </c>
    </row>
    <row r="2897" spans="1:8">
      <c r="A2897" s="79" t="str">
        <f>LeaveData[[#This Row],[ EMP ID]]&amp;LeaveData[[#This Row],[Date]]</f>
        <v>20231801946063</v>
      </c>
      <c r="B2897" s="79">
        <v>202318019</v>
      </c>
      <c r="C2897" s="79" t="s">
        <v>89</v>
      </c>
      <c r="D2897" s="101">
        <v>46063</v>
      </c>
      <c r="E2897" s="79" t="s">
        <v>16</v>
      </c>
      <c r="F2897" s="79" t="s">
        <v>45</v>
      </c>
      <c r="G2897" s="79"/>
      <c r="H2897" s="79" t="s">
        <v>168</v>
      </c>
    </row>
    <row r="2898" spans="1:8">
      <c r="A2898" s="79" t="str">
        <f>LeaveData[[#This Row],[ EMP ID]]&amp;LeaveData[[#This Row],[Date]]</f>
        <v>20231801946064</v>
      </c>
      <c r="B2898" s="79">
        <v>202318019</v>
      </c>
      <c r="C2898" s="79" t="s">
        <v>89</v>
      </c>
      <c r="D2898" s="101">
        <v>46064</v>
      </c>
      <c r="E2898" s="79" t="s">
        <v>16</v>
      </c>
      <c r="F2898" s="79" t="s">
        <v>45</v>
      </c>
      <c r="G2898" s="79"/>
      <c r="H2898" s="79" t="s">
        <v>168</v>
      </c>
    </row>
    <row r="2899" spans="1:8">
      <c r="A2899" s="79" t="str">
        <f>LeaveData[[#This Row],[ EMP ID]]&amp;LeaveData[[#This Row],[Date]]</f>
        <v>20250101346066</v>
      </c>
      <c r="B2899" s="92">
        <v>202501013</v>
      </c>
      <c r="C2899" s="92" t="s">
        <v>1395</v>
      </c>
      <c r="D2899" s="101">
        <v>46066</v>
      </c>
      <c r="E2899" s="79" t="s">
        <v>13</v>
      </c>
      <c r="F2899" s="79" t="s">
        <v>235</v>
      </c>
      <c r="G2899" s="79"/>
      <c r="H2899" s="79" t="s">
        <v>105</v>
      </c>
    </row>
    <row r="2900" spans="1:8">
      <c r="A2900" s="79" t="str">
        <f>LeaveData[[#This Row],[ EMP ID]]&amp;LeaveData[[#This Row],[Date]]</f>
        <v>20242101346066</v>
      </c>
      <c r="B2900" s="92">
        <v>202421013</v>
      </c>
      <c r="C2900" s="92" t="s">
        <v>378</v>
      </c>
      <c r="D2900" s="101">
        <v>46066</v>
      </c>
      <c r="E2900" s="79" t="s">
        <v>16</v>
      </c>
      <c r="F2900" s="79" t="s">
        <v>29</v>
      </c>
      <c r="G2900" s="79"/>
      <c r="H2900" s="79" t="s">
        <v>416</v>
      </c>
    </row>
    <row r="2901" spans="1:8">
      <c r="A2901" s="79" t="str">
        <f>LeaveData[[#This Row],[ EMP ID]]&amp;LeaveData[[#This Row],[Date]]</f>
        <v>20250101646069</v>
      </c>
      <c r="B2901" s="92">
        <v>202501016</v>
      </c>
      <c r="C2901" s="92" t="s">
        <v>1430</v>
      </c>
      <c r="D2901" s="101">
        <v>46069</v>
      </c>
      <c r="E2901" s="79" t="s">
        <v>12</v>
      </c>
      <c r="F2901" s="79" t="s">
        <v>235</v>
      </c>
      <c r="G2901" s="79"/>
      <c r="H2901" s="79" t="s">
        <v>416</v>
      </c>
    </row>
    <row r="2902" spans="1:8">
      <c r="A2902" s="79" t="str">
        <f>LeaveData[[#This Row],[ EMP ID]]&amp;LeaveData[[#This Row],[Date]]</f>
        <v>20250100846067</v>
      </c>
      <c r="B2902" s="92">
        <v>202501008</v>
      </c>
      <c r="C2902" s="92" t="s">
        <v>1368</v>
      </c>
      <c r="D2902" s="101">
        <v>46067</v>
      </c>
      <c r="E2902" s="79" t="s">
        <v>154</v>
      </c>
      <c r="F2902" s="79" t="s">
        <v>235</v>
      </c>
      <c r="G2902" s="79"/>
      <c r="H2902" s="79" t="s">
        <v>1594</v>
      </c>
    </row>
    <row r="2903" spans="1:8">
      <c r="A2903" s="79" t="str">
        <f>LeaveData[[#This Row],[ EMP ID]]&amp;LeaveData[[#This Row],[Date]]</f>
        <v>20250102046067</v>
      </c>
      <c r="B2903" s="92">
        <v>202501020</v>
      </c>
      <c r="C2903" s="92" t="s">
        <v>1468</v>
      </c>
      <c r="D2903" s="101">
        <v>46067</v>
      </c>
      <c r="E2903" s="79" t="s">
        <v>154</v>
      </c>
      <c r="F2903" s="79" t="s">
        <v>246</v>
      </c>
      <c r="G2903" s="79"/>
      <c r="H2903" s="79" t="s">
        <v>1594</v>
      </c>
    </row>
    <row r="2904" spans="1:8">
      <c r="A2904" s="79" t="str">
        <f>LeaveData[[#This Row],[ EMP ID]]&amp;LeaveData[[#This Row],[Date]]</f>
        <v>20231802746070</v>
      </c>
      <c r="B2904" s="92">
        <v>202318027</v>
      </c>
      <c r="C2904" s="92" t="s">
        <v>54</v>
      </c>
      <c r="D2904" s="101">
        <v>46070</v>
      </c>
      <c r="E2904" s="79" t="s">
        <v>12</v>
      </c>
      <c r="F2904" s="79" t="s">
        <v>1365</v>
      </c>
      <c r="G2904" s="79"/>
      <c r="H2904" s="79" t="s">
        <v>416</v>
      </c>
    </row>
    <row r="2905" spans="1:8">
      <c r="A2905" s="79" t="str">
        <f>LeaveData[[#This Row],[ EMP ID]]&amp;LeaveData[[#This Row],[Date]]</f>
        <v>20250101346072</v>
      </c>
      <c r="B2905" s="92">
        <v>202501013</v>
      </c>
      <c r="C2905" s="92" t="s">
        <v>1395</v>
      </c>
      <c r="D2905" s="101">
        <v>46072</v>
      </c>
      <c r="E2905" s="79" t="s">
        <v>12</v>
      </c>
      <c r="F2905" s="79" t="s">
        <v>235</v>
      </c>
      <c r="G2905" s="79"/>
      <c r="H2905" s="79" t="s">
        <v>416</v>
      </c>
    </row>
    <row r="2906" spans="1:8">
      <c r="A2906" s="79" t="str">
        <f>LeaveData[[#This Row],[ EMP ID]]&amp;LeaveData[[#This Row],[Date]]</f>
        <v>20231801946073</v>
      </c>
      <c r="B2906" s="79">
        <v>202318019</v>
      </c>
      <c r="C2906" s="79" t="s">
        <v>89</v>
      </c>
      <c r="D2906" s="101">
        <v>46073</v>
      </c>
      <c r="E2906" s="79" t="s">
        <v>16</v>
      </c>
      <c r="F2906" s="79" t="s">
        <v>45</v>
      </c>
      <c r="G2906" s="79"/>
      <c r="H2906" s="79" t="s">
        <v>416</v>
      </c>
    </row>
    <row r="2907" spans="1:8">
      <c r="A2907" s="79" t="str">
        <f>LeaveData[[#This Row],[ EMP ID]]&amp;LeaveData[[#This Row],[Date]]</f>
        <v>20232000746074</v>
      </c>
      <c r="B2907" s="92">
        <v>202320007</v>
      </c>
      <c r="C2907" s="92" t="s">
        <v>183</v>
      </c>
      <c r="D2907" s="101">
        <v>46074</v>
      </c>
      <c r="E2907" s="79" t="s">
        <v>13</v>
      </c>
      <c r="F2907" s="79" t="s">
        <v>114</v>
      </c>
      <c r="G2907" s="79"/>
      <c r="H2907" s="79" t="s">
        <v>1613</v>
      </c>
    </row>
    <row r="2908" spans="1:8">
      <c r="A2908" s="79" t="str">
        <f>LeaveData[[#This Row],[ EMP ID]]&amp;LeaveData[[#This Row],[Date]]</f>
        <v>20241803846074</v>
      </c>
      <c r="B2908" s="92">
        <v>202418038</v>
      </c>
      <c r="C2908" s="92" t="s">
        <v>246</v>
      </c>
      <c r="D2908" s="101">
        <v>46074</v>
      </c>
      <c r="E2908" s="79" t="s">
        <v>15</v>
      </c>
      <c r="F2908" s="79" t="s">
        <v>125</v>
      </c>
      <c r="G2908" s="79"/>
      <c r="H2908" s="79" t="s">
        <v>416</v>
      </c>
    </row>
    <row r="2909" spans="1:8">
      <c r="A2909" s="79" t="str">
        <f>LeaveData[[#This Row],[ EMP ID]]&amp;LeaveData[[#This Row],[Date]]</f>
        <v>20250102046076</v>
      </c>
      <c r="B2909" s="92">
        <v>202501020</v>
      </c>
      <c r="C2909" s="92" t="s">
        <v>1468</v>
      </c>
      <c r="D2909" s="101">
        <v>46076</v>
      </c>
      <c r="E2909" s="79" t="s">
        <v>15</v>
      </c>
      <c r="F2909" s="79" t="s">
        <v>246</v>
      </c>
      <c r="G2909" s="79"/>
      <c r="H2909" s="79" t="s">
        <v>112</v>
      </c>
    </row>
    <row r="2910" spans="1:8">
      <c r="A2910" s="79" t="str">
        <f>LeaveData[[#This Row],[ EMP ID]]&amp;LeaveData[[#This Row],[Date]]</f>
        <v>20242100246077</v>
      </c>
      <c r="B2910" s="124">
        <v>202421002</v>
      </c>
      <c r="C2910" s="122" t="s">
        <v>223</v>
      </c>
      <c r="D2910" s="101">
        <v>46077</v>
      </c>
      <c r="E2910" s="79" t="s">
        <v>12</v>
      </c>
      <c r="F2910" s="79" t="s">
        <v>29</v>
      </c>
      <c r="G2910" s="79"/>
      <c r="H2910" s="79" t="s">
        <v>416</v>
      </c>
    </row>
    <row r="2911" spans="1:8">
      <c r="A2911" s="79" t="str">
        <f>LeaveData[[#This Row],[ EMP ID]]&amp;LeaveData[[#This Row],[Date]]</f>
        <v>20241804246077</v>
      </c>
      <c r="B2911" s="92">
        <v>202418042</v>
      </c>
      <c r="C2911" s="92" t="s">
        <v>402</v>
      </c>
      <c r="D2911" s="101">
        <v>46077</v>
      </c>
      <c r="E2911" s="79" t="s">
        <v>12</v>
      </c>
      <c r="F2911" s="79" t="s">
        <v>235</v>
      </c>
      <c r="G2911" s="79"/>
      <c r="H2911" s="79" t="s">
        <v>416</v>
      </c>
    </row>
    <row r="2912" spans="1:8">
      <c r="A2912" s="79" t="str">
        <f>LeaveData[[#This Row],[ EMP ID]]&amp;LeaveData[[#This Row],[Date]]</f>
        <v>20250101946069</v>
      </c>
      <c r="B2912" s="92">
        <v>202501019</v>
      </c>
      <c r="C2912" s="122" t="s">
        <v>1461</v>
      </c>
      <c r="D2912" s="101">
        <v>46069</v>
      </c>
      <c r="E2912" s="79" t="s">
        <v>12</v>
      </c>
      <c r="F2912" s="79" t="s">
        <v>128</v>
      </c>
      <c r="G2912" s="79"/>
      <c r="H2912" s="79" t="s">
        <v>1614</v>
      </c>
    </row>
    <row r="2913" spans="1:8">
      <c r="A2913" s="79" t="str">
        <f>LeaveData[[#This Row],[ EMP ID]]&amp;LeaveData[[#This Row],[Date]]</f>
        <v>20250101946070</v>
      </c>
      <c r="B2913" s="92">
        <v>202501019</v>
      </c>
      <c r="C2913" s="122" t="s">
        <v>1461</v>
      </c>
      <c r="D2913" s="101">
        <v>46070</v>
      </c>
      <c r="E2913" s="79" t="s">
        <v>12</v>
      </c>
      <c r="F2913" s="79" t="s">
        <v>128</v>
      </c>
      <c r="G2913" s="79"/>
      <c r="H2913" s="79" t="s">
        <v>1614</v>
      </c>
    </row>
    <row r="2914" spans="1:8">
      <c r="A2914" s="79" t="str">
        <f>LeaveData[[#This Row],[ EMP ID]]&amp;LeaveData[[#This Row],[Date]]</f>
        <v>20250101946071</v>
      </c>
      <c r="B2914" s="92">
        <v>202501019</v>
      </c>
      <c r="C2914" s="122" t="s">
        <v>1461</v>
      </c>
      <c r="D2914" s="101">
        <v>46071</v>
      </c>
      <c r="E2914" s="79" t="s">
        <v>12</v>
      </c>
      <c r="F2914" s="79" t="s">
        <v>128</v>
      </c>
      <c r="G2914" s="79"/>
      <c r="H2914" s="79" t="s">
        <v>1614</v>
      </c>
    </row>
    <row r="2915" spans="1:8">
      <c r="A2915" s="79" t="str">
        <f>LeaveData[[#This Row],[ EMP ID]]&amp;LeaveData[[#This Row],[Date]]</f>
        <v>20250101946072</v>
      </c>
      <c r="B2915" s="92">
        <v>202501019</v>
      </c>
      <c r="C2915" s="122" t="s">
        <v>1461</v>
      </c>
      <c r="D2915" s="101">
        <v>46072</v>
      </c>
      <c r="E2915" s="79" t="s">
        <v>12</v>
      </c>
      <c r="F2915" s="79" t="s">
        <v>128</v>
      </c>
      <c r="G2915" s="79"/>
      <c r="H2915" s="79" t="s">
        <v>1614</v>
      </c>
    </row>
    <row r="2916" spans="1:8">
      <c r="A2916" s="79" t="str">
        <f>LeaveData[[#This Row],[ EMP ID]]&amp;LeaveData[[#This Row],[Date]]</f>
        <v>20250101946073</v>
      </c>
      <c r="B2916" s="92">
        <v>202501019</v>
      </c>
      <c r="C2916" s="122" t="s">
        <v>1461</v>
      </c>
      <c r="D2916" s="101">
        <v>46073</v>
      </c>
      <c r="E2916" s="79" t="s">
        <v>12</v>
      </c>
      <c r="F2916" s="79" t="s">
        <v>128</v>
      </c>
      <c r="G2916" s="79"/>
      <c r="H2916" s="79" t="s">
        <v>1614</v>
      </c>
    </row>
    <row r="2917" spans="1:8">
      <c r="A2917" s="79" t="str">
        <f>LeaveData[[#This Row],[ EMP ID]]&amp;LeaveData[[#This Row],[Date]]</f>
        <v>20250101946074</v>
      </c>
      <c r="B2917" s="92">
        <v>202501019</v>
      </c>
      <c r="C2917" s="122" t="s">
        <v>1461</v>
      </c>
      <c r="D2917" s="101">
        <v>46074</v>
      </c>
      <c r="E2917" s="79" t="s">
        <v>12</v>
      </c>
      <c r="F2917" s="79" t="s">
        <v>128</v>
      </c>
      <c r="G2917" s="79"/>
      <c r="H2917" s="79" t="s">
        <v>1614</v>
      </c>
    </row>
    <row r="2918" spans="1:8">
      <c r="A2918" s="79" t="str">
        <f>LeaveData[[#This Row],[ EMP ID]]&amp;LeaveData[[#This Row],[Date]]</f>
        <v>20250101946076</v>
      </c>
      <c r="B2918" s="92">
        <v>202501019</v>
      </c>
      <c r="C2918" s="122" t="s">
        <v>1461</v>
      </c>
      <c r="D2918" s="101">
        <v>46076</v>
      </c>
      <c r="E2918" s="79" t="s">
        <v>12</v>
      </c>
      <c r="F2918" s="79" t="s">
        <v>128</v>
      </c>
      <c r="G2918" s="79"/>
      <c r="H2918" s="79" t="s">
        <v>1614</v>
      </c>
    </row>
    <row r="2919" spans="1:8">
      <c r="A2919" s="79" t="str">
        <f>LeaveData[[#This Row],[ EMP ID]]&amp;LeaveData[[#This Row],[Date]]</f>
        <v>20250101946077</v>
      </c>
      <c r="B2919" s="92">
        <v>202501019</v>
      </c>
      <c r="C2919" s="122" t="s">
        <v>1461</v>
      </c>
      <c r="D2919" s="101">
        <v>46077</v>
      </c>
      <c r="E2919" s="79" t="s">
        <v>12</v>
      </c>
      <c r="F2919" s="79" t="s">
        <v>128</v>
      </c>
      <c r="G2919" s="79"/>
      <c r="H2919" s="79" t="s">
        <v>1614</v>
      </c>
    </row>
    <row r="2920" spans="1:8">
      <c r="A2920" s="79" t="str">
        <f>LeaveData[[#This Row],[ EMP ID]]&amp;LeaveData[[#This Row],[Date]]</f>
        <v>20250101946078</v>
      </c>
      <c r="B2920" s="92">
        <v>202501019</v>
      </c>
      <c r="C2920" s="122" t="s">
        <v>1461</v>
      </c>
      <c r="D2920" s="101">
        <v>46078</v>
      </c>
      <c r="E2920" s="79" t="s">
        <v>12</v>
      </c>
      <c r="F2920" s="79" t="s">
        <v>128</v>
      </c>
      <c r="G2920" s="79"/>
      <c r="H2920" s="79" t="s">
        <v>1614</v>
      </c>
    </row>
    <row r="2921" spans="1:8">
      <c r="A2921" s="79" t="str">
        <f>LeaveData[[#This Row],[ EMP ID]]&amp;LeaveData[[#This Row],[Date]]</f>
        <v>20250101946079</v>
      </c>
      <c r="B2921" s="92">
        <v>202501019</v>
      </c>
      <c r="C2921" s="122" t="s">
        <v>1461</v>
      </c>
      <c r="D2921" s="101">
        <v>46079</v>
      </c>
      <c r="E2921" s="79" t="s">
        <v>12</v>
      </c>
      <c r="F2921" s="79" t="s">
        <v>128</v>
      </c>
      <c r="G2921" s="79"/>
      <c r="H2921" s="79" t="s">
        <v>1614</v>
      </c>
    </row>
    <row r="2922" spans="1:8">
      <c r="A2922" s="79" t="str">
        <f>LeaveData[[#This Row],[ EMP ID]]&amp;LeaveData[[#This Row],[Date]]</f>
        <v>20250101946080</v>
      </c>
      <c r="B2922" s="92">
        <v>202501019</v>
      </c>
      <c r="C2922" s="122" t="s">
        <v>1461</v>
      </c>
      <c r="D2922" s="101">
        <v>46080</v>
      </c>
      <c r="E2922" s="79" t="s">
        <v>12</v>
      </c>
      <c r="F2922" s="79" t="s">
        <v>128</v>
      </c>
      <c r="G2922" s="79"/>
      <c r="H2922" s="79" t="s">
        <v>1614</v>
      </c>
    </row>
    <row r="2923" spans="1:8">
      <c r="A2923" s="79" t="str">
        <f>LeaveData[[#This Row],[ EMP ID]]&amp;LeaveData[[#This Row],[Date]]</f>
        <v>20250101946081</v>
      </c>
      <c r="B2923" s="92">
        <v>202501019</v>
      </c>
      <c r="C2923" s="122" t="s">
        <v>1461</v>
      </c>
      <c r="D2923" s="101">
        <v>46081</v>
      </c>
      <c r="E2923" s="79" t="s">
        <v>12</v>
      </c>
      <c r="F2923" s="79" t="s">
        <v>128</v>
      </c>
      <c r="G2923" s="79"/>
      <c r="H2923" s="79" t="s">
        <v>1614</v>
      </c>
    </row>
    <row r="2924" spans="1:8">
      <c r="A2924" s="79" t="str">
        <f>LeaveData[[#This Row],[ EMP ID]]&amp;LeaveData[[#This Row],[Date]]</f>
        <v>20232000946077</v>
      </c>
      <c r="B2924" s="92">
        <v>202320009</v>
      </c>
      <c r="C2924" s="92" t="s">
        <v>143</v>
      </c>
      <c r="D2924" s="101">
        <v>46077</v>
      </c>
      <c r="E2924" s="79" t="s">
        <v>12</v>
      </c>
      <c r="F2924" s="79" t="s">
        <v>1365</v>
      </c>
      <c r="G2924" s="79"/>
      <c r="H2924" s="79" t="s">
        <v>1615</v>
      </c>
    </row>
    <row r="2925" spans="1:8">
      <c r="A2925" s="79" t="str">
        <f>LeaveData[[#This Row],[ EMP ID]]&amp;LeaveData[[#This Row],[Date]]</f>
        <v>20242101346078</v>
      </c>
      <c r="B2925" s="92">
        <v>202421013</v>
      </c>
      <c r="C2925" s="92" t="s">
        <v>378</v>
      </c>
      <c r="D2925" s="101">
        <v>46078</v>
      </c>
      <c r="E2925" s="79" t="s">
        <v>14</v>
      </c>
      <c r="F2925" s="79" t="s">
        <v>29</v>
      </c>
      <c r="G2925" s="79"/>
      <c r="H2925" s="79" t="s">
        <v>1616</v>
      </c>
    </row>
    <row r="2926" spans="1:8">
      <c r="A2926" s="79" t="str">
        <f>LeaveData[[#This Row],[ EMP ID]]&amp;LeaveData[[#This Row],[Date]]</f>
        <v>20231802346078</v>
      </c>
      <c r="B2926" s="92">
        <v>202318023</v>
      </c>
      <c r="C2926" s="122" t="s">
        <v>148</v>
      </c>
      <c r="D2926" s="101">
        <v>46078</v>
      </c>
      <c r="E2926" s="79" t="s">
        <v>12</v>
      </c>
      <c r="F2926" s="79" t="s">
        <v>128</v>
      </c>
      <c r="G2926" s="79"/>
      <c r="H2926" s="79" t="s">
        <v>416</v>
      </c>
    </row>
    <row r="2927" spans="1:8">
      <c r="A2927" s="79" t="str">
        <f>LeaveData[[#This Row],[ EMP ID]]&amp;LeaveData[[#This Row],[Date]]</f>
        <v>20242101346079</v>
      </c>
      <c r="B2927" s="92">
        <v>202421013</v>
      </c>
      <c r="C2927" s="92" t="s">
        <v>378</v>
      </c>
      <c r="D2927" s="101">
        <v>46079</v>
      </c>
      <c r="E2927" s="79" t="s">
        <v>12</v>
      </c>
      <c r="F2927" s="79" t="s">
        <v>29</v>
      </c>
      <c r="G2927" s="79"/>
      <c r="H2927" s="79" t="s">
        <v>416</v>
      </c>
    </row>
    <row r="2928" spans="1:8">
      <c r="A2928" s="79" t="str">
        <f>LeaveData[[#This Row],[ EMP ID]]&amp;LeaveData[[#This Row],[Date]]</f>
        <v>20231801946080</v>
      </c>
      <c r="B2928" s="79">
        <v>202318019</v>
      </c>
      <c r="C2928" s="79" t="s">
        <v>89</v>
      </c>
      <c r="D2928" s="101">
        <v>46080</v>
      </c>
      <c r="E2928" s="79" t="s">
        <v>14</v>
      </c>
      <c r="F2928" s="79" t="s">
        <v>45</v>
      </c>
      <c r="G2928" s="79"/>
      <c r="H2928" s="79" t="s">
        <v>168</v>
      </c>
    </row>
    <row r="2929" spans="1:8">
      <c r="A2929" s="79" t="str">
        <f>LeaveData[[#This Row],[ EMP ID]]&amp;LeaveData[[#This Row],[Date]]</f>
        <v>20231801946074</v>
      </c>
      <c r="B2929" s="79">
        <v>202318019</v>
      </c>
      <c r="C2929" s="79" t="s">
        <v>89</v>
      </c>
      <c r="D2929" s="101">
        <v>46074</v>
      </c>
      <c r="E2929" s="79" t="s">
        <v>12</v>
      </c>
      <c r="F2929" s="79" t="s">
        <v>45</v>
      </c>
      <c r="G2929" s="79"/>
      <c r="H2929" s="79" t="s">
        <v>416</v>
      </c>
    </row>
    <row r="2930" spans="1:8">
      <c r="A2930" s="79" t="str">
        <f>LeaveData[[#This Row],[ EMP ID]]&amp;LeaveData[[#This Row],[Date]]</f>
        <v>20242100146057</v>
      </c>
      <c r="B2930" s="92">
        <v>202421001</v>
      </c>
      <c r="C2930" s="92" t="s">
        <v>221</v>
      </c>
      <c r="D2930" s="101">
        <v>46057</v>
      </c>
      <c r="E2930" s="79" t="s">
        <v>16</v>
      </c>
      <c r="F2930" s="79" t="s">
        <v>29</v>
      </c>
      <c r="G2930" s="79"/>
      <c r="H2930" s="79" t="s">
        <v>1616</v>
      </c>
    </row>
    <row r="2931" spans="1:8">
      <c r="A2931" s="79" t="str">
        <f>LeaveData[[#This Row],[ EMP ID]]&amp;LeaveData[[#This Row],[Date]]</f>
        <v>20242100146058</v>
      </c>
      <c r="B2931" s="92">
        <v>202421001</v>
      </c>
      <c r="C2931" s="92" t="s">
        <v>221</v>
      </c>
      <c r="D2931" s="101">
        <v>46058</v>
      </c>
      <c r="E2931" s="79" t="s">
        <v>16</v>
      </c>
      <c r="F2931" s="79" t="s">
        <v>29</v>
      </c>
      <c r="G2931" s="79"/>
      <c r="H2931" s="79" t="s">
        <v>1616</v>
      </c>
    </row>
    <row r="2932" spans="1:8">
      <c r="A2932" s="79" t="str">
        <f>LeaveData[[#This Row],[ EMP ID]]&amp;LeaveData[[#This Row],[Date]]</f>
        <v>20242100146059</v>
      </c>
      <c r="B2932" s="92">
        <v>202421001</v>
      </c>
      <c r="C2932" s="92" t="s">
        <v>221</v>
      </c>
      <c r="D2932" s="101">
        <v>46059</v>
      </c>
      <c r="E2932" s="79" t="s">
        <v>16</v>
      </c>
      <c r="F2932" s="79" t="s">
        <v>29</v>
      </c>
      <c r="G2932" s="79"/>
      <c r="H2932" s="79" t="s">
        <v>1616</v>
      </c>
    </row>
    <row r="2933" spans="1:8">
      <c r="A2933" s="79" t="str">
        <f>LeaveData[[#This Row],[ EMP ID]]&amp;LeaveData[[#This Row],[Date]]</f>
        <v>20242100146060</v>
      </c>
      <c r="B2933" s="92">
        <v>202421001</v>
      </c>
      <c r="C2933" s="92" t="s">
        <v>221</v>
      </c>
      <c r="D2933" s="101">
        <v>46060</v>
      </c>
      <c r="E2933" s="79" t="s">
        <v>16</v>
      </c>
      <c r="F2933" s="79" t="s">
        <v>29</v>
      </c>
      <c r="G2933" s="79"/>
      <c r="H2933" s="79" t="s">
        <v>1616</v>
      </c>
    </row>
    <row r="2934" spans="1:8">
      <c r="A2934" s="79" t="str">
        <f>LeaveData[[#This Row],[ EMP ID]]&amp;LeaveData[[#This Row],[Date]]</f>
        <v>20242100146062</v>
      </c>
      <c r="B2934" s="92">
        <v>202421001</v>
      </c>
      <c r="C2934" s="92" t="s">
        <v>221</v>
      </c>
      <c r="D2934" s="101">
        <v>46062</v>
      </c>
      <c r="E2934" s="79" t="s">
        <v>16</v>
      </c>
      <c r="F2934" s="79" t="s">
        <v>29</v>
      </c>
      <c r="G2934" s="79"/>
      <c r="H2934" s="79" t="s">
        <v>1616</v>
      </c>
    </row>
    <row r="2935" spans="1:8">
      <c r="A2935" s="79" t="str">
        <f>LeaveData[[#This Row],[ EMP ID]]&amp;LeaveData[[#This Row],[Date]]</f>
        <v>20242100146063</v>
      </c>
      <c r="B2935" s="92">
        <v>202421001</v>
      </c>
      <c r="C2935" s="92" t="s">
        <v>221</v>
      </c>
      <c r="D2935" s="101">
        <v>46063</v>
      </c>
      <c r="E2935" s="79" t="s">
        <v>16</v>
      </c>
      <c r="F2935" s="79" t="s">
        <v>29</v>
      </c>
      <c r="G2935" s="79"/>
      <c r="H2935" s="79" t="s">
        <v>1616</v>
      </c>
    </row>
    <row r="2936" spans="1:8">
      <c r="A2936" s="79" t="str">
        <f>LeaveData[[#This Row],[ EMP ID]]&amp;LeaveData[[#This Row],[Date]]</f>
        <v>20242100146064</v>
      </c>
      <c r="B2936" s="92">
        <v>202421001</v>
      </c>
      <c r="C2936" s="92" t="s">
        <v>221</v>
      </c>
      <c r="D2936" s="101">
        <v>46064</v>
      </c>
      <c r="E2936" s="79" t="s">
        <v>16</v>
      </c>
      <c r="F2936" s="79" t="s">
        <v>29</v>
      </c>
      <c r="G2936" s="79"/>
      <c r="H2936" s="79" t="s">
        <v>1616</v>
      </c>
    </row>
    <row r="2937" spans="1:8">
      <c r="A2937" s="79" t="str">
        <f>LeaveData[[#This Row],[ EMP ID]]&amp;LeaveData[[#This Row],[Date]]</f>
        <v>20242100146069</v>
      </c>
      <c r="B2937" s="92">
        <v>202421001</v>
      </c>
      <c r="C2937" s="92" t="s">
        <v>221</v>
      </c>
      <c r="D2937" s="101">
        <v>46069</v>
      </c>
      <c r="E2937" s="79" t="s">
        <v>16</v>
      </c>
      <c r="F2937" s="79" t="s">
        <v>29</v>
      </c>
      <c r="G2937" s="79"/>
      <c r="H2937" s="79" t="s">
        <v>1616</v>
      </c>
    </row>
    <row r="2938" spans="1:8">
      <c r="A2938" s="79" t="str">
        <f>LeaveData[[#This Row],[ EMP ID]]&amp;LeaveData[[#This Row],[Date]]</f>
        <v>20242100146070</v>
      </c>
      <c r="B2938" s="92">
        <v>202421001</v>
      </c>
      <c r="C2938" s="92" t="s">
        <v>221</v>
      </c>
      <c r="D2938" s="101">
        <v>46070</v>
      </c>
      <c r="E2938" s="79" t="s">
        <v>16</v>
      </c>
      <c r="F2938" s="79" t="s">
        <v>29</v>
      </c>
      <c r="G2938" s="79"/>
      <c r="H2938" s="79" t="s">
        <v>1616</v>
      </c>
    </row>
    <row r="2939" spans="1:8">
      <c r="A2939" s="79" t="str">
        <f>LeaveData[[#This Row],[ EMP ID]]&amp;LeaveData[[#This Row],[Date]]</f>
        <v>20242100146071</v>
      </c>
      <c r="B2939" s="92">
        <v>202421001</v>
      </c>
      <c r="C2939" s="92" t="s">
        <v>221</v>
      </c>
      <c r="D2939" s="101">
        <v>46071</v>
      </c>
      <c r="E2939" s="79" t="s">
        <v>16</v>
      </c>
      <c r="F2939" s="79" t="s">
        <v>29</v>
      </c>
      <c r="G2939" s="79"/>
      <c r="H2939" s="79" t="s">
        <v>1616</v>
      </c>
    </row>
    <row r="2940" spans="1:8">
      <c r="A2940" s="79" t="str">
        <f>LeaveData[[#This Row],[ EMP ID]]&amp;LeaveData[[#This Row],[Date]]</f>
        <v>20242100146072</v>
      </c>
      <c r="B2940" s="92">
        <v>202421001</v>
      </c>
      <c r="C2940" s="92" t="s">
        <v>221</v>
      </c>
      <c r="D2940" s="101">
        <v>46072</v>
      </c>
      <c r="E2940" s="79" t="s">
        <v>16</v>
      </c>
      <c r="F2940" s="79" t="s">
        <v>29</v>
      </c>
      <c r="G2940" s="79"/>
      <c r="H2940" s="79" t="s">
        <v>1616</v>
      </c>
    </row>
    <row r="2941" spans="1:8">
      <c r="A2941" s="79" t="str">
        <f>LeaveData[[#This Row],[ EMP ID]]&amp;LeaveData[[#This Row],[Date]]</f>
        <v>20242100146073</v>
      </c>
      <c r="B2941" s="92">
        <v>202421001</v>
      </c>
      <c r="C2941" s="92" t="s">
        <v>221</v>
      </c>
      <c r="D2941" s="101">
        <v>46073</v>
      </c>
      <c r="E2941" s="79" t="s">
        <v>16</v>
      </c>
      <c r="F2941" s="79" t="s">
        <v>29</v>
      </c>
      <c r="G2941" s="79"/>
      <c r="H2941" s="79" t="s">
        <v>1616</v>
      </c>
    </row>
    <row r="2942" spans="1:8">
      <c r="A2942" s="79" t="str">
        <f>LeaveData[[#This Row],[ EMP ID]]&amp;LeaveData[[#This Row],[Date]]</f>
        <v>20242100146074</v>
      </c>
      <c r="B2942" s="92">
        <v>202421001</v>
      </c>
      <c r="C2942" s="92" t="s">
        <v>221</v>
      </c>
      <c r="D2942" s="101">
        <v>46074</v>
      </c>
      <c r="E2942" s="79" t="s">
        <v>16</v>
      </c>
      <c r="F2942" s="79" t="s">
        <v>29</v>
      </c>
      <c r="G2942" s="79"/>
      <c r="H2942" s="79" t="s">
        <v>1616</v>
      </c>
    </row>
    <row r="2943" spans="1:8">
      <c r="A2943" s="79" t="str">
        <f>LeaveData[[#This Row],[ EMP ID]]&amp;LeaveData[[#This Row],[Date]]</f>
        <v>20242100246057</v>
      </c>
      <c r="B2943" s="124">
        <v>202421002</v>
      </c>
      <c r="C2943" s="122" t="s">
        <v>223</v>
      </c>
      <c r="D2943" s="101">
        <v>46057</v>
      </c>
      <c r="E2943" s="79" t="s">
        <v>16</v>
      </c>
      <c r="F2943" s="79" t="s">
        <v>29</v>
      </c>
      <c r="G2943" s="79"/>
      <c r="H2943" s="79" t="s">
        <v>1616</v>
      </c>
    </row>
    <row r="2944" spans="1:8">
      <c r="A2944" s="79" t="str">
        <f>LeaveData[[#This Row],[ EMP ID]]&amp;LeaveData[[#This Row],[Date]]</f>
        <v>20242100246058</v>
      </c>
      <c r="B2944" s="124">
        <v>202421002</v>
      </c>
      <c r="C2944" s="122" t="s">
        <v>223</v>
      </c>
      <c r="D2944" s="101">
        <v>46058</v>
      </c>
      <c r="E2944" s="79" t="s">
        <v>16</v>
      </c>
      <c r="F2944" s="79" t="s">
        <v>29</v>
      </c>
      <c r="G2944" s="79"/>
      <c r="H2944" s="79" t="s">
        <v>1616</v>
      </c>
    </row>
    <row r="2945" spans="1:8">
      <c r="A2945" s="79" t="str">
        <f>LeaveData[[#This Row],[ EMP ID]]&amp;LeaveData[[#This Row],[Date]]</f>
        <v>20242100246059</v>
      </c>
      <c r="B2945" s="124">
        <v>202421002</v>
      </c>
      <c r="C2945" s="122" t="s">
        <v>223</v>
      </c>
      <c r="D2945" s="101">
        <v>46059</v>
      </c>
      <c r="E2945" s="79" t="s">
        <v>16</v>
      </c>
      <c r="F2945" s="79" t="s">
        <v>29</v>
      </c>
      <c r="G2945" s="79"/>
      <c r="H2945" s="79" t="s">
        <v>1616</v>
      </c>
    </row>
    <row r="2946" spans="1:8">
      <c r="A2946" s="79" t="str">
        <f>LeaveData[[#This Row],[ EMP ID]]&amp;LeaveData[[#This Row],[Date]]</f>
        <v>20242100246060</v>
      </c>
      <c r="B2946" s="124">
        <v>202421002</v>
      </c>
      <c r="C2946" s="122" t="s">
        <v>223</v>
      </c>
      <c r="D2946" s="101">
        <v>46060</v>
      </c>
      <c r="E2946" s="79" t="s">
        <v>16</v>
      </c>
      <c r="F2946" s="79" t="s">
        <v>29</v>
      </c>
      <c r="G2946" s="79"/>
      <c r="H2946" s="79" t="s">
        <v>1616</v>
      </c>
    </row>
    <row r="2947" spans="1:8">
      <c r="A2947" s="79" t="str">
        <f>LeaveData[[#This Row],[ EMP ID]]&amp;LeaveData[[#This Row],[Date]]</f>
        <v>20242100246062</v>
      </c>
      <c r="B2947" s="124">
        <v>202421002</v>
      </c>
      <c r="C2947" s="122" t="s">
        <v>223</v>
      </c>
      <c r="D2947" s="101">
        <v>46062</v>
      </c>
      <c r="E2947" s="79" t="s">
        <v>13</v>
      </c>
      <c r="F2947" s="79" t="s">
        <v>29</v>
      </c>
      <c r="G2947" s="79"/>
      <c r="H2947" s="79" t="s">
        <v>1617</v>
      </c>
    </row>
    <row r="2948" spans="1:8">
      <c r="A2948" s="79" t="str">
        <f>LeaveData[[#This Row],[ EMP ID]]&amp;LeaveData[[#This Row],[Date]]</f>
        <v>20242100246063</v>
      </c>
      <c r="B2948" s="124">
        <v>202421002</v>
      </c>
      <c r="C2948" s="122" t="s">
        <v>223</v>
      </c>
      <c r="D2948" s="101">
        <v>46063</v>
      </c>
      <c r="E2948" s="79" t="s">
        <v>13</v>
      </c>
      <c r="F2948" s="79" t="s">
        <v>29</v>
      </c>
      <c r="G2948" s="79"/>
      <c r="H2948" s="79" t="s">
        <v>1617</v>
      </c>
    </row>
    <row r="2949" spans="1:8">
      <c r="A2949" s="79" t="str">
        <f>LeaveData[[#This Row],[ EMP ID]]&amp;LeaveData[[#This Row],[Date]]</f>
        <v>20242100246064</v>
      </c>
      <c r="B2949" s="124">
        <v>202421002</v>
      </c>
      <c r="C2949" s="122" t="s">
        <v>223</v>
      </c>
      <c r="D2949" s="101">
        <v>46064</v>
      </c>
      <c r="E2949" s="79" t="s">
        <v>13</v>
      </c>
      <c r="F2949" s="79" t="s">
        <v>29</v>
      </c>
      <c r="G2949" s="79"/>
      <c r="H2949" s="79" t="s">
        <v>1617</v>
      </c>
    </row>
    <row r="2950" spans="1:8">
      <c r="A2950" s="79" t="str">
        <f>LeaveData[[#This Row],[ EMP ID]]&amp;LeaveData[[#This Row],[Date]]</f>
        <v>20242100246065</v>
      </c>
      <c r="B2950" s="124">
        <v>202421002</v>
      </c>
      <c r="C2950" s="122" t="s">
        <v>223</v>
      </c>
      <c r="D2950" s="101">
        <v>46065</v>
      </c>
      <c r="E2950" s="79" t="s">
        <v>13</v>
      </c>
      <c r="F2950" s="79" t="s">
        <v>29</v>
      </c>
      <c r="G2950" s="79"/>
      <c r="H2950" s="79" t="s">
        <v>1617</v>
      </c>
    </row>
    <row r="2951" spans="1:8">
      <c r="A2951" s="79" t="str">
        <f>LeaveData[[#This Row],[ EMP ID]]&amp;LeaveData[[#This Row],[Date]]</f>
        <v>20242100246066</v>
      </c>
      <c r="B2951" s="124">
        <v>202421002</v>
      </c>
      <c r="C2951" s="122" t="s">
        <v>223</v>
      </c>
      <c r="D2951" s="101">
        <v>46066</v>
      </c>
      <c r="E2951" s="79" t="s">
        <v>13</v>
      </c>
      <c r="F2951" s="79" t="s">
        <v>29</v>
      </c>
      <c r="G2951" s="79"/>
      <c r="H2951" s="79" t="s">
        <v>1617</v>
      </c>
    </row>
    <row r="2952" spans="1:8">
      <c r="A2952" s="79" t="str">
        <f>LeaveData[[#This Row],[ EMP ID]]&amp;LeaveData[[#This Row],[Date]]</f>
        <v>20242100246069</v>
      </c>
      <c r="B2952" s="124">
        <v>202421002</v>
      </c>
      <c r="C2952" s="122" t="s">
        <v>223</v>
      </c>
      <c r="D2952" s="101">
        <v>46069</v>
      </c>
      <c r="E2952" s="79" t="s">
        <v>16</v>
      </c>
      <c r="F2952" s="79" t="s">
        <v>29</v>
      </c>
      <c r="G2952" s="79"/>
      <c r="H2952" s="79" t="s">
        <v>1616</v>
      </c>
    </row>
    <row r="2953" spans="1:8">
      <c r="A2953" s="79" t="str">
        <f>LeaveData[[#This Row],[ EMP ID]]&amp;LeaveData[[#This Row],[Date]]</f>
        <v>20242100246070</v>
      </c>
      <c r="B2953" s="124">
        <v>202421002</v>
      </c>
      <c r="C2953" s="122" t="s">
        <v>223</v>
      </c>
      <c r="D2953" s="101">
        <v>46070</v>
      </c>
      <c r="E2953" s="79" t="s">
        <v>16</v>
      </c>
      <c r="F2953" s="79" t="s">
        <v>29</v>
      </c>
      <c r="G2953" s="79"/>
      <c r="H2953" s="79" t="s">
        <v>1616</v>
      </c>
    </row>
    <row r="2954" spans="1:8">
      <c r="A2954" s="79" t="str">
        <f>LeaveData[[#This Row],[ EMP ID]]&amp;LeaveData[[#This Row],[Date]]</f>
        <v>20242100246071</v>
      </c>
      <c r="B2954" s="124">
        <v>202421002</v>
      </c>
      <c r="C2954" s="122" t="s">
        <v>223</v>
      </c>
      <c r="D2954" s="101">
        <v>46071</v>
      </c>
      <c r="E2954" s="79" t="s">
        <v>16</v>
      </c>
      <c r="F2954" s="79" t="s">
        <v>29</v>
      </c>
      <c r="G2954" s="79"/>
      <c r="H2954" s="79" t="s">
        <v>1616</v>
      </c>
    </row>
    <row r="2955" spans="1:8">
      <c r="A2955" s="79" t="str">
        <f>LeaveData[[#This Row],[ EMP ID]]&amp;LeaveData[[#This Row],[Date]]</f>
        <v>20242100246072</v>
      </c>
      <c r="B2955" s="124">
        <v>202421002</v>
      </c>
      <c r="C2955" s="122" t="s">
        <v>223</v>
      </c>
      <c r="D2955" s="101">
        <v>46072</v>
      </c>
      <c r="E2955" s="79" t="s">
        <v>16</v>
      </c>
      <c r="F2955" s="79" t="s">
        <v>29</v>
      </c>
      <c r="G2955" s="79"/>
      <c r="H2955" s="79" t="s">
        <v>1616</v>
      </c>
    </row>
    <row r="2956" spans="1:8">
      <c r="A2956" s="79" t="str">
        <f>LeaveData[[#This Row],[ EMP ID]]&amp;LeaveData[[#This Row],[Date]]</f>
        <v>20242100246073</v>
      </c>
      <c r="B2956" s="124">
        <v>202421002</v>
      </c>
      <c r="C2956" s="122" t="s">
        <v>223</v>
      </c>
      <c r="D2956" s="101">
        <v>46073</v>
      </c>
      <c r="E2956" s="79" t="s">
        <v>16</v>
      </c>
      <c r="F2956" s="79" t="s">
        <v>29</v>
      </c>
      <c r="G2956" s="79"/>
      <c r="H2956" s="79" t="s">
        <v>1616</v>
      </c>
    </row>
    <row r="2957" spans="1:8">
      <c r="A2957" s="79" t="str">
        <f>LeaveData[[#This Row],[ EMP ID]]&amp;LeaveData[[#This Row],[Date]]</f>
        <v>20242100246074</v>
      </c>
      <c r="B2957" s="124">
        <v>202421002</v>
      </c>
      <c r="C2957" s="122" t="s">
        <v>223</v>
      </c>
      <c r="D2957" s="101">
        <v>46074</v>
      </c>
      <c r="E2957" s="79" t="s">
        <v>16</v>
      </c>
      <c r="F2957" s="79" t="s">
        <v>29</v>
      </c>
      <c r="G2957" s="79"/>
      <c r="H2957" s="79" t="s">
        <v>1616</v>
      </c>
    </row>
    <row r="2958" spans="1:8">
      <c r="A2958" s="79" t="str">
        <f>LeaveData[[#This Row],[ EMP ID]]&amp;LeaveData[[#This Row],[Date]]</f>
        <v>20242101346080</v>
      </c>
      <c r="B2958" s="92">
        <v>202421013</v>
      </c>
      <c r="C2958" s="92" t="s">
        <v>378</v>
      </c>
      <c r="D2958" s="101">
        <v>46080</v>
      </c>
      <c r="E2958" s="79" t="s">
        <v>16</v>
      </c>
      <c r="F2958" s="79" t="s">
        <v>29</v>
      </c>
      <c r="G2958" s="79"/>
      <c r="H2958" s="79" t="s">
        <v>1616</v>
      </c>
    </row>
    <row r="2959" spans="1:8">
      <c r="A2959" s="79" t="str">
        <f>LeaveData[[#This Row],[ EMP ID]]&amp;LeaveData[[#This Row],[Date]]</f>
        <v>20242101346081</v>
      </c>
      <c r="B2959" s="92">
        <v>202421013</v>
      </c>
      <c r="C2959" s="92" t="s">
        <v>378</v>
      </c>
      <c r="D2959" s="101">
        <v>46081</v>
      </c>
      <c r="E2959" s="79" t="s">
        <v>16</v>
      </c>
      <c r="F2959" s="79" t="s">
        <v>29</v>
      </c>
      <c r="G2959" s="79"/>
      <c r="H2959" s="79" t="s">
        <v>1616</v>
      </c>
    </row>
    <row r="2960" spans="1:8">
      <c r="A2960" s="79" t="str">
        <f>LeaveData[[#This Row],[ EMP ID]]&amp;LeaveData[[#This Row],[Date]]</f>
        <v>20242101346083</v>
      </c>
      <c r="B2960" s="92">
        <v>202421013</v>
      </c>
      <c r="C2960" s="92" t="s">
        <v>378</v>
      </c>
      <c r="D2960" s="101">
        <v>46083</v>
      </c>
      <c r="E2960" s="79" t="s">
        <v>16</v>
      </c>
      <c r="F2960" s="79" t="s">
        <v>29</v>
      </c>
      <c r="G2960" s="79"/>
      <c r="H2960" s="79" t="s">
        <v>1616</v>
      </c>
    </row>
    <row r="2961" spans="1:8">
      <c r="A2961" s="79" t="str">
        <f>LeaveData[[#This Row],[ EMP ID]]&amp;LeaveData[[#This Row],[Date]]</f>
        <v>20242101346084</v>
      </c>
      <c r="B2961" s="92">
        <v>202421013</v>
      </c>
      <c r="C2961" s="92" t="s">
        <v>378</v>
      </c>
      <c r="D2961" s="101">
        <v>46084</v>
      </c>
      <c r="E2961" s="79" t="s">
        <v>16</v>
      </c>
      <c r="F2961" s="79" t="s">
        <v>29</v>
      </c>
      <c r="G2961" s="79"/>
      <c r="H2961" s="79" t="s">
        <v>1616</v>
      </c>
    </row>
    <row r="2962" spans="1:8">
      <c r="A2962" s="79" t="str">
        <f>LeaveData[[#This Row],[ EMP ID]]&amp;LeaveData[[#This Row],[Date]]</f>
        <v>20242101346086</v>
      </c>
      <c r="B2962" s="92">
        <v>202421013</v>
      </c>
      <c r="C2962" s="92" t="s">
        <v>378</v>
      </c>
      <c r="D2962" s="101">
        <v>46086</v>
      </c>
      <c r="E2962" s="79" t="s">
        <v>16</v>
      </c>
      <c r="F2962" s="79" t="s">
        <v>29</v>
      </c>
      <c r="G2962" s="79"/>
      <c r="H2962" s="79" t="s">
        <v>1616</v>
      </c>
    </row>
    <row r="2963" spans="1:8">
      <c r="A2963" s="79" t="str">
        <f>LeaveData[[#This Row],[ EMP ID]]&amp;LeaveData[[#This Row],[Date]]</f>
        <v>20242101346087</v>
      </c>
      <c r="B2963" s="92">
        <v>202421013</v>
      </c>
      <c r="C2963" s="92" t="s">
        <v>378</v>
      </c>
      <c r="D2963" s="101">
        <v>46087</v>
      </c>
      <c r="E2963" s="79" t="s">
        <v>16</v>
      </c>
      <c r="F2963" s="79" t="s">
        <v>29</v>
      </c>
      <c r="G2963" s="79"/>
      <c r="H2963" s="79" t="s">
        <v>1616</v>
      </c>
    </row>
    <row r="2964" spans="1:8">
      <c r="A2964" s="79" t="str">
        <f>LeaveData[[#This Row],[ EMP ID]]&amp;LeaveData[[#This Row],[Date]]</f>
        <v>20242101346088</v>
      </c>
      <c r="B2964" s="92">
        <v>202421013</v>
      </c>
      <c r="C2964" s="92" t="s">
        <v>378</v>
      </c>
      <c r="D2964" s="101">
        <v>46088</v>
      </c>
      <c r="E2964" s="79" t="s">
        <v>16</v>
      </c>
      <c r="F2964" s="79" t="s">
        <v>29</v>
      </c>
      <c r="G2964" s="79"/>
      <c r="H2964" s="79" t="s">
        <v>1616</v>
      </c>
    </row>
    <row r="2965" spans="1:8">
      <c r="A2965" s="79" t="str">
        <f>LeaveData[[#This Row],[ EMP ID]]&amp;LeaveData[[#This Row],[Date]]</f>
        <v>20242101346090</v>
      </c>
      <c r="B2965" s="92">
        <v>202421013</v>
      </c>
      <c r="C2965" s="92" t="s">
        <v>378</v>
      </c>
      <c r="D2965" s="101">
        <v>46090</v>
      </c>
      <c r="E2965" s="79" t="s">
        <v>16</v>
      </c>
      <c r="F2965" s="79" t="s">
        <v>29</v>
      </c>
      <c r="G2965" s="79"/>
      <c r="H2965" s="79" t="s">
        <v>1616</v>
      </c>
    </row>
    <row r="2966" spans="1:8">
      <c r="A2966" s="79" t="str">
        <f>LeaveData[[#This Row],[ EMP ID]]&amp;LeaveData[[#This Row],[Date]]</f>
        <v>20242101346091</v>
      </c>
      <c r="B2966" s="92">
        <v>202421013</v>
      </c>
      <c r="C2966" s="92" t="s">
        <v>378</v>
      </c>
      <c r="D2966" s="101">
        <v>46091</v>
      </c>
      <c r="E2966" s="79" t="s">
        <v>16</v>
      </c>
      <c r="F2966" s="79" t="s">
        <v>29</v>
      </c>
      <c r="G2966" s="79"/>
      <c r="H2966" s="79" t="s">
        <v>1616</v>
      </c>
    </row>
    <row r="2967" spans="1:8">
      <c r="A2967" s="79" t="str">
        <f>LeaveData[[#This Row],[ EMP ID]]&amp;LeaveData[[#This Row],[Date]]</f>
        <v>20242101346092</v>
      </c>
      <c r="B2967" s="92">
        <v>202421013</v>
      </c>
      <c r="C2967" s="92" t="s">
        <v>378</v>
      </c>
      <c r="D2967" s="101">
        <v>46092</v>
      </c>
      <c r="E2967" s="79" t="s">
        <v>16</v>
      </c>
      <c r="F2967" s="79" t="s">
        <v>29</v>
      </c>
      <c r="G2967" s="79"/>
      <c r="H2967" s="79" t="s">
        <v>1616</v>
      </c>
    </row>
    <row r="2968" spans="1:8">
      <c r="A2968" s="79" t="str">
        <f>LeaveData[[#This Row],[ EMP ID]]&amp;LeaveData[[#This Row],[Date]]</f>
        <v>20242101346093</v>
      </c>
      <c r="B2968" s="92">
        <v>202421013</v>
      </c>
      <c r="C2968" s="92" t="s">
        <v>378</v>
      </c>
      <c r="D2968" s="101">
        <v>46093</v>
      </c>
      <c r="E2968" s="79" t="s">
        <v>16</v>
      </c>
      <c r="F2968" s="79" t="s">
        <v>29</v>
      </c>
      <c r="G2968" s="79"/>
      <c r="H2968" s="79" t="s">
        <v>1616</v>
      </c>
    </row>
    <row r="2969" spans="1:8">
      <c r="A2969" s="79" t="str">
        <f>LeaveData[[#This Row],[ EMP ID]]&amp;LeaveData[[#This Row],[Date]]</f>
        <v>20242101346094</v>
      </c>
      <c r="B2969" s="92">
        <v>202421013</v>
      </c>
      <c r="C2969" s="92" t="s">
        <v>378</v>
      </c>
      <c r="D2969" s="101">
        <v>46094</v>
      </c>
      <c r="E2969" s="79" t="s">
        <v>16</v>
      </c>
      <c r="F2969" s="79" t="s">
        <v>29</v>
      </c>
      <c r="G2969" s="79"/>
      <c r="H2969" s="79" t="s">
        <v>1616</v>
      </c>
    </row>
    <row r="2970" spans="1:8">
      <c r="A2970" s="79" t="str">
        <f>LeaveData[[#This Row],[ EMP ID]]&amp;LeaveData[[#This Row],[Date]]</f>
        <v>20242101346097</v>
      </c>
      <c r="B2970" s="92">
        <v>202421013</v>
      </c>
      <c r="C2970" s="92" t="s">
        <v>378</v>
      </c>
      <c r="D2970" s="101">
        <v>46097</v>
      </c>
      <c r="E2970" s="79" t="s">
        <v>16</v>
      </c>
      <c r="F2970" s="79" t="s">
        <v>29</v>
      </c>
      <c r="G2970" s="79"/>
      <c r="H2970" s="79" t="s">
        <v>1616</v>
      </c>
    </row>
    <row r="2971" spans="1:8">
      <c r="A2971" s="79" t="str">
        <f>LeaveData[[#This Row],[ EMP ID]]&amp;LeaveData[[#This Row],[Date]]</f>
        <v>20242101346098</v>
      </c>
      <c r="B2971" s="92">
        <v>202421013</v>
      </c>
      <c r="C2971" s="92" t="s">
        <v>378</v>
      </c>
      <c r="D2971" s="101">
        <v>46098</v>
      </c>
      <c r="E2971" s="79" t="s">
        <v>16</v>
      </c>
      <c r="F2971" s="79" t="s">
        <v>29</v>
      </c>
      <c r="G2971" s="79"/>
      <c r="H2971" s="79" t="s">
        <v>1616</v>
      </c>
    </row>
    <row r="2972" spans="1:8">
      <c r="A2972" s="79" t="str">
        <f>LeaveData[[#This Row],[ EMP ID]]&amp;LeaveData[[#This Row],[Date]]</f>
        <v>20242101346099</v>
      </c>
      <c r="B2972" s="92">
        <v>202421013</v>
      </c>
      <c r="C2972" s="92" t="s">
        <v>378</v>
      </c>
      <c r="D2972" s="101">
        <v>46099</v>
      </c>
      <c r="E2972" s="79" t="s">
        <v>16</v>
      </c>
      <c r="F2972" s="79" t="s">
        <v>29</v>
      </c>
      <c r="G2972" s="79"/>
      <c r="H2972" s="79" t="s">
        <v>1616</v>
      </c>
    </row>
    <row r="2973" spans="1:8">
      <c r="A2973" s="79" t="str">
        <f>LeaveData[[#This Row],[ EMP ID]]&amp;LeaveData[[#This Row],[Date]]</f>
        <v>20242101346100</v>
      </c>
      <c r="B2973" s="92">
        <v>202421013</v>
      </c>
      <c r="C2973" s="92" t="s">
        <v>378</v>
      </c>
      <c r="D2973" s="101">
        <v>46100</v>
      </c>
      <c r="E2973" s="79" t="s">
        <v>16</v>
      </c>
      <c r="F2973" s="79" t="s">
        <v>29</v>
      </c>
      <c r="G2973" s="79"/>
      <c r="H2973" s="79" t="s">
        <v>1616</v>
      </c>
    </row>
    <row r="2974" spans="1:8">
      <c r="A2974" s="79" t="str">
        <f>LeaveData[[#This Row],[ EMP ID]]&amp;LeaveData[[#This Row],[Date]]</f>
        <v>20242101346101</v>
      </c>
      <c r="B2974" s="92">
        <v>202421013</v>
      </c>
      <c r="C2974" s="92" t="s">
        <v>378</v>
      </c>
      <c r="D2974" s="101">
        <v>46101</v>
      </c>
      <c r="E2974" s="79" t="s">
        <v>16</v>
      </c>
      <c r="F2974" s="79" t="s">
        <v>29</v>
      </c>
      <c r="G2974" s="79"/>
      <c r="H2974" s="79" t="s">
        <v>1616</v>
      </c>
    </row>
    <row r="2975" spans="1:8">
      <c r="A2975" s="79" t="str">
        <f>LeaveData[[#This Row],[ EMP ID]]&amp;LeaveData[[#This Row],[Date]]</f>
        <v>20242101346102</v>
      </c>
      <c r="B2975" s="92">
        <v>202421013</v>
      </c>
      <c r="C2975" s="92" t="s">
        <v>378</v>
      </c>
      <c r="D2975" s="101">
        <v>46102</v>
      </c>
      <c r="E2975" s="79" t="s">
        <v>16</v>
      </c>
      <c r="F2975" s="79" t="s">
        <v>29</v>
      </c>
      <c r="G2975" s="79"/>
      <c r="H2975" s="79" t="s">
        <v>1616</v>
      </c>
    </row>
    <row r="2976" spans="1:8">
      <c r="A2976" s="79" t="str">
        <f>LeaveData[[#This Row],[ EMP ID]]&amp;LeaveData[[#This Row],[Date]]</f>
        <v>20242101346104</v>
      </c>
      <c r="B2976" s="92">
        <v>202421013</v>
      </c>
      <c r="C2976" s="92" t="s">
        <v>378</v>
      </c>
      <c r="D2976" s="101">
        <v>46104</v>
      </c>
      <c r="E2976" s="79" t="s">
        <v>16</v>
      </c>
      <c r="F2976" s="79" t="s">
        <v>29</v>
      </c>
      <c r="G2976" s="79"/>
      <c r="H2976" s="79" t="s">
        <v>1616</v>
      </c>
    </row>
    <row r="2977" spans="1:8">
      <c r="A2977" s="79" t="str">
        <f>LeaveData[[#This Row],[ EMP ID]]&amp;LeaveData[[#This Row],[Date]]</f>
        <v>20242101346105</v>
      </c>
      <c r="B2977" s="92">
        <v>202421013</v>
      </c>
      <c r="C2977" s="92" t="s">
        <v>378</v>
      </c>
      <c r="D2977" s="101">
        <v>46105</v>
      </c>
      <c r="E2977" s="79" t="s">
        <v>16</v>
      </c>
      <c r="F2977" s="79" t="s">
        <v>29</v>
      </c>
      <c r="G2977" s="79"/>
      <c r="H2977" s="79" t="s">
        <v>1616</v>
      </c>
    </row>
    <row r="2978" spans="1:8">
      <c r="A2978" s="79" t="str">
        <f>LeaveData[[#This Row],[ EMP ID]]&amp;LeaveData[[#This Row],[Date]]</f>
        <v>20242101346106</v>
      </c>
      <c r="B2978" s="92">
        <v>202421013</v>
      </c>
      <c r="C2978" s="92" t="s">
        <v>378</v>
      </c>
      <c r="D2978" s="101">
        <v>46106</v>
      </c>
      <c r="E2978" s="79" t="s">
        <v>16</v>
      </c>
      <c r="F2978" s="79" t="s">
        <v>29</v>
      </c>
      <c r="G2978" s="79"/>
      <c r="H2978" s="79" t="s">
        <v>1616</v>
      </c>
    </row>
    <row r="2979" spans="1:8">
      <c r="A2979" s="79" t="str">
        <f>LeaveData[[#This Row],[ EMP ID]]&amp;LeaveData[[#This Row],[Date]]</f>
        <v>20242101346107</v>
      </c>
      <c r="B2979" s="92">
        <v>202421013</v>
      </c>
      <c r="C2979" s="92" t="s">
        <v>378</v>
      </c>
      <c r="D2979" s="101">
        <v>46107</v>
      </c>
      <c r="E2979" s="79" t="s">
        <v>16</v>
      </c>
      <c r="F2979" s="79" t="s">
        <v>29</v>
      </c>
      <c r="G2979" s="79"/>
      <c r="H2979" s="79" t="s">
        <v>1616</v>
      </c>
    </row>
    <row r="2980" spans="1:8">
      <c r="A2980" s="79" t="str">
        <f>LeaveData[[#This Row],[ EMP ID]]&amp;LeaveData[[#This Row],[Date]]</f>
        <v>20242101346108</v>
      </c>
      <c r="B2980" s="92">
        <v>202421013</v>
      </c>
      <c r="C2980" s="92" t="s">
        <v>378</v>
      </c>
      <c r="D2980" s="101">
        <v>46108</v>
      </c>
      <c r="E2980" s="79" t="s">
        <v>16</v>
      </c>
      <c r="F2980" s="79" t="s">
        <v>29</v>
      </c>
      <c r="G2980" s="79"/>
      <c r="H2980" s="79" t="s">
        <v>1616</v>
      </c>
    </row>
    <row r="2981" spans="1:8">
      <c r="A2981" s="79" t="str">
        <f>LeaveData[[#This Row],[ EMP ID]]&amp;LeaveData[[#This Row],[Date]]</f>
        <v>20222000246058</v>
      </c>
      <c r="B2981" s="126">
        <v>202220002</v>
      </c>
      <c r="C2981" s="126" t="s">
        <v>31</v>
      </c>
      <c r="D2981" s="101">
        <v>46058</v>
      </c>
      <c r="E2981" s="79" t="s">
        <v>13</v>
      </c>
      <c r="F2981" s="79" t="s">
        <v>104</v>
      </c>
      <c r="G2981" s="79"/>
      <c r="H2981" s="79" t="s">
        <v>1618</v>
      </c>
    </row>
    <row r="2982" spans="1:8">
      <c r="A2982" s="79" t="str">
        <f>LeaveData[[#This Row],[ EMP ID]]&amp;LeaveData[[#This Row],[Date]]</f>
        <v>20222000246059</v>
      </c>
      <c r="B2982" s="126">
        <v>202220002</v>
      </c>
      <c r="C2982" s="126" t="s">
        <v>31</v>
      </c>
      <c r="D2982" s="101">
        <v>46059</v>
      </c>
      <c r="E2982" s="79" t="s">
        <v>13</v>
      </c>
      <c r="F2982" s="79" t="s">
        <v>104</v>
      </c>
      <c r="G2982" s="79"/>
      <c r="H2982" s="79" t="s">
        <v>1618</v>
      </c>
    </row>
    <row r="2983" spans="1:8">
      <c r="A2983" s="79" t="str">
        <f>LeaveData[[#This Row],[ EMP ID]]&amp;LeaveData[[#This Row],[Date]]</f>
        <v>20222000246060</v>
      </c>
      <c r="B2983" s="126">
        <v>202220002</v>
      </c>
      <c r="C2983" s="126" t="s">
        <v>31</v>
      </c>
      <c r="D2983" s="101">
        <v>46060</v>
      </c>
      <c r="E2983" s="79" t="s">
        <v>13</v>
      </c>
      <c r="F2983" s="79" t="s">
        <v>104</v>
      </c>
      <c r="G2983" s="79"/>
      <c r="H2983" s="79" t="s">
        <v>1618</v>
      </c>
    </row>
    <row r="2984" spans="1:8">
      <c r="A2984" s="79" t="str">
        <f>LeaveData[[#This Row],[ EMP ID]]&amp;LeaveData[[#This Row],[Date]]</f>
        <v>20222000246062</v>
      </c>
      <c r="B2984" s="126">
        <v>202220002</v>
      </c>
      <c r="C2984" s="126" t="s">
        <v>31</v>
      </c>
      <c r="D2984" s="101">
        <v>46062</v>
      </c>
      <c r="E2984" s="79" t="s">
        <v>13</v>
      </c>
      <c r="F2984" s="79" t="s">
        <v>104</v>
      </c>
      <c r="G2984" s="79"/>
      <c r="H2984" s="79" t="s">
        <v>1618</v>
      </c>
    </row>
    <row r="2985" spans="1:8">
      <c r="A2985" s="79" t="str">
        <f>LeaveData[[#This Row],[ EMP ID]]&amp;LeaveData[[#This Row],[Date]]</f>
        <v>20222000246063</v>
      </c>
      <c r="B2985" s="126">
        <v>202220002</v>
      </c>
      <c r="C2985" s="126" t="s">
        <v>31</v>
      </c>
      <c r="D2985" s="101">
        <v>46063</v>
      </c>
      <c r="E2985" s="79" t="s">
        <v>13</v>
      </c>
      <c r="F2985" s="79" t="s">
        <v>104</v>
      </c>
      <c r="G2985" s="79"/>
      <c r="H2985" s="79" t="s">
        <v>1618</v>
      </c>
    </row>
    <row r="2986" spans="1:8">
      <c r="A2986" s="79" t="str">
        <f>LeaveData[[#This Row],[ EMP ID]]&amp;LeaveData[[#This Row],[Date]]</f>
        <v>20222000246064</v>
      </c>
      <c r="B2986" s="126">
        <v>202220002</v>
      </c>
      <c r="C2986" s="126" t="s">
        <v>31</v>
      </c>
      <c r="D2986" s="101">
        <v>46064</v>
      </c>
      <c r="E2986" s="79" t="s">
        <v>13</v>
      </c>
      <c r="F2986" s="79" t="s">
        <v>104</v>
      </c>
      <c r="G2986" s="79"/>
      <c r="H2986" s="79" t="s">
        <v>1618</v>
      </c>
    </row>
    <row r="2987" spans="1:8">
      <c r="A2987" s="79" t="str">
        <f>LeaveData[[#This Row],[ EMP ID]]&amp;LeaveData[[#This Row],[Date]]</f>
        <v>20222000246065</v>
      </c>
      <c r="B2987" s="126">
        <v>202220002</v>
      </c>
      <c r="C2987" s="126" t="s">
        <v>31</v>
      </c>
      <c r="D2987" s="101">
        <v>46065</v>
      </c>
      <c r="E2987" s="79" t="s">
        <v>13</v>
      </c>
      <c r="F2987" s="79" t="s">
        <v>104</v>
      </c>
      <c r="G2987" s="79"/>
      <c r="H2987" s="79" t="s">
        <v>1618</v>
      </c>
    </row>
    <row r="2988" spans="1:8">
      <c r="A2988" s="79" t="str">
        <f>LeaveData[[#This Row],[ EMP ID]]&amp;LeaveData[[#This Row],[Date]]</f>
        <v>20222000246066</v>
      </c>
      <c r="B2988" s="126">
        <v>202220002</v>
      </c>
      <c r="C2988" s="126" t="s">
        <v>31</v>
      </c>
      <c r="D2988" s="101">
        <v>46066</v>
      </c>
      <c r="E2988" s="79" t="s">
        <v>13</v>
      </c>
      <c r="F2988" s="79" t="s">
        <v>104</v>
      </c>
      <c r="G2988" s="79"/>
      <c r="H2988" s="79" t="s">
        <v>1618</v>
      </c>
    </row>
    <row r="2989" spans="1:8">
      <c r="A2989" s="79" t="str">
        <f>LeaveData[[#This Row],[ EMP ID]]&amp;LeaveData[[#This Row],[Date]]</f>
        <v>20222000246069</v>
      </c>
      <c r="B2989" s="126">
        <v>202220002</v>
      </c>
      <c r="C2989" s="126" t="s">
        <v>31</v>
      </c>
      <c r="D2989" s="101">
        <v>46069</v>
      </c>
      <c r="E2989" s="79" t="s">
        <v>13</v>
      </c>
      <c r="F2989" s="79" t="s">
        <v>104</v>
      </c>
      <c r="G2989" s="79"/>
      <c r="H2989" s="79" t="s">
        <v>1618</v>
      </c>
    </row>
    <row r="2990" spans="1:8">
      <c r="A2990" s="79" t="str">
        <f>LeaveData[[#This Row],[ EMP ID]]&amp;LeaveData[[#This Row],[Date]]</f>
        <v>20222000246070</v>
      </c>
      <c r="B2990" s="126">
        <v>202220002</v>
      </c>
      <c r="C2990" s="126" t="s">
        <v>31</v>
      </c>
      <c r="D2990" s="101">
        <v>46070</v>
      </c>
      <c r="E2990" s="79" t="s">
        <v>13</v>
      </c>
      <c r="F2990" s="79" t="s">
        <v>104</v>
      </c>
      <c r="G2990" s="79"/>
      <c r="H2990" s="79" t="s">
        <v>1618</v>
      </c>
    </row>
    <row r="2991" spans="1:8">
      <c r="A2991" s="79" t="str">
        <f>LeaveData[[#This Row],[ EMP ID]]&amp;LeaveData[[#This Row],[Date]]</f>
        <v>20222000246071</v>
      </c>
      <c r="B2991" s="126">
        <v>202220002</v>
      </c>
      <c r="C2991" s="126" t="s">
        <v>31</v>
      </c>
      <c r="D2991" s="101">
        <v>46071</v>
      </c>
      <c r="E2991" s="79" t="s">
        <v>13</v>
      </c>
      <c r="F2991" s="79" t="s">
        <v>104</v>
      </c>
      <c r="G2991" s="79"/>
      <c r="H2991" s="79" t="s">
        <v>1618</v>
      </c>
    </row>
    <row r="2992" spans="1:8">
      <c r="A2992" s="79" t="str">
        <f>LeaveData[[#This Row],[ EMP ID]]&amp;LeaveData[[#This Row],[Date]]</f>
        <v>20250102046091</v>
      </c>
      <c r="B2992" s="92">
        <v>202501020</v>
      </c>
      <c r="C2992" s="92" t="s">
        <v>1468</v>
      </c>
      <c r="D2992" s="101">
        <v>46091</v>
      </c>
      <c r="E2992" s="79" t="s">
        <v>130</v>
      </c>
      <c r="F2992" s="79" t="s">
        <v>246</v>
      </c>
      <c r="G2992" s="79"/>
      <c r="H2992" s="79" t="s">
        <v>1619</v>
      </c>
    </row>
    <row r="2993" spans="1:8">
      <c r="A2993" s="79" t="str">
        <f>LeaveData[[#This Row],[ EMP ID]]&amp;LeaveData[[#This Row],[Date]]</f>
        <v>20250102046092</v>
      </c>
      <c r="B2993" s="92">
        <v>202501020</v>
      </c>
      <c r="C2993" s="92" t="s">
        <v>1468</v>
      </c>
      <c r="D2993" s="101">
        <v>46092</v>
      </c>
      <c r="E2993" s="79" t="s">
        <v>130</v>
      </c>
      <c r="F2993" s="79" t="s">
        <v>246</v>
      </c>
      <c r="G2993" s="79"/>
      <c r="H2993" s="79" t="s">
        <v>1619</v>
      </c>
    </row>
    <row r="2994" spans="1:8">
      <c r="A2994" s="79" t="str">
        <f>LeaveData[[#This Row],[ EMP ID]]&amp;LeaveData[[#This Row],[Date]]</f>
        <v>20250102046093</v>
      </c>
      <c r="B2994" s="92">
        <v>202501020</v>
      </c>
      <c r="C2994" s="92" t="s">
        <v>1468</v>
      </c>
      <c r="D2994" s="101">
        <v>46093</v>
      </c>
      <c r="E2994" s="79" t="s">
        <v>130</v>
      </c>
      <c r="F2994" s="79" t="s">
        <v>246</v>
      </c>
      <c r="G2994" s="79"/>
      <c r="H2994" s="79" t="s">
        <v>1619</v>
      </c>
    </row>
    <row r="2995" spans="1:8">
      <c r="A2995" s="79" t="str">
        <f>LeaveData[[#This Row],[ EMP ID]]&amp;LeaveData[[#This Row],[Date]]</f>
        <v>20231802846081</v>
      </c>
      <c r="B2995" s="92">
        <v>202318028</v>
      </c>
      <c r="C2995" s="92" t="s">
        <v>57</v>
      </c>
      <c r="D2995" s="101">
        <v>46081</v>
      </c>
      <c r="E2995" s="79" t="s">
        <v>12</v>
      </c>
      <c r="F2995" s="79" t="s">
        <v>104</v>
      </c>
      <c r="G2995" s="79"/>
      <c r="H2995" s="79" t="s">
        <v>416</v>
      </c>
    </row>
    <row r="2996" spans="1:8">
      <c r="A2996" s="79" t="str">
        <f>LeaveData[[#This Row],[ EMP ID]]&amp;LeaveData[[#This Row],[Date]]</f>
        <v>20232000946084</v>
      </c>
      <c r="B2996" s="92">
        <v>202320009</v>
      </c>
      <c r="C2996" s="92" t="s">
        <v>143</v>
      </c>
      <c r="D2996" s="101">
        <v>46084</v>
      </c>
      <c r="E2996" s="79" t="s">
        <v>13</v>
      </c>
      <c r="F2996" s="79" t="s">
        <v>1365</v>
      </c>
      <c r="G2996" s="79"/>
      <c r="H2996" s="79" t="s">
        <v>168</v>
      </c>
    </row>
    <row r="2997" spans="1:8">
      <c r="A2997" s="79" t="str">
        <f>LeaveData[[#This Row],[ EMP ID]]&amp;LeaveData[[#This Row],[Date]]</f>
        <v>20261805046065</v>
      </c>
      <c r="B2997" s="92">
        <v>202618050</v>
      </c>
      <c r="C2997" s="92" t="s">
        <v>1620</v>
      </c>
      <c r="D2997" s="101">
        <v>46065</v>
      </c>
      <c r="E2997" s="79" t="s">
        <v>199</v>
      </c>
      <c r="F2997" s="79" t="s">
        <v>83</v>
      </c>
      <c r="G2997" s="79"/>
      <c r="H2997" s="79" t="s">
        <v>200</v>
      </c>
    </row>
    <row r="2998" spans="1:8">
      <c r="A2998" s="79" t="str">
        <f>LeaveData[[#This Row],[ EMP ID]]&amp;LeaveData[[#This Row],[Date]]</f>
        <v>20260102346069</v>
      </c>
      <c r="B2998" s="92">
        <v>202601023</v>
      </c>
      <c r="C2998" s="92" t="s">
        <v>1621</v>
      </c>
      <c r="D2998" s="101">
        <v>46069</v>
      </c>
      <c r="E2998" s="79" t="s">
        <v>199</v>
      </c>
      <c r="F2998" s="79" t="s">
        <v>83</v>
      </c>
      <c r="G2998" s="79"/>
      <c r="H2998" s="79" t="s">
        <v>200</v>
      </c>
    </row>
    <row r="2999" spans="1:8">
      <c r="A2999" s="79" t="str">
        <f>LeaveData[[#This Row],[ EMP ID]]&amp;LeaveData[[#This Row],[Date]]</f>
        <v>20260102446078</v>
      </c>
      <c r="B2999" s="92">
        <v>202601024</v>
      </c>
      <c r="C2999" s="92" t="s">
        <v>1622</v>
      </c>
      <c r="D2999" s="101">
        <v>46078</v>
      </c>
      <c r="E2999" s="79" t="s">
        <v>199</v>
      </c>
      <c r="F2999" s="79" t="s">
        <v>114</v>
      </c>
      <c r="G2999" s="79"/>
      <c r="H2999" s="79" t="s">
        <v>200</v>
      </c>
    </row>
    <row r="3000" spans="1:8">
      <c r="A3000" s="79" t="str">
        <f>LeaveData[[#This Row],[ EMP ID]]&amp;LeaveData[[#This Row],[Date]]</f>
        <v>20260102546079</v>
      </c>
      <c r="B3000" s="92">
        <v>202601025</v>
      </c>
      <c r="C3000" s="92" t="s">
        <v>1623</v>
      </c>
      <c r="D3000" s="101">
        <v>46079</v>
      </c>
      <c r="E3000" s="79" t="s">
        <v>199</v>
      </c>
      <c r="F3000" s="79" t="s">
        <v>235</v>
      </c>
      <c r="G3000" s="79"/>
      <c r="H3000" s="79" t="s">
        <v>200</v>
      </c>
    </row>
    <row r="3001" spans="1:8">
      <c r="A3001" s="79" t="str">
        <f>LeaveData[[#This Row],[ EMP ID]]&amp;LeaveData[[#This Row],[Date]]</f>
        <v>20260102646079</v>
      </c>
      <c r="B3001" s="92">
        <v>202601026</v>
      </c>
      <c r="C3001" s="92" t="s">
        <v>1624</v>
      </c>
      <c r="D3001" s="101">
        <v>46079</v>
      </c>
      <c r="E3001" s="79" t="s">
        <v>199</v>
      </c>
      <c r="F3001" s="79" t="s">
        <v>83</v>
      </c>
      <c r="G3001" s="79"/>
      <c r="H3001" s="79" t="s">
        <v>200</v>
      </c>
    </row>
    <row r="3002" spans="1:8">
      <c r="A3002" s="79" t="str">
        <f>LeaveData[[#This Row],[ EMP ID]]&amp;LeaveData[[#This Row],[Date]]</f>
        <v>20211800746053</v>
      </c>
      <c r="B3002" s="92">
        <v>202118007</v>
      </c>
      <c r="C3002" s="122" t="s">
        <v>103</v>
      </c>
      <c r="D3002" s="101">
        <v>46053</v>
      </c>
      <c r="E3002" s="79" t="s">
        <v>195</v>
      </c>
      <c r="F3002" s="79" t="s">
        <v>114</v>
      </c>
      <c r="G3002" s="79"/>
      <c r="H3002" s="79" t="s">
        <v>1431</v>
      </c>
    </row>
    <row r="3003" spans="1:8">
      <c r="A3003" s="79" t="str">
        <f>LeaveData[[#This Row],[ EMP ID]]&amp;LeaveData[[#This Row],[Date]]</f>
        <v>20250101246064</v>
      </c>
      <c r="B3003" s="79">
        <v>202501012</v>
      </c>
      <c r="C3003" s="79" t="s">
        <v>1394</v>
      </c>
      <c r="D3003" s="101">
        <v>46064</v>
      </c>
      <c r="E3003" s="79" t="s">
        <v>195</v>
      </c>
      <c r="F3003" s="79" t="s">
        <v>246</v>
      </c>
      <c r="G3003" s="79"/>
      <c r="H3003" s="79" t="s">
        <v>1431</v>
      </c>
    </row>
    <row r="3004" spans="1:8">
      <c r="A3004" s="79" t="str">
        <f>LeaveData[[#This Row],[ EMP ID]]&amp;LeaveData[[#This Row],[Date]]</f>
        <v>20260102746042</v>
      </c>
      <c r="B3004" s="92">
        <v>202601027</v>
      </c>
      <c r="C3004" s="92" t="s">
        <v>1626</v>
      </c>
      <c r="D3004" s="101">
        <v>46042</v>
      </c>
      <c r="E3004" s="79" t="s">
        <v>199</v>
      </c>
      <c r="F3004" s="79" t="s">
        <v>106</v>
      </c>
      <c r="G3004" s="79"/>
      <c r="H3004" s="79" t="s">
        <v>200</v>
      </c>
    </row>
    <row r="3005" spans="1:8">
      <c r="A3005" s="79" t="str">
        <f>LeaveData[[#This Row],[ EMP ID]]&amp;LeaveData[[#This Row],[Date]]</f>
        <v>20242100146073</v>
      </c>
      <c r="B3005" s="92">
        <v>202421001</v>
      </c>
      <c r="C3005" s="92" t="s">
        <v>221</v>
      </c>
      <c r="D3005" s="101">
        <v>46073</v>
      </c>
      <c r="E3005" s="79" t="s">
        <v>13</v>
      </c>
      <c r="F3005" s="79" t="s">
        <v>29</v>
      </c>
      <c r="G3005" s="79"/>
      <c r="H3005" s="79" t="s">
        <v>1627</v>
      </c>
    </row>
    <row r="3006" spans="1:8">
      <c r="A3006" s="79" t="str">
        <f>LeaveData[[#This Row],[ EMP ID]]&amp;LeaveData[[#This Row],[Date]]</f>
        <v>20242100146074</v>
      </c>
      <c r="B3006" s="92">
        <v>202421001</v>
      </c>
      <c r="C3006" s="92" t="s">
        <v>221</v>
      </c>
      <c r="D3006" s="101">
        <v>46074</v>
      </c>
      <c r="E3006" s="79" t="s">
        <v>13</v>
      </c>
      <c r="F3006" s="79" t="s">
        <v>29</v>
      </c>
      <c r="G3006" s="79"/>
      <c r="H3006" s="79" t="s">
        <v>1627</v>
      </c>
    </row>
    <row r="3007" spans="1:8">
      <c r="A3007" s="79" t="str">
        <f>LeaveData[[#This Row],[ EMP ID]]&amp;LeaveData[[#This Row],[Date]]</f>
        <v>20242100145924</v>
      </c>
      <c r="B3007" s="92">
        <v>202421001</v>
      </c>
      <c r="C3007" s="92" t="s">
        <v>221</v>
      </c>
      <c r="D3007" s="101">
        <v>45924</v>
      </c>
      <c r="E3007" s="79" t="s">
        <v>14</v>
      </c>
      <c r="F3007" s="79" t="s">
        <v>29</v>
      </c>
      <c r="G3007" s="79"/>
      <c r="H3007" s="79" t="s">
        <v>168</v>
      </c>
    </row>
    <row r="3008" spans="1:8">
      <c r="A3008" s="79" t="str">
        <f>LeaveData[[#This Row],[ EMP ID]]&amp;LeaveData[[#This Row],[Date]]</f>
        <v>20231801946083</v>
      </c>
      <c r="B3008" s="79">
        <v>202318019</v>
      </c>
      <c r="C3008" s="79" t="s">
        <v>89</v>
      </c>
      <c r="D3008" s="101">
        <v>46083</v>
      </c>
      <c r="E3008" s="79" t="s">
        <v>13</v>
      </c>
      <c r="F3008" s="79" t="s">
        <v>45</v>
      </c>
      <c r="G3008" s="79"/>
      <c r="H3008" s="79" t="s">
        <v>1628</v>
      </c>
    </row>
    <row r="3009" spans="1:8">
      <c r="A3009" s="79" t="str">
        <f>LeaveData[[#This Row],[ EMP ID]]&amp;LeaveData[[#This Row],[Date]]</f>
        <v>20231801946084</v>
      </c>
      <c r="B3009" s="79">
        <v>202318019</v>
      </c>
      <c r="C3009" s="79" t="s">
        <v>89</v>
      </c>
      <c r="D3009" s="101">
        <v>46084</v>
      </c>
      <c r="E3009" s="79" t="s">
        <v>13</v>
      </c>
      <c r="F3009" s="79" t="s">
        <v>45</v>
      </c>
      <c r="G3009" s="79"/>
      <c r="H3009" s="79" t="s">
        <v>1628</v>
      </c>
    </row>
    <row r="3010" spans="1:8">
      <c r="A3010" s="79" t="str">
        <f>LeaveData[[#This Row],[ EMP ID]]&amp;LeaveData[[#This Row],[Date]]</f>
        <v>20231801946069</v>
      </c>
      <c r="B3010" s="79">
        <v>202318019</v>
      </c>
      <c r="C3010" s="79" t="s">
        <v>89</v>
      </c>
      <c r="D3010" s="101">
        <v>46069</v>
      </c>
      <c r="E3010" s="79" t="s">
        <v>16</v>
      </c>
      <c r="F3010" s="79" t="s">
        <v>45</v>
      </c>
      <c r="G3010" s="79"/>
      <c r="H3010" s="79"/>
    </row>
    <row r="3011" spans="1:8">
      <c r="A3011" s="79" t="str">
        <f>LeaveData[[#This Row],[ EMP ID]]&amp;LeaveData[[#This Row],[Date]]</f>
        <v>20242100146086</v>
      </c>
      <c r="B3011" s="92">
        <v>202421001</v>
      </c>
      <c r="C3011" s="92" t="s">
        <v>221</v>
      </c>
      <c r="D3011" s="101">
        <v>46086</v>
      </c>
      <c r="E3011" s="79" t="s">
        <v>16</v>
      </c>
      <c r="F3011" s="79" t="s">
        <v>29</v>
      </c>
      <c r="G3011" s="79"/>
      <c r="H3011" s="79"/>
    </row>
    <row r="3012" spans="1:8">
      <c r="A3012" s="79" t="str">
        <f>LeaveData[[#This Row],[ EMP ID]]&amp;LeaveData[[#This Row],[Date]]</f>
        <v>20241803846088</v>
      </c>
      <c r="B3012" s="92">
        <v>202418038</v>
      </c>
      <c r="C3012" s="92" t="s">
        <v>246</v>
      </c>
      <c r="D3012" s="101">
        <v>46088</v>
      </c>
      <c r="E3012" s="79" t="s">
        <v>14</v>
      </c>
      <c r="F3012" s="79" t="s">
        <v>125</v>
      </c>
      <c r="G3012" s="79"/>
      <c r="H3012" s="79" t="s">
        <v>1629</v>
      </c>
    </row>
    <row r="3013" spans="1:8">
      <c r="A3013" s="79" t="str">
        <f>LeaveData[[#This Row],[ EMP ID]]&amp;LeaveData[[#This Row],[Date]]</f>
        <v>20250102049740</v>
      </c>
      <c r="B3013" s="92">
        <v>202501020</v>
      </c>
      <c r="C3013" s="92" t="s">
        <v>1468</v>
      </c>
      <c r="D3013" s="101">
        <v>49740</v>
      </c>
      <c r="E3013" s="79" t="s">
        <v>16</v>
      </c>
      <c r="F3013" s="79" t="s">
        <v>246</v>
      </c>
      <c r="G3013" s="79"/>
      <c r="H3013" s="79" t="s">
        <v>416</v>
      </c>
    </row>
    <row r="3014" spans="1:8">
      <c r="A3014" s="79" t="str">
        <f>LeaveData[[#This Row],[ EMP ID]]&amp;LeaveData[[#This Row],[Date]]</f>
        <v>202618049414985</v>
      </c>
      <c r="B3014" s="92">
        <v>202618049</v>
      </c>
      <c r="C3014" s="92" t="s">
        <v>1582</v>
      </c>
      <c r="D3014" s="101">
        <v>414985</v>
      </c>
      <c r="E3014" s="79" t="s">
        <v>12</v>
      </c>
      <c r="F3014" s="79" t="s">
        <v>83</v>
      </c>
      <c r="G3014" s="79"/>
      <c r="H3014" s="79" t="s">
        <v>416</v>
      </c>
    </row>
    <row r="3015" spans="1:8">
      <c r="A3015" s="79" t="str">
        <f>LeaveData[[#This Row],[ EMP ID]]&amp;LeaveData[[#This Row],[Date]]</f>
        <v>202501020414985</v>
      </c>
      <c r="B3015" s="92">
        <v>202501020</v>
      </c>
      <c r="C3015" s="92" t="s">
        <v>1468</v>
      </c>
      <c r="D3015" s="101">
        <v>414985</v>
      </c>
      <c r="E3015" s="79" t="s">
        <v>12</v>
      </c>
      <c r="F3015" s="79" t="s">
        <v>246</v>
      </c>
      <c r="G3015" s="79"/>
      <c r="H3015" s="79" t="s">
        <v>416</v>
      </c>
    </row>
    <row r="3016" spans="1:8">
      <c r="A3016" s="79" t="str">
        <f>LeaveData[[#This Row],[ EMP ID]]&amp;LeaveData[[#This Row],[Date]]</f>
        <v>202318017414985</v>
      </c>
      <c r="B3016" s="92">
        <v>202318017</v>
      </c>
      <c r="C3016" s="92" t="s">
        <v>37</v>
      </c>
      <c r="D3016" s="101">
        <v>414985</v>
      </c>
      <c r="E3016" s="79" t="s">
        <v>15</v>
      </c>
      <c r="F3016" s="79" t="s">
        <v>1365</v>
      </c>
      <c r="G3016" s="79"/>
      <c r="H3016" s="79" t="s">
        <v>416</v>
      </c>
    </row>
    <row r="3017" spans="1:8">
      <c r="A3017" s="79" t="str">
        <f>LeaveData[[#This Row],[ EMP ID]]&amp;LeaveData[[#This Row],[Date]]</f>
        <v>20211800846091</v>
      </c>
      <c r="B3017" s="92">
        <v>202118008</v>
      </c>
      <c r="C3017" s="92" t="s">
        <v>25</v>
      </c>
      <c r="D3017" s="101">
        <v>46091</v>
      </c>
      <c r="E3017" s="79" t="s">
        <v>13</v>
      </c>
      <c r="F3017" s="79" t="s">
        <v>104</v>
      </c>
      <c r="G3017" s="79"/>
      <c r="H3017" s="79" t="s">
        <v>275</v>
      </c>
    </row>
    <row r="3018" spans="1:8">
      <c r="A3018" s="79" t="str">
        <f>LeaveData[[#This Row],[ EMP ID]]&amp;LeaveData[[#This Row],[Date]]</f>
        <v>20211800846092</v>
      </c>
      <c r="B3018" s="92">
        <v>202118008</v>
      </c>
      <c r="C3018" s="92" t="s">
        <v>25</v>
      </c>
      <c r="D3018" s="101">
        <v>46092</v>
      </c>
      <c r="E3018" s="79" t="s">
        <v>13</v>
      </c>
      <c r="F3018" s="79" t="s">
        <v>104</v>
      </c>
      <c r="G3018" s="79"/>
      <c r="H3018" s="79" t="s">
        <v>275</v>
      </c>
    </row>
    <row r="3019" spans="1:8">
      <c r="A3019" s="79" t="str">
        <f>LeaveData[[#This Row],[ EMP ID]]&amp;LeaveData[[#This Row],[Date]]</f>
        <v>20242100446094</v>
      </c>
      <c r="B3019" s="92">
        <v>202421004</v>
      </c>
      <c r="C3019" s="92" t="s">
        <v>270</v>
      </c>
      <c r="D3019" s="101">
        <v>46094</v>
      </c>
      <c r="E3019" s="79" t="s">
        <v>12</v>
      </c>
      <c r="F3019" s="79" t="s">
        <v>29</v>
      </c>
      <c r="G3019" s="79"/>
      <c r="H3019" s="79" t="s">
        <v>416</v>
      </c>
    </row>
    <row r="3020" spans="1:8">
      <c r="A3020" s="79" t="str">
        <f>LeaveData[[#This Row],[ EMP ID]]&amp;LeaveData[[#This Row],[Date]]</f>
        <v>202421004414992</v>
      </c>
      <c r="B3020" s="92">
        <v>202421004</v>
      </c>
      <c r="C3020" s="92" t="s">
        <v>270</v>
      </c>
      <c r="D3020" s="101">
        <v>414992</v>
      </c>
      <c r="E3020" s="79" t="s">
        <v>13</v>
      </c>
      <c r="F3020" s="79" t="s">
        <v>29</v>
      </c>
      <c r="G3020" s="79"/>
      <c r="H3020" s="79" t="s">
        <v>1630</v>
      </c>
    </row>
    <row r="3021" spans="1:8">
      <c r="A3021" s="79" t="str">
        <f>LeaveData[[#This Row],[ EMP ID]]&amp;LeaveData[[#This Row],[Date]]</f>
        <v>202421004414993</v>
      </c>
      <c r="B3021" s="92">
        <v>202421004</v>
      </c>
      <c r="C3021" s="92" t="s">
        <v>270</v>
      </c>
      <c r="D3021" s="101">
        <v>414993</v>
      </c>
      <c r="E3021" s="79" t="s">
        <v>16</v>
      </c>
      <c r="F3021" s="79" t="s">
        <v>29</v>
      </c>
      <c r="G3021" s="79"/>
      <c r="H3021" s="79" t="s">
        <v>1630</v>
      </c>
    </row>
    <row r="3022" spans="1:8">
      <c r="A3022" s="79" t="str">
        <f>LeaveData[[#This Row],[ EMP ID]]&amp;LeaveData[[#This Row],[Date]]</f>
        <v>202421004414994</v>
      </c>
      <c r="B3022" s="92">
        <v>202421004</v>
      </c>
      <c r="C3022" s="92" t="s">
        <v>270</v>
      </c>
      <c r="D3022" s="101">
        <v>414994</v>
      </c>
      <c r="E3022" s="79" t="s">
        <v>16</v>
      </c>
      <c r="F3022" s="79" t="s">
        <v>29</v>
      </c>
      <c r="G3022" s="79"/>
      <c r="H3022" s="79" t="s">
        <v>1630</v>
      </c>
    </row>
    <row r="3023" spans="1:8">
      <c r="A3023" s="79" t="str">
        <f>LeaveData[[#This Row],[ EMP ID]]&amp;LeaveData[[#This Row],[Date]]</f>
        <v>202421004414995</v>
      </c>
      <c r="B3023" s="92">
        <v>202421004</v>
      </c>
      <c r="C3023" s="92" t="s">
        <v>270</v>
      </c>
      <c r="D3023" s="101">
        <v>414995</v>
      </c>
      <c r="E3023" s="79" t="s">
        <v>16</v>
      </c>
      <c r="F3023" s="79" t="s">
        <v>29</v>
      </c>
      <c r="G3023" s="79"/>
      <c r="H3023" s="79" t="s">
        <v>1630</v>
      </c>
    </row>
    <row r="3024" spans="1:8">
      <c r="A3024" s="79" t="str">
        <f>LeaveData[[#This Row],[ EMP ID]]&amp;LeaveData[[#This Row],[Date]]</f>
        <v>202421004414996</v>
      </c>
      <c r="B3024" s="92">
        <v>202421004</v>
      </c>
      <c r="C3024" s="92" t="s">
        <v>270</v>
      </c>
      <c r="D3024" s="101">
        <v>414996</v>
      </c>
      <c r="E3024" s="79" t="s">
        <v>16</v>
      </c>
      <c r="F3024" s="79" t="s">
        <v>29</v>
      </c>
      <c r="G3024" s="79"/>
      <c r="H3024" s="79" t="s">
        <v>1630</v>
      </c>
    </row>
    <row r="3025" spans="1:8">
      <c r="A3025" s="79" t="str">
        <f>LeaveData[[#This Row],[ EMP ID]]&amp;LeaveData[[#This Row],[Date]]</f>
        <v>202421004414997</v>
      </c>
      <c r="B3025" s="92">
        <v>202421004</v>
      </c>
      <c r="C3025" s="92" t="s">
        <v>270</v>
      </c>
      <c r="D3025" s="101">
        <v>414997</v>
      </c>
      <c r="E3025" s="79" t="s">
        <v>16</v>
      </c>
      <c r="F3025" s="79" t="s">
        <v>29</v>
      </c>
      <c r="G3025" s="79"/>
      <c r="H3025" s="79" t="s">
        <v>1630</v>
      </c>
    </row>
    <row r="3026" spans="1:8">
      <c r="A3026" s="79" t="str">
        <f>LeaveData[[#This Row],[ EMP ID]]&amp;LeaveData[[#This Row],[Date]]</f>
        <v>20250102046095</v>
      </c>
      <c r="B3026" s="92">
        <v>202501020</v>
      </c>
      <c r="C3026" s="92" t="s">
        <v>1468</v>
      </c>
      <c r="D3026" s="101">
        <v>46095</v>
      </c>
      <c r="E3026" s="79" t="s">
        <v>154</v>
      </c>
      <c r="F3026" s="79" t="s">
        <v>246</v>
      </c>
      <c r="G3026" s="79"/>
      <c r="H3026" s="79" t="s">
        <v>1594</v>
      </c>
    </row>
    <row r="3027" spans="1:8">
      <c r="A3027" s="79" t="str">
        <f>LeaveData[[#This Row],[ EMP ID]]&amp;LeaveData[[#This Row],[Date]]</f>
        <v>20232000746115</v>
      </c>
      <c r="B3027" s="92">
        <v>202320007</v>
      </c>
      <c r="C3027" s="92" t="s">
        <v>183</v>
      </c>
      <c r="D3027" s="101">
        <v>46115</v>
      </c>
      <c r="E3027" s="79" t="s">
        <v>13</v>
      </c>
      <c r="F3027" s="79" t="s">
        <v>114</v>
      </c>
      <c r="G3027" s="79"/>
      <c r="H3027" s="79" t="s">
        <v>105</v>
      </c>
    </row>
    <row r="3028" spans="1:8">
      <c r="A3028" s="79" t="str">
        <f>LeaveData[[#This Row],[ EMP ID]]&amp;LeaveData[[#This Row],[Date]]</f>
        <v>20232000746116</v>
      </c>
      <c r="B3028" s="92">
        <v>202320007</v>
      </c>
      <c r="C3028" s="92" t="s">
        <v>183</v>
      </c>
      <c r="D3028" s="101">
        <v>46116</v>
      </c>
      <c r="E3028" s="79" t="s">
        <v>13</v>
      </c>
      <c r="F3028" s="79" t="s">
        <v>114</v>
      </c>
      <c r="G3028" s="79"/>
      <c r="H3028" s="79" t="s">
        <v>105</v>
      </c>
    </row>
    <row r="3029" spans="1:8">
      <c r="A3029" s="79" t="str">
        <f>LeaveData[[#This Row],[ EMP ID]]&amp;LeaveData[[#This Row],[Date]]</f>
        <v>20231801946089</v>
      </c>
      <c r="B3029" s="79">
        <v>202318019</v>
      </c>
      <c r="C3029" s="79" t="s">
        <v>89</v>
      </c>
      <c r="D3029" s="101">
        <v>46089</v>
      </c>
      <c r="E3029" s="79" t="s">
        <v>154</v>
      </c>
      <c r="F3029" s="79" t="s">
        <v>45</v>
      </c>
      <c r="G3029" s="79"/>
      <c r="H3029" s="79" t="s">
        <v>1594</v>
      </c>
    </row>
    <row r="3030" spans="1:8">
      <c r="A3030" s="79" t="str">
        <f>LeaveData[[#This Row],[ EMP ID]]&amp;LeaveData[[#This Row],[Date]]</f>
        <v>20182000146099</v>
      </c>
      <c r="B3030" s="92">
        <v>201820001</v>
      </c>
      <c r="C3030" s="92" t="s">
        <v>18</v>
      </c>
      <c r="D3030" s="101">
        <v>46099</v>
      </c>
      <c r="E3030" s="79" t="s">
        <v>14</v>
      </c>
      <c r="F3030" s="79" t="s">
        <v>1365</v>
      </c>
      <c r="G3030" s="79"/>
      <c r="H3030" s="79" t="s">
        <v>1631</v>
      </c>
    </row>
    <row r="3031" spans="1:8">
      <c r="A3031" s="79" t="str">
        <f>LeaveData[[#This Row],[ EMP ID]]&amp;LeaveData[[#This Row],[Date]]</f>
        <v>20231802846109</v>
      </c>
      <c r="B3031" s="92">
        <v>202318028</v>
      </c>
      <c r="C3031" s="92" t="s">
        <v>57</v>
      </c>
      <c r="D3031" s="101">
        <v>46109</v>
      </c>
      <c r="E3031" s="79" t="s">
        <v>13</v>
      </c>
      <c r="F3031" s="79" t="s">
        <v>104</v>
      </c>
      <c r="G3031" s="79"/>
      <c r="H3031" s="79" t="s">
        <v>168</v>
      </c>
    </row>
    <row r="3032" spans="1:8">
      <c r="A3032" s="79" t="str">
        <f>LeaveData[[#This Row],[ EMP ID]]&amp;LeaveData[[#This Row],[Date]]</f>
        <v>20231801946099</v>
      </c>
      <c r="B3032" s="79">
        <v>202318019</v>
      </c>
      <c r="C3032" s="79" t="s">
        <v>89</v>
      </c>
      <c r="D3032" s="101">
        <v>46099</v>
      </c>
      <c r="E3032" s="79" t="s">
        <v>16</v>
      </c>
      <c r="F3032" s="79" t="s">
        <v>45</v>
      </c>
      <c r="G3032" s="79"/>
      <c r="H3032" s="79" t="s">
        <v>168</v>
      </c>
    </row>
    <row r="3033" spans="1:8">
      <c r="A3033" s="79" t="str">
        <f>LeaveData[[#This Row],[ EMP ID]]&amp;LeaveData[[#This Row],[Date]]</f>
        <v>20221801146102</v>
      </c>
      <c r="B3033" s="92">
        <v>202218011</v>
      </c>
      <c r="C3033" s="92" t="s">
        <v>28</v>
      </c>
      <c r="D3033" s="101">
        <v>46102</v>
      </c>
      <c r="E3033" s="79" t="s">
        <v>13</v>
      </c>
      <c r="F3033" s="79" t="s">
        <v>235</v>
      </c>
      <c r="G3033" s="79"/>
      <c r="H3033" s="79" t="s">
        <v>168</v>
      </c>
    </row>
    <row r="3034" spans="1:8">
      <c r="A3034" s="79" t="str">
        <f>LeaveData[[#This Row],[ EMP ID]]&amp;LeaveData[[#This Row],[Date]]</f>
        <v>20242101346102</v>
      </c>
      <c r="B3034" s="92">
        <v>202421013</v>
      </c>
      <c r="C3034" s="92" t="s">
        <v>378</v>
      </c>
      <c r="D3034" s="101">
        <v>46102</v>
      </c>
      <c r="E3034" s="79" t="s">
        <v>13</v>
      </c>
      <c r="F3034" s="79" t="s">
        <v>29</v>
      </c>
      <c r="G3034" s="79"/>
      <c r="H3034" s="79" t="s">
        <v>168</v>
      </c>
    </row>
    <row r="3035" spans="1:8">
      <c r="A3035" s="79" t="str">
        <f>LeaveData[[#This Row],[ EMP ID]]&amp;LeaveData[[#This Row],[Date]]</f>
        <v>20231801846102</v>
      </c>
      <c r="B3035" s="92">
        <v>202318018</v>
      </c>
      <c r="C3035" s="92" t="s">
        <v>40</v>
      </c>
      <c r="D3035" s="101">
        <v>46102</v>
      </c>
      <c r="E3035" s="79" t="s">
        <v>12</v>
      </c>
      <c r="F3035" s="79" t="s">
        <v>125</v>
      </c>
      <c r="G3035" s="79"/>
      <c r="H3035" s="79" t="s">
        <v>416</v>
      </c>
    </row>
    <row r="3036" spans="1:8">
      <c r="A3036" s="79" t="str">
        <f>LeaveData[[#This Row],[ EMP ID]]&amp;LeaveData[[#This Row],[Date]]</f>
        <v>20250101646132</v>
      </c>
      <c r="B3036" s="92">
        <v>202501016</v>
      </c>
      <c r="C3036" s="92" t="s">
        <v>1430</v>
      </c>
      <c r="D3036" s="101">
        <v>46132</v>
      </c>
      <c r="E3036" s="79" t="s">
        <v>13</v>
      </c>
      <c r="F3036" s="79" t="s">
        <v>246</v>
      </c>
      <c r="G3036" s="79"/>
      <c r="H3036" s="79" t="s">
        <v>349</v>
      </c>
    </row>
    <row r="3037" spans="1:8">
      <c r="A3037" s="79" t="str">
        <f>LeaveData[[#This Row],[ EMP ID]]&amp;LeaveData[[#This Row],[Date]]</f>
        <v>20250101646133</v>
      </c>
      <c r="B3037" s="92">
        <v>202501016</v>
      </c>
      <c r="C3037" s="92" t="s">
        <v>1430</v>
      </c>
      <c r="D3037" s="101">
        <v>46133</v>
      </c>
      <c r="E3037" s="79" t="s">
        <v>13</v>
      </c>
      <c r="F3037" s="79" t="s">
        <v>246</v>
      </c>
      <c r="G3037" s="79"/>
      <c r="H3037" s="79" t="s">
        <v>349</v>
      </c>
    </row>
    <row r="3038" spans="1:8">
      <c r="A3038" s="79" t="str">
        <f>LeaveData[[#This Row],[ EMP ID]]&amp;LeaveData[[#This Row],[Date]]</f>
        <v>20250101646134</v>
      </c>
      <c r="B3038" s="92">
        <v>202501016</v>
      </c>
      <c r="C3038" s="92" t="s">
        <v>1430</v>
      </c>
      <c r="D3038" s="101">
        <v>46134</v>
      </c>
      <c r="E3038" s="79" t="s">
        <v>16</v>
      </c>
      <c r="F3038" s="79" t="s">
        <v>246</v>
      </c>
      <c r="G3038" s="79"/>
      <c r="H3038" s="79" t="s">
        <v>1632</v>
      </c>
    </row>
    <row r="3039" spans="1:8">
      <c r="A3039" s="79" t="str">
        <f>LeaveData[[#This Row],[ EMP ID]]&amp;LeaveData[[#This Row],[Date]]</f>
        <v>20250101646135</v>
      </c>
      <c r="B3039" s="92">
        <v>202501016</v>
      </c>
      <c r="C3039" s="92" t="s">
        <v>1430</v>
      </c>
      <c r="D3039" s="101">
        <v>46135</v>
      </c>
      <c r="E3039" s="79" t="s">
        <v>16</v>
      </c>
      <c r="F3039" s="79" t="s">
        <v>246</v>
      </c>
      <c r="G3039" s="79"/>
      <c r="H3039" s="79" t="s">
        <v>1632</v>
      </c>
    </row>
    <row r="3040" spans="1:8">
      <c r="A3040" s="79" t="str">
        <f>LeaveData[[#This Row],[ EMP ID]]&amp;LeaveData[[#This Row],[Date]]</f>
        <v>20250101646136</v>
      </c>
      <c r="B3040" s="92">
        <v>202501016</v>
      </c>
      <c r="C3040" s="92" t="s">
        <v>1430</v>
      </c>
      <c r="D3040" s="101">
        <v>46136</v>
      </c>
      <c r="E3040" s="79" t="s">
        <v>16</v>
      </c>
      <c r="F3040" s="79" t="s">
        <v>246</v>
      </c>
      <c r="G3040" s="79"/>
      <c r="H3040" s="79" t="s">
        <v>1632</v>
      </c>
    </row>
    <row r="3041" spans="1:8">
      <c r="A3041" s="79" t="str">
        <f>LeaveData[[#This Row],[ EMP ID]]&amp;LeaveData[[#This Row],[Date]]</f>
        <v>20250101646137</v>
      </c>
      <c r="B3041" s="92">
        <v>202501016</v>
      </c>
      <c r="C3041" s="92" t="s">
        <v>1430</v>
      </c>
      <c r="D3041" s="101">
        <v>46137</v>
      </c>
      <c r="E3041" s="79" t="s">
        <v>13</v>
      </c>
      <c r="F3041" s="79" t="s">
        <v>246</v>
      </c>
      <c r="G3041" s="79"/>
      <c r="H3041" s="79" t="s">
        <v>1632</v>
      </c>
    </row>
    <row r="3042" spans="1:8">
      <c r="A3042" s="79" t="str">
        <f>LeaveData[[#This Row],[ EMP ID]]&amp;LeaveData[[#This Row],[Date]]</f>
        <v>20250101646138</v>
      </c>
      <c r="B3042" s="92">
        <v>202501016</v>
      </c>
      <c r="C3042" s="92" t="s">
        <v>1430</v>
      </c>
      <c r="D3042" s="101">
        <v>46138</v>
      </c>
      <c r="E3042" s="79" t="s">
        <v>13</v>
      </c>
      <c r="F3042" s="79" t="s">
        <v>246</v>
      </c>
      <c r="G3042" s="79"/>
      <c r="H3042" s="79" t="s">
        <v>1632</v>
      </c>
    </row>
    <row r="3043" spans="1:8">
      <c r="A3043" s="79" t="str">
        <f>LeaveData[[#This Row],[ EMP ID]]&amp;LeaveData[[#This Row],[Date]]</f>
        <v>20250101646139</v>
      </c>
      <c r="B3043" s="92">
        <v>202501016</v>
      </c>
      <c r="C3043" s="92" t="s">
        <v>1430</v>
      </c>
      <c r="D3043" s="101">
        <v>46139</v>
      </c>
      <c r="E3043" s="79" t="s">
        <v>13</v>
      </c>
      <c r="F3043" s="79" t="s">
        <v>246</v>
      </c>
      <c r="G3043" s="79"/>
      <c r="H3043" s="79" t="s">
        <v>1632</v>
      </c>
    </row>
    <row r="3044" spans="1:8">
      <c r="A3044" s="79" t="str">
        <f>LeaveData[[#This Row],[ EMP ID]]&amp;LeaveData[[#This Row],[Date]]</f>
        <v>20250101646140</v>
      </c>
      <c r="B3044" s="92">
        <v>202501016</v>
      </c>
      <c r="C3044" s="92" t="s">
        <v>1430</v>
      </c>
      <c r="D3044" s="101">
        <v>46140</v>
      </c>
      <c r="E3044" s="79" t="s">
        <v>13</v>
      </c>
      <c r="F3044" s="79" t="s">
        <v>246</v>
      </c>
      <c r="G3044" s="79"/>
      <c r="H3044" s="79" t="s">
        <v>1632</v>
      </c>
    </row>
    <row r="3045" spans="1:8">
      <c r="A3045" s="79" t="str">
        <f>LeaveData[[#This Row],[ EMP ID]]&amp;LeaveData[[#This Row],[Date]]</f>
        <v>20250101646141</v>
      </c>
      <c r="B3045" s="92">
        <v>202501016</v>
      </c>
      <c r="C3045" s="92" t="s">
        <v>1430</v>
      </c>
      <c r="D3045" s="101">
        <v>46141</v>
      </c>
      <c r="E3045" s="79" t="s">
        <v>13</v>
      </c>
      <c r="F3045" s="79" t="s">
        <v>246</v>
      </c>
      <c r="G3045" s="79"/>
      <c r="H3045" s="79" t="s">
        <v>1632</v>
      </c>
    </row>
    <row r="3046" spans="1:8">
      <c r="A3046" s="79" t="str">
        <f>LeaveData[[#This Row],[ EMP ID]]&amp;LeaveData[[#This Row],[Date]]</f>
        <v>20250101646142</v>
      </c>
      <c r="B3046" s="92">
        <v>202501016</v>
      </c>
      <c r="C3046" s="92" t="s">
        <v>1430</v>
      </c>
      <c r="D3046" s="101">
        <v>46142</v>
      </c>
      <c r="E3046" s="79" t="s">
        <v>13</v>
      </c>
      <c r="F3046" s="79" t="s">
        <v>246</v>
      </c>
      <c r="G3046" s="79"/>
      <c r="H3046" s="79" t="s">
        <v>1632</v>
      </c>
    </row>
    <row r="3047" spans="1:8">
      <c r="A3047" s="79" t="str">
        <f>LeaveData[[#This Row],[ EMP ID]]&amp;LeaveData[[#This Row],[Date]]</f>
        <v>20250101946105</v>
      </c>
      <c r="B3047" s="92">
        <v>202501019</v>
      </c>
      <c r="C3047" s="92" t="s">
        <v>1461</v>
      </c>
      <c r="D3047" s="101">
        <v>46105</v>
      </c>
      <c r="E3047" s="79" t="s">
        <v>12</v>
      </c>
      <c r="F3047" s="79" t="s">
        <v>128</v>
      </c>
      <c r="G3047" s="79"/>
      <c r="H3047" s="79" t="s">
        <v>416</v>
      </c>
    </row>
    <row r="3048" spans="1:8">
      <c r="A3048" s="79" t="str">
        <f>LeaveData[[#This Row],[ EMP ID]]&amp;LeaveData[[#This Row],[Date]]</f>
        <v>20231802346106</v>
      </c>
      <c r="B3048" s="92">
        <v>202318023</v>
      </c>
      <c r="C3048" s="122" t="s">
        <v>148</v>
      </c>
      <c r="D3048" s="101">
        <v>46106</v>
      </c>
      <c r="E3048" s="79" t="s">
        <v>14</v>
      </c>
      <c r="F3048" s="79" t="s">
        <v>128</v>
      </c>
      <c r="G3048" s="79"/>
      <c r="H3048" s="79" t="s">
        <v>1633</v>
      </c>
    </row>
    <row r="3049" spans="1:8">
      <c r="A3049" s="79" t="str">
        <f>LeaveData[[#This Row],[ EMP ID]]&amp;LeaveData[[#This Row],[Date]]</f>
        <v>20260102546107</v>
      </c>
      <c r="B3049" s="92">
        <v>202601025</v>
      </c>
      <c r="C3049" s="92" t="s">
        <v>1623</v>
      </c>
      <c r="D3049" s="101">
        <v>46107</v>
      </c>
      <c r="E3049" s="79" t="s">
        <v>12</v>
      </c>
      <c r="F3049" s="79" t="s">
        <v>235</v>
      </c>
      <c r="G3049" s="79"/>
      <c r="H3049" s="79" t="s">
        <v>416</v>
      </c>
    </row>
    <row r="3050" spans="1:8">
      <c r="A3050" s="79" t="str">
        <f>LeaveData[[#This Row],[ EMP ID]]&amp;LeaveData[[#This Row],[Date]]</f>
        <v>20260102346133</v>
      </c>
      <c r="B3050" s="92">
        <v>202601023</v>
      </c>
      <c r="C3050" s="92" t="s">
        <v>1621</v>
      </c>
      <c r="D3050" s="101">
        <v>46133</v>
      </c>
      <c r="E3050" s="79" t="s">
        <v>13</v>
      </c>
      <c r="F3050" s="79" t="s">
        <v>83</v>
      </c>
      <c r="G3050" s="79"/>
      <c r="H3050" s="79" t="s">
        <v>211</v>
      </c>
    </row>
    <row r="3051" spans="1:8">
      <c r="A3051" s="79" t="str">
        <f>LeaveData[[#This Row],[ EMP ID]]&amp;LeaveData[[#This Row],[Date]]</f>
        <v>20260102346134</v>
      </c>
      <c r="B3051" s="92">
        <v>202601023</v>
      </c>
      <c r="C3051" s="92" t="s">
        <v>1621</v>
      </c>
      <c r="D3051" s="101">
        <v>46134</v>
      </c>
      <c r="E3051" s="79" t="s">
        <v>13</v>
      </c>
      <c r="F3051" s="79" t="s">
        <v>83</v>
      </c>
      <c r="G3051" s="79"/>
      <c r="H3051" s="79" t="s">
        <v>211</v>
      </c>
    </row>
    <row r="3052" spans="1:8">
      <c r="A3052" s="79" t="str">
        <f>LeaveData[[#This Row],[ EMP ID]]&amp;LeaveData[[#This Row],[Date]]</f>
        <v>20260102346135</v>
      </c>
      <c r="B3052" s="92">
        <v>202601023</v>
      </c>
      <c r="C3052" s="92" t="s">
        <v>1621</v>
      </c>
      <c r="D3052" s="101">
        <v>46135</v>
      </c>
      <c r="E3052" s="79" t="s">
        <v>13</v>
      </c>
      <c r="F3052" s="79" t="s">
        <v>83</v>
      </c>
      <c r="G3052" s="79"/>
      <c r="H3052" s="79" t="s">
        <v>211</v>
      </c>
    </row>
    <row r="3053" spans="1:8">
      <c r="A3053" s="79" t="str">
        <f>LeaveData[[#This Row],[ EMP ID]]&amp;LeaveData[[#This Row],[Date]]</f>
        <v>20260102346136</v>
      </c>
      <c r="B3053" s="92">
        <v>202601023</v>
      </c>
      <c r="C3053" s="92" t="s">
        <v>1621</v>
      </c>
      <c r="D3053" s="101">
        <v>46136</v>
      </c>
      <c r="E3053" s="79" t="s">
        <v>13</v>
      </c>
      <c r="F3053" s="79" t="s">
        <v>83</v>
      </c>
      <c r="G3053" s="79"/>
      <c r="H3053" s="79" t="s">
        <v>211</v>
      </c>
    </row>
    <row r="3054" spans="1:8">
      <c r="A3054" s="79" t="str">
        <f>LeaveData[[#This Row],[ EMP ID]]&amp;LeaveData[[#This Row],[Date]]</f>
        <v>20260102346137</v>
      </c>
      <c r="B3054" s="92">
        <v>202601023</v>
      </c>
      <c r="C3054" s="92" t="s">
        <v>1621</v>
      </c>
      <c r="D3054" s="101">
        <v>46137</v>
      </c>
      <c r="E3054" s="79" t="s">
        <v>13</v>
      </c>
      <c r="F3054" s="79" t="s">
        <v>83</v>
      </c>
      <c r="G3054" s="79"/>
      <c r="H3054" s="79" t="s">
        <v>211</v>
      </c>
    </row>
    <row r="3055" spans="1:8">
      <c r="A3055" s="79" t="str">
        <f>LeaveData[[#This Row],[ EMP ID]]&amp;LeaveData[[#This Row],[Date]]</f>
        <v>20260102346139</v>
      </c>
      <c r="B3055" s="92">
        <v>202601023</v>
      </c>
      <c r="C3055" s="92" t="s">
        <v>1621</v>
      </c>
      <c r="D3055" s="101">
        <v>46139</v>
      </c>
      <c r="E3055" s="79" t="s">
        <v>13</v>
      </c>
      <c r="F3055" s="79" t="s">
        <v>83</v>
      </c>
      <c r="G3055" s="79"/>
      <c r="H3055" s="79" t="s">
        <v>211</v>
      </c>
    </row>
    <row r="3056" spans="1:8">
      <c r="A3056" s="79" t="str">
        <f>LeaveData[[#This Row],[ EMP ID]]&amp;LeaveData[[#This Row],[Date]]</f>
        <v>20260102346140</v>
      </c>
      <c r="B3056" s="92">
        <v>202601023</v>
      </c>
      <c r="C3056" s="92" t="s">
        <v>1621</v>
      </c>
      <c r="D3056" s="101">
        <v>46140</v>
      </c>
      <c r="E3056" s="79" t="s">
        <v>13</v>
      </c>
      <c r="F3056" s="79" t="s">
        <v>83</v>
      </c>
      <c r="G3056" s="79"/>
      <c r="H3056" s="79" t="s">
        <v>211</v>
      </c>
    </row>
    <row r="3057" spans="1:8">
      <c r="A3057" s="79" t="str">
        <f>LeaveData[[#This Row],[ EMP ID]]&amp;LeaveData[[#This Row],[Date]]</f>
        <v>20260102346141</v>
      </c>
      <c r="B3057" s="92">
        <v>202601023</v>
      </c>
      <c r="C3057" s="92" t="s">
        <v>1621</v>
      </c>
      <c r="D3057" s="101">
        <v>46141</v>
      </c>
      <c r="E3057" s="79" t="s">
        <v>13</v>
      </c>
      <c r="F3057" s="79" t="s">
        <v>83</v>
      </c>
      <c r="G3057" s="79"/>
      <c r="H3057" s="79" t="s">
        <v>211</v>
      </c>
    </row>
    <row r="3058" spans="1:8">
      <c r="A3058" s="79" t="str">
        <f>LeaveData[[#This Row],[ EMP ID]]&amp;LeaveData[[#This Row],[Date]]</f>
        <v>20260102346142</v>
      </c>
      <c r="B3058" s="92">
        <v>202601023</v>
      </c>
      <c r="C3058" s="92" t="s">
        <v>1621</v>
      </c>
      <c r="D3058" s="101">
        <v>46142</v>
      </c>
      <c r="E3058" s="79" t="s">
        <v>13</v>
      </c>
      <c r="F3058" s="79" t="s">
        <v>83</v>
      </c>
      <c r="G3058" s="79"/>
      <c r="H3058" s="79" t="s">
        <v>211</v>
      </c>
    </row>
    <row r="3059" spans="1:8">
      <c r="A3059" s="79" t="str">
        <f>LeaveData[[#This Row],[ EMP ID]]&amp;LeaveData[[#This Row],[Date]]</f>
        <v>20260102346143</v>
      </c>
      <c r="B3059" s="92">
        <v>202601023</v>
      </c>
      <c r="C3059" s="92" t="s">
        <v>1621</v>
      </c>
      <c r="D3059" s="101">
        <v>46143</v>
      </c>
      <c r="E3059" s="79" t="s">
        <v>13</v>
      </c>
      <c r="F3059" s="79" t="s">
        <v>83</v>
      </c>
      <c r="G3059" s="79"/>
      <c r="H3059" s="79" t="s">
        <v>211</v>
      </c>
    </row>
    <row r="3060" spans="1:8">
      <c r="A3060" s="79" t="str">
        <f>LeaveData[[#This Row],[ EMP ID]]&amp;LeaveData[[#This Row],[Date]]</f>
        <v>20260102346144</v>
      </c>
      <c r="B3060" s="92">
        <v>202601023</v>
      </c>
      <c r="C3060" s="92" t="s">
        <v>1621</v>
      </c>
      <c r="D3060" s="101">
        <v>46144</v>
      </c>
      <c r="E3060" s="79" t="s">
        <v>13</v>
      </c>
      <c r="F3060" s="79" t="s">
        <v>83</v>
      </c>
      <c r="G3060" s="79"/>
      <c r="H3060" s="79" t="s">
        <v>211</v>
      </c>
    </row>
    <row r="3061" spans="1:8">
      <c r="A3061" s="79" t="str">
        <f>LeaveData[[#This Row],[ EMP ID]]&amp;LeaveData[[#This Row],[Date]]</f>
        <v>20260102346146</v>
      </c>
      <c r="B3061" s="92">
        <v>202601023</v>
      </c>
      <c r="C3061" s="92" t="s">
        <v>1621</v>
      </c>
      <c r="D3061" s="101">
        <v>46146</v>
      </c>
      <c r="E3061" s="79" t="s">
        <v>13</v>
      </c>
      <c r="F3061" s="79" t="s">
        <v>83</v>
      </c>
      <c r="G3061" s="79"/>
      <c r="H3061" s="79" t="s">
        <v>211</v>
      </c>
    </row>
    <row r="3062" spans="1:8">
      <c r="A3062" s="79" t="str">
        <f>LeaveData[[#This Row],[ EMP ID]]&amp;LeaveData[[#This Row],[Date]]</f>
        <v>20260102346147</v>
      </c>
      <c r="B3062" s="92">
        <v>202601023</v>
      </c>
      <c r="C3062" s="92" t="s">
        <v>1621</v>
      </c>
      <c r="D3062" s="101">
        <v>46147</v>
      </c>
      <c r="E3062" s="79" t="s">
        <v>13</v>
      </c>
      <c r="F3062" s="79" t="s">
        <v>83</v>
      </c>
      <c r="G3062" s="79"/>
      <c r="H3062" s="79" t="s">
        <v>211</v>
      </c>
    </row>
    <row r="3063" spans="1:8">
      <c r="A3063" s="79" t="str">
        <f>LeaveData[[#This Row],[ EMP ID]]&amp;LeaveData[[#This Row],[Date]]</f>
        <v>20260102346148</v>
      </c>
      <c r="B3063" s="92">
        <v>202601023</v>
      </c>
      <c r="C3063" s="92" t="s">
        <v>1621</v>
      </c>
      <c r="D3063" s="101">
        <v>46148</v>
      </c>
      <c r="E3063" s="79" t="s">
        <v>13</v>
      </c>
      <c r="F3063" s="79" t="s">
        <v>83</v>
      </c>
      <c r="G3063" s="79"/>
      <c r="H3063" s="79" t="s">
        <v>211</v>
      </c>
    </row>
    <row r="3064" spans="1:8">
      <c r="A3064" s="79" t="str">
        <f>LeaveData[[#This Row],[ EMP ID]]&amp;LeaveData[[#This Row],[Date]]</f>
        <v>20260102346149</v>
      </c>
      <c r="B3064" s="92">
        <v>202601023</v>
      </c>
      <c r="C3064" s="92" t="s">
        <v>1621</v>
      </c>
      <c r="D3064" s="101">
        <v>46149</v>
      </c>
      <c r="E3064" s="79" t="s">
        <v>13</v>
      </c>
      <c r="F3064" s="79" t="s">
        <v>83</v>
      </c>
      <c r="G3064" s="79"/>
      <c r="H3064" s="79" t="s">
        <v>211</v>
      </c>
    </row>
    <row r="3065" spans="1:8">
      <c r="A3065" s="79" t="str">
        <f>LeaveData[[#This Row],[ EMP ID]]&amp;LeaveData[[#This Row],[Date]]</f>
        <v>20260102346150</v>
      </c>
      <c r="B3065" s="92">
        <v>202601023</v>
      </c>
      <c r="C3065" s="92" t="s">
        <v>1621</v>
      </c>
      <c r="D3065" s="101">
        <v>46150</v>
      </c>
      <c r="E3065" s="79" t="s">
        <v>13</v>
      </c>
      <c r="F3065" s="79" t="s">
        <v>83</v>
      </c>
      <c r="G3065" s="79"/>
      <c r="H3065" s="79" t="s">
        <v>211</v>
      </c>
    </row>
    <row r="3066" spans="1:8">
      <c r="A3066" s="79" t="str">
        <f>LeaveData[[#This Row],[ EMP ID]]&amp;LeaveData[[#This Row],[Date]]</f>
        <v>20260102346153</v>
      </c>
      <c r="B3066" s="92">
        <v>202601023</v>
      </c>
      <c r="C3066" s="92" t="s">
        <v>1621</v>
      </c>
      <c r="D3066" s="101">
        <v>46153</v>
      </c>
      <c r="E3066" s="79" t="s">
        <v>13</v>
      </c>
      <c r="F3066" s="79" t="s">
        <v>83</v>
      </c>
      <c r="G3066" s="79"/>
      <c r="H3066" s="79" t="s">
        <v>211</v>
      </c>
    </row>
    <row r="3067" spans="1:8">
      <c r="A3067" s="79" t="str">
        <f>LeaveData[[#This Row],[ EMP ID]]&amp;LeaveData[[#This Row],[Date]]</f>
        <v>20260102346154</v>
      </c>
      <c r="B3067" s="92">
        <v>202601023</v>
      </c>
      <c r="C3067" s="92" t="s">
        <v>1621</v>
      </c>
      <c r="D3067" s="101">
        <v>46154</v>
      </c>
      <c r="E3067" s="79" t="s">
        <v>13</v>
      </c>
      <c r="F3067" s="79" t="s">
        <v>83</v>
      </c>
      <c r="G3067" s="79"/>
      <c r="H3067" s="79" t="s">
        <v>211</v>
      </c>
    </row>
    <row r="3068" spans="1:8">
      <c r="A3068" s="79" t="str">
        <f>LeaveData[[#This Row],[ EMP ID]]&amp;LeaveData[[#This Row],[Date]]</f>
        <v>20242001546107</v>
      </c>
      <c r="B3068" s="92">
        <v>202420015</v>
      </c>
      <c r="C3068" s="92" t="s">
        <v>64</v>
      </c>
      <c r="D3068" s="101">
        <v>46107</v>
      </c>
      <c r="E3068" s="79" t="s">
        <v>12</v>
      </c>
      <c r="F3068" s="79" t="s">
        <v>114</v>
      </c>
      <c r="G3068" s="79"/>
      <c r="H3068" s="79" t="s">
        <v>416</v>
      </c>
    </row>
    <row r="3069" spans="1:8">
      <c r="A3069" s="79" t="str">
        <f>LeaveData[[#This Row],[ EMP ID]]&amp;LeaveData[[#This Row],[Date]]</f>
        <v>20250102046132</v>
      </c>
      <c r="B3069" s="92">
        <v>202501020</v>
      </c>
      <c r="C3069" s="92" t="s">
        <v>1468</v>
      </c>
      <c r="D3069" s="101">
        <v>46132</v>
      </c>
      <c r="E3069" s="79" t="s">
        <v>16</v>
      </c>
      <c r="F3069" s="79" t="s">
        <v>246</v>
      </c>
      <c r="G3069" s="79"/>
      <c r="H3069" s="79" t="s">
        <v>1634</v>
      </c>
    </row>
    <row r="3070" spans="1:8">
      <c r="A3070" s="79" t="str">
        <f>LeaveData[[#This Row],[ EMP ID]]&amp;LeaveData[[#This Row],[Date]]</f>
        <v>20250102046133</v>
      </c>
      <c r="B3070" s="92">
        <v>202501020</v>
      </c>
      <c r="C3070" s="92" t="s">
        <v>1468</v>
      </c>
      <c r="D3070" s="101">
        <v>46133</v>
      </c>
      <c r="E3070" s="79" t="s">
        <v>16</v>
      </c>
      <c r="F3070" s="79" t="s">
        <v>246</v>
      </c>
      <c r="G3070" s="79"/>
      <c r="H3070" s="79" t="s">
        <v>1634</v>
      </c>
    </row>
    <row r="3071" spans="1:8">
      <c r="A3071" s="79" t="str">
        <f>LeaveData[[#This Row],[ EMP ID]]&amp;LeaveData[[#This Row],[Date]]</f>
        <v>20250102046134</v>
      </c>
      <c r="B3071" s="92">
        <v>202501020</v>
      </c>
      <c r="C3071" s="92" t="s">
        <v>1468</v>
      </c>
      <c r="D3071" s="101">
        <v>46134</v>
      </c>
      <c r="E3071" s="79" t="s">
        <v>16</v>
      </c>
      <c r="F3071" s="79" t="s">
        <v>246</v>
      </c>
      <c r="G3071" s="79"/>
      <c r="H3071" s="79" t="s">
        <v>1634</v>
      </c>
    </row>
    <row r="3072" spans="1:8">
      <c r="A3072" s="79" t="str">
        <f>LeaveData[[#This Row],[ EMP ID]]&amp;LeaveData[[#This Row],[Date]]</f>
        <v>20250102046135</v>
      </c>
      <c r="B3072" s="92">
        <v>202501020</v>
      </c>
      <c r="C3072" s="92" t="s">
        <v>1468</v>
      </c>
      <c r="D3072" s="101">
        <v>46135</v>
      </c>
      <c r="E3072" s="79" t="s">
        <v>12</v>
      </c>
      <c r="F3072" s="79" t="s">
        <v>246</v>
      </c>
      <c r="G3072" s="79"/>
      <c r="H3072" s="79" t="s">
        <v>1653</v>
      </c>
    </row>
    <row r="3073" spans="1:8">
      <c r="A3073" s="79" t="str">
        <f>LeaveData[[#This Row],[ EMP ID]]&amp;LeaveData[[#This Row],[Date]]</f>
        <v>20250102046136</v>
      </c>
      <c r="B3073" s="92">
        <v>202501020</v>
      </c>
      <c r="C3073" s="92" t="s">
        <v>1468</v>
      </c>
      <c r="D3073" s="101">
        <v>46136</v>
      </c>
      <c r="E3073" s="79" t="s">
        <v>13</v>
      </c>
      <c r="F3073" s="79" t="s">
        <v>246</v>
      </c>
      <c r="G3073" s="79"/>
      <c r="H3073" s="79" t="s">
        <v>1634</v>
      </c>
    </row>
    <row r="3074" spans="1:8">
      <c r="A3074" s="79" t="str">
        <f>LeaveData[[#This Row],[ EMP ID]]&amp;LeaveData[[#This Row],[Date]]</f>
        <v>20250102046137</v>
      </c>
      <c r="B3074" s="92">
        <v>202501020</v>
      </c>
      <c r="C3074" s="92" t="s">
        <v>1468</v>
      </c>
      <c r="D3074" s="101">
        <v>46137</v>
      </c>
      <c r="E3074" s="79" t="s">
        <v>13</v>
      </c>
      <c r="F3074" s="79" t="s">
        <v>246</v>
      </c>
      <c r="G3074" s="79"/>
      <c r="H3074" s="79" t="s">
        <v>1634</v>
      </c>
    </row>
    <row r="3075" spans="1:8">
      <c r="A3075" s="79" t="str">
        <f>LeaveData[[#This Row],[ EMP ID]]&amp;LeaveData[[#This Row],[Date]]</f>
        <v>20211800846112</v>
      </c>
      <c r="B3075" s="92">
        <v>202118008</v>
      </c>
      <c r="C3075" s="92" t="s">
        <v>25</v>
      </c>
      <c r="D3075" s="101">
        <v>46112</v>
      </c>
      <c r="E3075" s="79" t="s">
        <v>13</v>
      </c>
      <c r="F3075" s="79" t="s">
        <v>104</v>
      </c>
      <c r="G3075" s="79"/>
      <c r="H3075" s="79" t="s">
        <v>1635</v>
      </c>
    </row>
    <row r="3076" spans="1:8">
      <c r="A3076" s="79" t="str">
        <f>LeaveData[[#This Row],[ EMP ID]]&amp;LeaveData[[#This Row],[Date]]</f>
        <v>20211800846113</v>
      </c>
      <c r="B3076" s="92">
        <v>202118008</v>
      </c>
      <c r="C3076" s="92" t="s">
        <v>25</v>
      </c>
      <c r="D3076" s="101">
        <v>46113</v>
      </c>
      <c r="E3076" s="79" t="s">
        <v>13</v>
      </c>
      <c r="F3076" s="79" t="s">
        <v>104</v>
      </c>
      <c r="G3076" s="79"/>
      <c r="H3076" s="79" t="s">
        <v>1635</v>
      </c>
    </row>
    <row r="3077" spans="1:8">
      <c r="A3077" s="79" t="str">
        <f>LeaveData[[#This Row],[ EMP ID]]&amp;LeaveData[[#This Row],[Date]]</f>
        <v>20211800846114</v>
      </c>
      <c r="B3077" s="92">
        <v>202118008</v>
      </c>
      <c r="C3077" s="92" t="s">
        <v>25</v>
      </c>
      <c r="D3077" s="101">
        <v>46114</v>
      </c>
      <c r="E3077" s="79" t="s">
        <v>13</v>
      </c>
      <c r="F3077" s="79" t="s">
        <v>104</v>
      </c>
      <c r="G3077" s="79"/>
      <c r="H3077" s="79" t="s">
        <v>1635</v>
      </c>
    </row>
    <row r="3078" spans="1:8">
      <c r="A3078" s="79" t="str">
        <f>LeaveData[[#This Row],[ EMP ID]]&amp;LeaveData[[#This Row],[Date]]</f>
        <v>20231801946105</v>
      </c>
      <c r="B3078" s="79">
        <v>202318019</v>
      </c>
      <c r="C3078" s="79" t="s">
        <v>89</v>
      </c>
      <c r="D3078" s="101">
        <v>46105</v>
      </c>
      <c r="E3078" s="79" t="s">
        <v>195</v>
      </c>
      <c r="F3078" s="79" t="s">
        <v>45</v>
      </c>
      <c r="G3078" s="79"/>
      <c r="H3078" s="79" t="s">
        <v>196</v>
      </c>
    </row>
    <row r="3079" spans="1:8">
      <c r="A3079" s="79" t="str">
        <f>LeaveData[[#This Row],[ EMP ID]]&amp;LeaveData[[#This Row],[Date]]</f>
        <v>20262001546083</v>
      </c>
      <c r="B3079" s="92">
        <v>202620015</v>
      </c>
      <c r="C3079" s="92" t="s">
        <v>1636</v>
      </c>
      <c r="D3079" s="101">
        <v>46083</v>
      </c>
      <c r="E3079" s="79" t="s">
        <v>199</v>
      </c>
      <c r="F3079" s="79" t="s">
        <v>29</v>
      </c>
      <c r="G3079" s="79"/>
      <c r="H3079" s="79" t="s">
        <v>1637</v>
      </c>
    </row>
    <row r="3080" spans="1:8">
      <c r="A3080" s="79" t="str">
        <f>LeaveData[[#This Row],[ EMP ID]]&amp;LeaveData[[#This Row],[Date]]</f>
        <v>20261805146083</v>
      </c>
      <c r="B3080" s="92">
        <v>202618051</v>
      </c>
      <c r="C3080" s="92" t="s">
        <v>1638</v>
      </c>
      <c r="D3080" s="101">
        <v>46083</v>
      </c>
      <c r="E3080" s="79" t="s">
        <v>199</v>
      </c>
      <c r="F3080" s="79" t="s">
        <v>106</v>
      </c>
      <c r="G3080" s="79"/>
      <c r="H3080" s="79" t="s">
        <v>1637</v>
      </c>
    </row>
    <row r="3081" spans="1:8">
      <c r="A3081" s="79" t="str">
        <f>LeaveData[[#This Row],[ EMP ID]]&amp;LeaveData[[#This Row],[Date]]</f>
        <v>20250100946081</v>
      </c>
      <c r="B3081" s="79">
        <v>202501009</v>
      </c>
      <c r="C3081" s="79" t="s">
        <v>1369</v>
      </c>
      <c r="D3081" s="101">
        <v>46081</v>
      </c>
      <c r="E3081" s="79" t="s">
        <v>195</v>
      </c>
      <c r="F3081" s="79" t="s">
        <v>235</v>
      </c>
      <c r="G3081" s="79"/>
      <c r="H3081" s="79" t="s">
        <v>196</v>
      </c>
    </row>
    <row r="3082" spans="1:8">
      <c r="A3082" s="79" t="str">
        <f>LeaveData[[#This Row],[ EMP ID]]&amp;LeaveData[[#This Row],[Date]]</f>
        <v>20250102246081</v>
      </c>
      <c r="B3082" s="92">
        <v>202501022</v>
      </c>
      <c r="C3082" s="92" t="s">
        <v>1492</v>
      </c>
      <c r="D3082" s="101">
        <v>46081</v>
      </c>
      <c r="E3082" s="79" t="s">
        <v>195</v>
      </c>
      <c r="F3082" s="79" t="s">
        <v>45</v>
      </c>
      <c r="G3082" s="79"/>
      <c r="H3082" s="79" t="s">
        <v>211</v>
      </c>
    </row>
    <row r="3083" spans="1:8">
      <c r="A3083" s="79" t="str">
        <f>LeaveData[[#This Row],[ EMP ID]]&amp;LeaveData[[#This Row],[Date]]</f>
        <v>20182000146114</v>
      </c>
      <c r="B3083" s="92">
        <v>201820001</v>
      </c>
      <c r="C3083" s="92" t="s">
        <v>18</v>
      </c>
      <c r="D3083" s="101">
        <v>46114</v>
      </c>
      <c r="E3083" s="79" t="s">
        <v>12</v>
      </c>
      <c r="F3083" s="79" t="s">
        <v>104</v>
      </c>
      <c r="G3083" s="79"/>
      <c r="H3083" s="79" t="s">
        <v>416</v>
      </c>
    </row>
    <row r="3084" spans="1:8">
      <c r="A3084" s="79" t="str">
        <f>LeaveData[[#This Row],[ EMP ID]]&amp;LeaveData[[#This Row],[Date]]</f>
        <v>20241803346115</v>
      </c>
      <c r="B3084" s="92">
        <v>202418033</v>
      </c>
      <c r="C3084" s="92" t="s">
        <v>65</v>
      </c>
      <c r="D3084" s="101">
        <v>46115</v>
      </c>
      <c r="E3084" s="79" t="s">
        <v>13</v>
      </c>
      <c r="F3084" s="79" t="s">
        <v>128</v>
      </c>
      <c r="G3084" s="79"/>
      <c r="H3084" s="79" t="s">
        <v>1639</v>
      </c>
    </row>
    <row r="3085" spans="1:8">
      <c r="A3085" s="79" t="str">
        <f>LeaveData[[#This Row],[ EMP ID]]&amp;LeaveData[[#This Row],[Date]]</f>
        <v>20250101646118</v>
      </c>
      <c r="B3085" s="92">
        <v>202501016</v>
      </c>
      <c r="C3085" s="92" t="s">
        <v>1430</v>
      </c>
      <c r="D3085" s="101">
        <v>46118</v>
      </c>
      <c r="E3085" s="79" t="s">
        <v>16</v>
      </c>
      <c r="F3085" s="79" t="s">
        <v>246</v>
      </c>
      <c r="G3085" s="79"/>
      <c r="H3085" s="79" t="s">
        <v>416</v>
      </c>
    </row>
    <row r="3086" spans="1:8">
      <c r="A3086" s="79" t="str">
        <f>LeaveData[[#This Row],[ EMP ID]]&amp;LeaveData[[#This Row],[Date]]</f>
        <v>20250100846118</v>
      </c>
      <c r="B3086" s="92">
        <v>202501008</v>
      </c>
      <c r="C3086" s="92" t="s">
        <v>1368</v>
      </c>
      <c r="D3086" s="101">
        <v>46118</v>
      </c>
      <c r="E3086" s="79" t="s">
        <v>16</v>
      </c>
      <c r="F3086" s="79" t="s">
        <v>246</v>
      </c>
      <c r="G3086" s="79"/>
      <c r="H3086" s="79" t="s">
        <v>1640</v>
      </c>
    </row>
    <row r="3087" spans="1:8">
      <c r="A3087" s="79" t="str">
        <f>LeaveData[[#This Row],[ EMP ID]]&amp;LeaveData[[#This Row],[Date]]</f>
        <v>20250100846119</v>
      </c>
      <c r="B3087" s="92">
        <v>202501008</v>
      </c>
      <c r="C3087" s="92" t="s">
        <v>1368</v>
      </c>
      <c r="D3087" s="101">
        <v>46119</v>
      </c>
      <c r="E3087" s="79" t="s">
        <v>16</v>
      </c>
      <c r="F3087" s="79" t="s">
        <v>246</v>
      </c>
      <c r="G3087" s="79"/>
      <c r="H3087" s="79" t="s">
        <v>1640</v>
      </c>
    </row>
    <row r="3088" spans="1:8">
      <c r="A3088" s="79" t="str">
        <f>LeaveData[[#This Row],[ EMP ID]]&amp;LeaveData[[#This Row],[Date]]</f>
        <v>20242100146118</v>
      </c>
      <c r="B3088" s="92">
        <v>202421001</v>
      </c>
      <c r="C3088" s="92" t="s">
        <v>221</v>
      </c>
      <c r="D3088" s="101">
        <v>46118</v>
      </c>
      <c r="E3088" s="79" t="s">
        <v>12</v>
      </c>
      <c r="F3088" s="79" t="s">
        <v>29</v>
      </c>
      <c r="G3088" s="79"/>
      <c r="H3088" s="79" t="s">
        <v>416</v>
      </c>
    </row>
    <row r="3089" spans="1:8">
      <c r="A3089" s="79" t="str">
        <f>LeaveData[[#This Row],[ EMP ID]]&amp;LeaveData[[#This Row],[Date]]</f>
        <v>20242100246118</v>
      </c>
      <c r="B3089" s="124">
        <v>202421002</v>
      </c>
      <c r="C3089" s="122" t="s">
        <v>223</v>
      </c>
      <c r="D3089" s="101">
        <v>46118</v>
      </c>
      <c r="E3089" s="79" t="s">
        <v>13</v>
      </c>
      <c r="F3089" s="79" t="s">
        <v>29</v>
      </c>
      <c r="G3089" s="79"/>
      <c r="H3089" s="79" t="s">
        <v>1641</v>
      </c>
    </row>
    <row r="3090" spans="1:8">
      <c r="A3090" s="79" t="str">
        <f>LeaveData[[#This Row],[ EMP ID]]&amp;LeaveData[[#This Row],[Date]]</f>
        <v>20242001546118</v>
      </c>
      <c r="B3090" s="92">
        <v>202420015</v>
      </c>
      <c r="C3090" s="92" t="s">
        <v>64</v>
      </c>
      <c r="D3090" s="101">
        <v>46118</v>
      </c>
      <c r="E3090" s="79" t="s">
        <v>12</v>
      </c>
      <c r="F3090" s="79" t="s">
        <v>114</v>
      </c>
      <c r="G3090" s="79"/>
      <c r="H3090" s="79" t="s">
        <v>416</v>
      </c>
    </row>
    <row r="3091" spans="1:8">
      <c r="A3091" s="79" t="str">
        <f>LeaveData[[#This Row],[ EMP ID]]&amp;LeaveData[[#This Row],[Date]]</f>
        <v>20231802346120</v>
      </c>
      <c r="B3091" s="92">
        <v>202318023</v>
      </c>
      <c r="C3091" s="122" t="s">
        <v>148</v>
      </c>
      <c r="D3091" s="101">
        <v>46120</v>
      </c>
      <c r="E3091" s="79" t="s">
        <v>14</v>
      </c>
      <c r="F3091" s="79" t="s">
        <v>128</v>
      </c>
      <c r="G3091" s="79"/>
      <c r="H3091" s="79" t="s">
        <v>1633</v>
      </c>
    </row>
    <row r="3092" spans="1:8">
      <c r="A3092" s="79" t="str">
        <f>LeaveData[[#This Row],[ EMP ID]]&amp;LeaveData[[#This Row],[Date]]</f>
        <v>20251804646121</v>
      </c>
      <c r="B3092" s="92">
        <v>202518046</v>
      </c>
      <c r="C3092" s="122" t="s">
        <v>403</v>
      </c>
      <c r="D3092" s="101">
        <v>46121</v>
      </c>
      <c r="E3092" s="79" t="s">
        <v>13</v>
      </c>
      <c r="F3092" s="79" t="s">
        <v>43</v>
      </c>
      <c r="G3092" s="79"/>
      <c r="H3092" s="79" t="s">
        <v>168</v>
      </c>
    </row>
    <row r="3093" spans="1:8">
      <c r="A3093" s="79" t="str">
        <f>LeaveData[[#This Row],[ EMP ID]]&amp;LeaveData[[#This Row],[Date]]</f>
        <v>20251804646122</v>
      </c>
      <c r="B3093" s="92">
        <v>202518046</v>
      </c>
      <c r="C3093" s="122" t="s">
        <v>403</v>
      </c>
      <c r="D3093" s="101">
        <v>46122</v>
      </c>
      <c r="E3093" s="79" t="s">
        <v>13</v>
      </c>
      <c r="F3093" s="79" t="s">
        <v>43</v>
      </c>
      <c r="G3093" s="79"/>
      <c r="H3093" s="79" t="s">
        <v>168</v>
      </c>
    </row>
    <row r="3094" spans="1:8">
      <c r="A3094" s="79" t="str">
        <f>LeaveData[[#This Row],[ EMP ID]]&amp;LeaveData[[#This Row],[Date]]</f>
        <v>20221801146122</v>
      </c>
      <c r="B3094" s="92">
        <v>202218011</v>
      </c>
      <c r="C3094" s="92" t="s">
        <v>28</v>
      </c>
      <c r="D3094" s="101">
        <v>46122</v>
      </c>
      <c r="E3094" s="79" t="s">
        <v>13</v>
      </c>
      <c r="F3094" s="79" t="s">
        <v>246</v>
      </c>
      <c r="G3094" s="79"/>
      <c r="H3094" s="79" t="s">
        <v>1642</v>
      </c>
    </row>
    <row r="3095" spans="1:8">
      <c r="A3095" s="79" t="str">
        <f>LeaveData[[#This Row],[ EMP ID]]&amp;LeaveData[[#This Row],[Date]]</f>
        <v>20221801146125</v>
      </c>
      <c r="B3095" s="92">
        <v>202218011</v>
      </c>
      <c r="C3095" s="92" t="s">
        <v>28</v>
      </c>
      <c r="D3095" s="101">
        <v>46125</v>
      </c>
      <c r="E3095" s="79" t="s">
        <v>12</v>
      </c>
      <c r="F3095" s="79" t="s">
        <v>246</v>
      </c>
      <c r="G3095" s="79"/>
      <c r="H3095" s="79" t="s">
        <v>416</v>
      </c>
    </row>
    <row r="3096" spans="1:8">
      <c r="A3096" s="79" t="str">
        <f>LeaveData[[#This Row],[ EMP ID]]&amp;LeaveData[[#This Row],[Date]]</f>
        <v>20231801746125</v>
      </c>
      <c r="B3096" s="92">
        <v>202318017</v>
      </c>
      <c r="C3096" s="92" t="s">
        <v>37</v>
      </c>
      <c r="D3096" s="101">
        <v>46125</v>
      </c>
      <c r="E3096" s="79" t="s">
        <v>15</v>
      </c>
      <c r="F3096" s="79" t="s">
        <v>1365</v>
      </c>
      <c r="G3096" s="79"/>
      <c r="H3096" s="79" t="s">
        <v>416</v>
      </c>
    </row>
    <row r="3097" spans="1:8">
      <c r="A3097" s="79" t="str">
        <f>LeaveData[[#This Row],[ EMP ID]]&amp;LeaveData[[#This Row],[Date]]</f>
        <v>20221800946125</v>
      </c>
      <c r="B3097" s="92">
        <v>202218009</v>
      </c>
      <c r="C3097" s="92" t="s">
        <v>26</v>
      </c>
      <c r="D3097" s="101">
        <v>46125</v>
      </c>
      <c r="E3097" s="79" t="s">
        <v>13</v>
      </c>
      <c r="F3097" s="79" t="s">
        <v>128</v>
      </c>
      <c r="G3097" s="79"/>
      <c r="H3097" s="79" t="s">
        <v>1643</v>
      </c>
    </row>
    <row r="3098" spans="1:8">
      <c r="A3098" s="79" t="str">
        <f>LeaveData[[#This Row],[ EMP ID]]&amp;LeaveData[[#This Row],[Date]]</f>
        <v>20211800846123</v>
      </c>
      <c r="B3098" s="92">
        <v>202118008</v>
      </c>
      <c r="C3098" s="92" t="s">
        <v>25</v>
      </c>
      <c r="D3098" s="101">
        <v>46123</v>
      </c>
      <c r="E3098" s="79" t="s">
        <v>154</v>
      </c>
      <c r="F3098" s="79" t="s">
        <v>104</v>
      </c>
      <c r="G3098" s="79"/>
      <c r="H3098" s="79" t="s">
        <v>1644</v>
      </c>
    </row>
    <row r="3099" spans="1:8">
      <c r="A3099" s="79" t="str">
        <f>LeaveData[[#This Row],[ EMP ID]]&amp;LeaveData[[#This Row],[Date]]</f>
        <v>20211800846124</v>
      </c>
      <c r="B3099" s="92">
        <v>202118008</v>
      </c>
      <c r="C3099" s="92" t="s">
        <v>25</v>
      </c>
      <c r="D3099" s="101">
        <v>46124</v>
      </c>
      <c r="E3099" s="79" t="s">
        <v>154</v>
      </c>
      <c r="F3099" s="79" t="s">
        <v>104</v>
      </c>
      <c r="G3099" s="79"/>
      <c r="H3099" s="79" t="s">
        <v>1645</v>
      </c>
    </row>
    <row r="3100" spans="1:8">
      <c r="A3100" s="79" t="str">
        <f>LeaveData[[#This Row],[ EMP ID]]&amp;LeaveData[[#This Row],[Date]]</f>
        <v>20241804246123</v>
      </c>
      <c r="B3100" s="92">
        <v>202418042</v>
      </c>
      <c r="C3100" s="92" t="s">
        <v>402</v>
      </c>
      <c r="D3100" s="101">
        <v>46123</v>
      </c>
      <c r="E3100" s="79" t="s">
        <v>154</v>
      </c>
      <c r="F3100" s="79" t="s">
        <v>246</v>
      </c>
      <c r="G3100" s="79"/>
      <c r="H3100" s="79" t="s">
        <v>1646</v>
      </c>
    </row>
    <row r="3101" spans="1:8">
      <c r="A3101" s="79" t="str">
        <f>LeaveData[[#This Row],[ EMP ID]]&amp;LeaveData[[#This Row],[Date]]</f>
        <v>20231802046125</v>
      </c>
      <c r="B3101" s="92">
        <v>202318020</v>
      </c>
      <c r="C3101" s="92" t="s">
        <v>43</v>
      </c>
      <c r="D3101" s="101">
        <v>46125</v>
      </c>
      <c r="E3101" s="79" t="s">
        <v>12</v>
      </c>
      <c r="F3101" s="79" t="s">
        <v>104</v>
      </c>
      <c r="G3101" s="79"/>
      <c r="H3101" s="79" t="s">
        <v>416</v>
      </c>
    </row>
    <row r="3102" spans="1:8">
      <c r="A3102" s="79" t="str">
        <f>LeaveData[[#This Row],[ EMP ID]]&amp;LeaveData[[#This Row],[Date]]</f>
        <v>20242001546125</v>
      </c>
      <c r="B3102" s="92">
        <v>202420015</v>
      </c>
      <c r="C3102" s="92" t="s">
        <v>64</v>
      </c>
      <c r="D3102" s="101">
        <v>46125</v>
      </c>
      <c r="E3102" s="79" t="s">
        <v>13</v>
      </c>
      <c r="F3102" s="79" t="s">
        <v>125</v>
      </c>
      <c r="G3102" s="79"/>
      <c r="H3102" s="79" t="s">
        <v>1647</v>
      </c>
    </row>
    <row r="3103" spans="1:8">
      <c r="A3103" s="79" t="str">
        <f>LeaveData[[#This Row],[ EMP ID]]&amp;LeaveData[[#This Row],[Date]]</f>
        <v>20242001546126</v>
      </c>
      <c r="B3103" s="92">
        <v>202420015</v>
      </c>
      <c r="C3103" s="92" t="s">
        <v>64</v>
      </c>
      <c r="D3103" s="101">
        <v>46126</v>
      </c>
      <c r="E3103" s="79" t="s">
        <v>13</v>
      </c>
      <c r="F3103" s="79" t="s">
        <v>125</v>
      </c>
      <c r="G3103" s="79"/>
      <c r="H3103" s="79" t="s">
        <v>1647</v>
      </c>
    </row>
    <row r="3104" spans="1:8">
      <c r="A3104" s="79" t="str">
        <f>LeaveData[[#This Row],[ EMP ID]]&amp;LeaveData[[#This Row],[Date]]</f>
        <v>20231802646133</v>
      </c>
      <c r="B3104" s="92">
        <v>202318026</v>
      </c>
      <c r="C3104" s="122" t="s">
        <v>53</v>
      </c>
      <c r="D3104" s="101">
        <v>46133</v>
      </c>
      <c r="E3104" s="79" t="s">
        <v>13</v>
      </c>
      <c r="F3104" s="79" t="s">
        <v>246</v>
      </c>
      <c r="G3104" s="79"/>
      <c r="H3104" s="79" t="s">
        <v>416</v>
      </c>
    </row>
    <row r="3105" spans="1:8">
      <c r="A3105" s="79" t="str">
        <f>LeaveData[[#This Row],[ EMP ID]]&amp;LeaveData[[#This Row],[Date]]</f>
        <v>20231802646135</v>
      </c>
      <c r="B3105" s="92">
        <v>202318026</v>
      </c>
      <c r="C3105" s="122" t="s">
        <v>53</v>
      </c>
      <c r="D3105" s="101">
        <v>46135</v>
      </c>
      <c r="E3105" s="79" t="s">
        <v>13</v>
      </c>
      <c r="F3105" s="79" t="s">
        <v>246</v>
      </c>
      <c r="G3105" s="79"/>
      <c r="H3105" s="79" t="s">
        <v>416</v>
      </c>
    </row>
    <row r="3106" spans="1:8">
      <c r="A3106" s="79" t="str">
        <f>LeaveData[[#This Row],[ EMP ID]]&amp;LeaveData[[#This Row],[Date]]</f>
        <v>20231802646136</v>
      </c>
      <c r="B3106" s="92">
        <v>202318026</v>
      </c>
      <c r="C3106" s="122" t="s">
        <v>53</v>
      </c>
      <c r="D3106" s="101">
        <v>46136</v>
      </c>
      <c r="E3106" s="79" t="s">
        <v>13</v>
      </c>
      <c r="F3106" s="79" t="s">
        <v>246</v>
      </c>
      <c r="G3106" s="79"/>
      <c r="H3106" s="79" t="s">
        <v>416</v>
      </c>
    </row>
    <row r="3107" spans="1:8">
      <c r="A3107" s="79" t="str">
        <f>LeaveData[[#This Row],[ EMP ID]]&amp;LeaveData[[#This Row],[Date]]</f>
        <v>20182000146127</v>
      </c>
      <c r="B3107" s="92">
        <v>201820001</v>
      </c>
      <c r="C3107" s="92" t="s">
        <v>18</v>
      </c>
      <c r="D3107" s="101">
        <v>46127</v>
      </c>
      <c r="E3107" s="79" t="s">
        <v>13</v>
      </c>
      <c r="F3107" s="79" t="s">
        <v>104</v>
      </c>
      <c r="G3107" s="79"/>
      <c r="H3107" s="79" t="s">
        <v>1347</v>
      </c>
    </row>
    <row r="3108" spans="1:8">
      <c r="A3108" s="79" t="str">
        <f>LeaveData[[#This Row],[ EMP ID]]&amp;LeaveData[[#This Row],[Date]]</f>
        <v>20231801846121</v>
      </c>
      <c r="B3108" s="92">
        <v>202318018</v>
      </c>
      <c r="C3108" s="92" t="s">
        <v>40</v>
      </c>
      <c r="D3108" s="101">
        <v>46121</v>
      </c>
      <c r="E3108" s="79" t="s">
        <v>1433</v>
      </c>
      <c r="F3108" s="79" t="s">
        <v>125</v>
      </c>
      <c r="G3108" s="79"/>
      <c r="H3108" s="79" t="s">
        <v>1548</v>
      </c>
    </row>
    <row r="3109" spans="1:8">
      <c r="A3109" s="79" t="str">
        <f>LeaveData[[#This Row],[ EMP ID]]&amp;LeaveData[[#This Row],[Date]]</f>
        <v>20231801846122</v>
      </c>
      <c r="B3109" s="92">
        <v>202318018</v>
      </c>
      <c r="C3109" s="92" t="s">
        <v>40</v>
      </c>
      <c r="D3109" s="101">
        <v>46122</v>
      </c>
      <c r="E3109" s="79" t="s">
        <v>1433</v>
      </c>
      <c r="F3109" s="79" t="s">
        <v>125</v>
      </c>
      <c r="G3109" s="79"/>
      <c r="H3109" s="79" t="s">
        <v>1548</v>
      </c>
    </row>
    <row r="3110" spans="1:8">
      <c r="A3110" s="79" t="str">
        <f>LeaveData[[#This Row],[ EMP ID]]&amp;LeaveData[[#This Row],[Date]]</f>
        <v>20231801846125</v>
      </c>
      <c r="B3110" s="92">
        <v>202318018</v>
      </c>
      <c r="C3110" s="92" t="s">
        <v>40</v>
      </c>
      <c r="D3110" s="101">
        <v>46125</v>
      </c>
      <c r="E3110" s="79" t="s">
        <v>1433</v>
      </c>
      <c r="F3110" s="79" t="s">
        <v>125</v>
      </c>
      <c r="G3110" s="79"/>
      <c r="H3110" s="79" t="s">
        <v>1548</v>
      </c>
    </row>
    <row r="3111" spans="1:8">
      <c r="A3111" s="79" t="str">
        <f>LeaveData[[#This Row],[ EMP ID]]&amp;LeaveData[[#This Row],[Date]]</f>
        <v>20231801846126</v>
      </c>
      <c r="B3111" s="92">
        <v>202318018</v>
      </c>
      <c r="C3111" s="92" t="s">
        <v>40</v>
      </c>
      <c r="D3111" s="101">
        <v>46126</v>
      </c>
      <c r="E3111" s="79" t="s">
        <v>16</v>
      </c>
      <c r="F3111" s="79" t="s">
        <v>125</v>
      </c>
      <c r="G3111" s="79"/>
      <c r="H3111" s="79" t="s">
        <v>1548</v>
      </c>
    </row>
    <row r="3112" spans="1:8">
      <c r="A3112" s="79" t="str">
        <f>LeaveData[[#This Row],[ EMP ID]]&amp;LeaveData[[#This Row],[Date]]</f>
        <v>20231801846127</v>
      </c>
      <c r="B3112" s="92">
        <v>202318018</v>
      </c>
      <c r="C3112" s="92" t="s">
        <v>40</v>
      </c>
      <c r="D3112" s="101">
        <v>46127</v>
      </c>
      <c r="E3112" s="79" t="s">
        <v>16</v>
      </c>
      <c r="F3112" s="79" t="s">
        <v>125</v>
      </c>
      <c r="G3112" s="79"/>
      <c r="H3112" s="79" t="s">
        <v>1548</v>
      </c>
    </row>
    <row r="3113" spans="1:8">
      <c r="A3113" s="79" t="str">
        <f>LeaveData[[#This Row],[ EMP ID]]&amp;LeaveData[[#This Row],[Date]]</f>
        <v>20231801846128</v>
      </c>
      <c r="B3113" s="92">
        <v>202318018</v>
      </c>
      <c r="C3113" s="92" t="s">
        <v>40</v>
      </c>
      <c r="D3113" s="101">
        <v>46128</v>
      </c>
      <c r="E3113" s="79" t="s">
        <v>16</v>
      </c>
      <c r="F3113" s="79" t="s">
        <v>125</v>
      </c>
      <c r="G3113" s="79"/>
      <c r="H3113" s="79" t="s">
        <v>1548</v>
      </c>
    </row>
    <row r="3114" spans="1:8">
      <c r="A3114" s="79" t="str">
        <f>LeaveData[[#This Row],[ EMP ID]]&amp;LeaveData[[#This Row],[Date]]</f>
        <v>20231801846129</v>
      </c>
      <c r="B3114" s="92">
        <v>202318018</v>
      </c>
      <c r="C3114" s="92" t="s">
        <v>40</v>
      </c>
      <c r="D3114" s="101">
        <v>46129</v>
      </c>
      <c r="E3114" s="79" t="s">
        <v>1433</v>
      </c>
      <c r="F3114" s="79" t="s">
        <v>125</v>
      </c>
      <c r="G3114" s="79"/>
      <c r="H3114" s="79" t="s">
        <v>1548</v>
      </c>
    </row>
    <row r="3115" spans="1:8">
      <c r="A3115" s="79" t="str">
        <f>LeaveData[[#This Row],[ EMP ID]]&amp;LeaveData[[#This Row],[Date]]</f>
        <v>20231801846130</v>
      </c>
      <c r="B3115" s="92">
        <v>202318018</v>
      </c>
      <c r="C3115" s="92" t="s">
        <v>40</v>
      </c>
      <c r="D3115" s="101">
        <v>46130</v>
      </c>
      <c r="E3115" s="79" t="s">
        <v>1433</v>
      </c>
      <c r="F3115" s="79" t="s">
        <v>125</v>
      </c>
      <c r="G3115" s="79"/>
      <c r="H3115" s="79" t="s">
        <v>1548</v>
      </c>
    </row>
    <row r="3116" spans="1:8">
      <c r="A3116" s="79" t="str">
        <f>LeaveData[[#This Row],[ EMP ID]]&amp;LeaveData[[#This Row],[Date]]</f>
        <v>20231801846132</v>
      </c>
      <c r="B3116" s="92">
        <v>202318018</v>
      </c>
      <c r="C3116" s="92" t="s">
        <v>40</v>
      </c>
      <c r="D3116" s="101">
        <v>46132</v>
      </c>
      <c r="E3116" s="79" t="s">
        <v>16</v>
      </c>
      <c r="F3116" s="79" t="s">
        <v>125</v>
      </c>
      <c r="G3116" s="79"/>
      <c r="H3116" s="79" t="s">
        <v>1548</v>
      </c>
    </row>
    <row r="3117" spans="1:8">
      <c r="A3117" s="79" t="str">
        <f>LeaveData[[#This Row],[ EMP ID]]&amp;LeaveData[[#This Row],[Date]]</f>
        <v>20232000746125</v>
      </c>
      <c r="B3117" s="92">
        <v>202320007</v>
      </c>
      <c r="C3117" s="92" t="s">
        <v>183</v>
      </c>
      <c r="D3117" s="101">
        <v>46125</v>
      </c>
      <c r="E3117" s="79" t="s">
        <v>13</v>
      </c>
      <c r="F3117" s="79" t="s">
        <v>114</v>
      </c>
      <c r="G3117" s="79"/>
      <c r="H3117" s="79" t="s">
        <v>1648</v>
      </c>
    </row>
    <row r="3118" spans="1:8">
      <c r="A3118" s="79" t="str">
        <f>LeaveData[[#This Row],[ EMP ID]]&amp;LeaveData[[#This Row],[Date]]</f>
        <v>20232000746126</v>
      </c>
      <c r="B3118" s="92">
        <v>202320007</v>
      </c>
      <c r="C3118" s="92" t="s">
        <v>183</v>
      </c>
      <c r="D3118" s="101">
        <v>46126</v>
      </c>
      <c r="E3118" s="79" t="s">
        <v>13</v>
      </c>
      <c r="F3118" s="79" t="s">
        <v>114</v>
      </c>
      <c r="G3118" s="79"/>
      <c r="H3118" s="79" t="s">
        <v>1648</v>
      </c>
    </row>
    <row r="3119" spans="1:8">
      <c r="A3119" s="79" t="str">
        <f>LeaveData[[#This Row],[ EMP ID]]&amp;LeaveData[[#This Row],[Date]]</f>
        <v>20232000746127</v>
      </c>
      <c r="B3119" s="92">
        <v>202320007</v>
      </c>
      <c r="C3119" s="92" t="s">
        <v>183</v>
      </c>
      <c r="D3119" s="101">
        <v>46127</v>
      </c>
      <c r="E3119" s="79" t="s">
        <v>13</v>
      </c>
      <c r="F3119" s="79" t="s">
        <v>114</v>
      </c>
      <c r="G3119" s="79"/>
      <c r="H3119" s="79" t="s">
        <v>1648</v>
      </c>
    </row>
    <row r="3120" spans="1:8">
      <c r="A3120" s="79" t="str">
        <f>LeaveData[[#This Row],[ EMP ID]]&amp;LeaveData[[#This Row],[Date]]</f>
        <v>20232000746128</v>
      </c>
      <c r="B3120" s="92">
        <v>202320007</v>
      </c>
      <c r="C3120" s="92" t="s">
        <v>183</v>
      </c>
      <c r="D3120" s="101">
        <v>46128</v>
      </c>
      <c r="E3120" s="79" t="s">
        <v>13</v>
      </c>
      <c r="F3120" s="79" t="s">
        <v>114</v>
      </c>
      <c r="G3120" s="79"/>
      <c r="H3120" s="79" t="s">
        <v>1648</v>
      </c>
    </row>
    <row r="3121" spans="1:8">
      <c r="A3121" s="79" t="str">
        <f>LeaveData[[#This Row],[ EMP ID]]&amp;LeaveData[[#This Row],[Date]]</f>
        <v>20260102446132</v>
      </c>
      <c r="B3121" s="92">
        <v>202601024</v>
      </c>
      <c r="C3121" s="92" t="s">
        <v>1622</v>
      </c>
      <c r="D3121" s="101">
        <v>46132</v>
      </c>
      <c r="E3121" s="79" t="s">
        <v>14</v>
      </c>
      <c r="F3121" s="79" t="s">
        <v>246</v>
      </c>
      <c r="G3121" s="79"/>
      <c r="H3121" s="79" t="s">
        <v>168</v>
      </c>
    </row>
    <row r="3122" spans="1:8">
      <c r="A3122" s="79" t="str">
        <f>LeaveData[[#This Row],[ EMP ID]]&amp;LeaveData[[#This Row],[Date]]</f>
        <v>20251804646129</v>
      </c>
      <c r="B3122" s="92">
        <v>202518046</v>
      </c>
      <c r="C3122" s="122" t="s">
        <v>403</v>
      </c>
      <c r="D3122" s="101">
        <v>46129</v>
      </c>
      <c r="E3122" s="79" t="s">
        <v>12</v>
      </c>
      <c r="F3122" s="79" t="s">
        <v>43</v>
      </c>
      <c r="G3122" s="79"/>
      <c r="H3122" s="79" t="s">
        <v>1649</v>
      </c>
    </row>
    <row r="3123" spans="1:8">
      <c r="A3123" s="79" t="str">
        <f>LeaveData[[#This Row],[ EMP ID]]&amp;LeaveData[[#This Row],[Date]]</f>
        <v>20231802846139</v>
      </c>
      <c r="B3123" s="92">
        <v>202318028</v>
      </c>
      <c r="C3123" s="122" t="s">
        <v>57</v>
      </c>
      <c r="D3123" s="101">
        <v>46139</v>
      </c>
      <c r="E3123" s="79" t="s">
        <v>13</v>
      </c>
      <c r="F3123" s="79" t="s">
        <v>104</v>
      </c>
      <c r="G3123" s="79"/>
      <c r="H3123" s="79" t="s">
        <v>168</v>
      </c>
    </row>
    <row r="3124" spans="1:8">
      <c r="A3124" s="79" t="str">
        <f>LeaveData[[#This Row],[ EMP ID]]&amp;LeaveData[[#This Row],[Date]]</f>
        <v>20241803546130</v>
      </c>
      <c r="B3124" s="92">
        <v>202418035</v>
      </c>
      <c r="C3124" s="92" t="s">
        <v>96</v>
      </c>
      <c r="D3124" s="101">
        <v>46130</v>
      </c>
      <c r="E3124" s="79" t="s">
        <v>14</v>
      </c>
      <c r="F3124" s="79" t="s">
        <v>1494</v>
      </c>
      <c r="G3124" s="79"/>
      <c r="H3124" s="79" t="s">
        <v>1650</v>
      </c>
    </row>
    <row r="3125" spans="1:8">
      <c r="A3125" s="79" t="str">
        <f>LeaveData[[#This Row],[ EMP ID]]&amp;LeaveData[[#This Row],[Date]]</f>
        <v>20241804246130</v>
      </c>
      <c r="B3125" s="92">
        <v>202418042</v>
      </c>
      <c r="C3125" s="92" t="s">
        <v>402</v>
      </c>
      <c r="D3125" s="101">
        <v>46130</v>
      </c>
      <c r="E3125" s="79" t="s">
        <v>13</v>
      </c>
      <c r="F3125" s="79" t="s">
        <v>246</v>
      </c>
      <c r="G3125" s="79"/>
      <c r="H3125" s="79" t="s">
        <v>168</v>
      </c>
    </row>
    <row r="3126" spans="1:8">
      <c r="A3126" s="79" t="str">
        <f>LeaveData[[#This Row],[ EMP ID]]&amp;LeaveData[[#This Row],[Date]]</f>
        <v>20232000746130</v>
      </c>
      <c r="B3126" s="92">
        <v>202320007</v>
      </c>
      <c r="C3126" s="92" t="s">
        <v>183</v>
      </c>
      <c r="D3126" s="101">
        <v>46130</v>
      </c>
      <c r="E3126" s="79" t="s">
        <v>12</v>
      </c>
      <c r="F3126" s="79" t="s">
        <v>114</v>
      </c>
      <c r="G3126" s="79"/>
      <c r="H3126" s="79" t="s">
        <v>416</v>
      </c>
    </row>
    <row r="3127" spans="1:8">
      <c r="A3127" s="79" t="str">
        <f>LeaveData[[#This Row],[ EMP ID]]&amp;LeaveData[[#This Row],[Date]]</f>
        <v>20231802246132</v>
      </c>
      <c r="B3127" s="79">
        <v>202318022</v>
      </c>
      <c r="C3127" s="79" t="s">
        <v>45</v>
      </c>
      <c r="D3127" s="101">
        <v>46132</v>
      </c>
      <c r="E3127" s="79" t="s">
        <v>12</v>
      </c>
      <c r="F3127" s="79" t="s">
        <v>104</v>
      </c>
      <c r="G3127" s="79"/>
      <c r="H3127" s="79" t="s">
        <v>416</v>
      </c>
    </row>
    <row r="3128" spans="1:8">
      <c r="A3128" s="79" t="str">
        <f>LeaveData[[#This Row],[ EMP ID]]&amp;LeaveData[[#This Row],[Date]]</f>
        <v>20250100846139</v>
      </c>
      <c r="B3128" s="92">
        <v>202501008</v>
      </c>
      <c r="C3128" s="92" t="s">
        <v>1368</v>
      </c>
      <c r="D3128" s="101">
        <v>46139</v>
      </c>
      <c r="E3128" s="79" t="s">
        <v>13</v>
      </c>
      <c r="F3128" s="79" t="s">
        <v>246</v>
      </c>
      <c r="G3128" s="79"/>
      <c r="H3128" s="79" t="s">
        <v>1632</v>
      </c>
    </row>
    <row r="3129" spans="1:8">
      <c r="A3129" s="79" t="str">
        <f>LeaveData[[#This Row],[ EMP ID]]&amp;LeaveData[[#This Row],[Date]]</f>
        <v>20250100846140</v>
      </c>
      <c r="B3129" s="92">
        <v>202501008</v>
      </c>
      <c r="C3129" s="92" t="s">
        <v>1368</v>
      </c>
      <c r="D3129" s="101">
        <v>46140</v>
      </c>
      <c r="E3129" s="79" t="s">
        <v>13</v>
      </c>
      <c r="F3129" s="79" t="s">
        <v>246</v>
      </c>
      <c r="G3129" s="79"/>
      <c r="H3129" s="79" t="s">
        <v>1632</v>
      </c>
    </row>
    <row r="3130" spans="1:8">
      <c r="A3130" s="79" t="str">
        <f>LeaveData[[#This Row],[ EMP ID]]&amp;LeaveData[[#This Row],[Date]]</f>
        <v>20250100846141</v>
      </c>
      <c r="B3130" s="92">
        <v>202501008</v>
      </c>
      <c r="C3130" s="92" t="s">
        <v>1368</v>
      </c>
      <c r="D3130" s="101">
        <v>46141</v>
      </c>
      <c r="E3130" s="79" t="s">
        <v>13</v>
      </c>
      <c r="F3130" s="79" t="s">
        <v>246</v>
      </c>
      <c r="G3130" s="79"/>
      <c r="H3130" s="79" t="s">
        <v>1632</v>
      </c>
    </row>
    <row r="3131" spans="1:8">
      <c r="A3131" s="79" t="str">
        <f>LeaveData[[#This Row],[ EMP ID]]&amp;LeaveData[[#This Row],[Date]]</f>
        <v>20242100246147</v>
      </c>
      <c r="B3131" s="124">
        <v>202421002</v>
      </c>
      <c r="C3131" s="122" t="s">
        <v>223</v>
      </c>
      <c r="D3131" s="101">
        <v>46147</v>
      </c>
      <c r="E3131" s="79" t="s">
        <v>16</v>
      </c>
      <c r="F3131" s="79" t="s">
        <v>29</v>
      </c>
      <c r="G3131" s="79"/>
      <c r="H3131" s="79" t="s">
        <v>1651</v>
      </c>
    </row>
    <row r="3132" spans="1:8">
      <c r="A3132" s="79" t="str">
        <f>LeaveData[[#This Row],[ EMP ID]]&amp;LeaveData[[#This Row],[Date]]</f>
        <v>20242100246148</v>
      </c>
      <c r="B3132" s="124">
        <v>202421002</v>
      </c>
      <c r="C3132" s="122" t="s">
        <v>223</v>
      </c>
      <c r="D3132" s="101">
        <v>46148</v>
      </c>
      <c r="E3132" s="79" t="s">
        <v>16</v>
      </c>
      <c r="F3132" s="79" t="s">
        <v>29</v>
      </c>
      <c r="G3132" s="79"/>
      <c r="H3132" s="79" t="s">
        <v>1651</v>
      </c>
    </row>
    <row r="3133" spans="1:8">
      <c r="A3133" s="79" t="str">
        <f>LeaveData[[#This Row],[ EMP ID]]&amp;LeaveData[[#This Row],[Date]]</f>
        <v>20242100246149</v>
      </c>
      <c r="B3133" s="124">
        <v>202421002</v>
      </c>
      <c r="C3133" s="122" t="s">
        <v>223</v>
      </c>
      <c r="D3133" s="101">
        <v>46149</v>
      </c>
      <c r="E3133" s="79" t="s">
        <v>16</v>
      </c>
      <c r="F3133" s="79" t="s">
        <v>29</v>
      </c>
      <c r="G3133" s="79"/>
      <c r="H3133" s="79" t="s">
        <v>1651</v>
      </c>
    </row>
    <row r="3134" spans="1:8">
      <c r="A3134" s="79" t="str">
        <f>LeaveData[[#This Row],[ EMP ID]]&amp;LeaveData[[#This Row],[Date]]</f>
        <v>20242100246150</v>
      </c>
      <c r="B3134" s="124">
        <v>202421002</v>
      </c>
      <c r="C3134" s="122" t="s">
        <v>223</v>
      </c>
      <c r="D3134" s="101">
        <v>46150</v>
      </c>
      <c r="E3134" s="79" t="s">
        <v>16</v>
      </c>
      <c r="F3134" s="79" t="s">
        <v>29</v>
      </c>
      <c r="G3134" s="79"/>
      <c r="H3134" s="79" t="s">
        <v>1651</v>
      </c>
    </row>
    <row r="3135" spans="1:8">
      <c r="A3135" s="79" t="str">
        <f>LeaveData[[#This Row],[ EMP ID]]&amp;LeaveData[[#This Row],[Date]]</f>
        <v>20182000146136</v>
      </c>
      <c r="B3135" s="92">
        <v>201820001</v>
      </c>
      <c r="C3135" s="92" t="s">
        <v>18</v>
      </c>
      <c r="D3135" s="101">
        <v>46136</v>
      </c>
      <c r="E3135" s="79" t="s">
        <v>12</v>
      </c>
      <c r="F3135" s="79" t="s">
        <v>83</v>
      </c>
      <c r="G3135" s="79"/>
      <c r="H3135" s="79" t="s">
        <v>416</v>
      </c>
    </row>
    <row r="3136" spans="1:8">
      <c r="A3136" s="79" t="str">
        <f>LeaveData[[#This Row],[ EMP ID]]&amp;LeaveData[[#This Row],[Date]]</f>
        <v>20231802746123</v>
      </c>
      <c r="B3136" s="92">
        <v>202318027</v>
      </c>
      <c r="C3136" s="92" t="s">
        <v>54</v>
      </c>
      <c r="D3136" s="101">
        <v>46123</v>
      </c>
      <c r="E3136" s="79" t="s">
        <v>154</v>
      </c>
      <c r="F3136" s="79" t="s">
        <v>1365</v>
      </c>
      <c r="G3136" s="79"/>
      <c r="H3136" s="79" t="s">
        <v>1594</v>
      </c>
    </row>
    <row r="3137" spans="1:8">
      <c r="A3137" s="79" t="str">
        <f>LeaveData[[#This Row],[ EMP ID]]&amp;LeaveData[[#This Row],[Date]]</f>
        <v>20231802746137</v>
      </c>
      <c r="B3137" s="92">
        <v>202318027</v>
      </c>
      <c r="C3137" s="92" t="s">
        <v>54</v>
      </c>
      <c r="D3137" s="101">
        <v>46137</v>
      </c>
      <c r="E3137" s="79" t="s">
        <v>13</v>
      </c>
      <c r="F3137" s="79" t="s">
        <v>1365</v>
      </c>
      <c r="G3137" s="79"/>
      <c r="H3137" s="79" t="s">
        <v>1652</v>
      </c>
    </row>
    <row r="3138" spans="1:8">
      <c r="A3138" s="79" t="str">
        <f>LeaveData[[#This Row],[ EMP ID]]&amp;LeaveData[[#This Row],[Date]]</f>
        <v>20250102046140</v>
      </c>
      <c r="B3138" s="92">
        <v>202501020</v>
      </c>
      <c r="C3138" s="92" t="s">
        <v>1468</v>
      </c>
      <c r="D3138" s="101">
        <v>46140</v>
      </c>
      <c r="E3138" s="79" t="s">
        <v>13</v>
      </c>
      <c r="F3138" s="79" t="s">
        <v>246</v>
      </c>
      <c r="G3138" s="79"/>
      <c r="H3138" s="79" t="s">
        <v>1654</v>
      </c>
    </row>
    <row r="3139" spans="1:8">
      <c r="A3139" s="79" t="str">
        <f>LeaveData[[#This Row],[ EMP ID]]&amp;LeaveData[[#This Row],[Date]]</f>
        <v>20250102046141</v>
      </c>
      <c r="B3139" s="92">
        <v>202501020</v>
      </c>
      <c r="C3139" s="92" t="s">
        <v>1468</v>
      </c>
      <c r="D3139" s="101">
        <v>46141</v>
      </c>
      <c r="E3139" s="79" t="s">
        <v>13</v>
      </c>
      <c r="F3139" s="79" t="s">
        <v>246</v>
      </c>
      <c r="G3139" s="79"/>
      <c r="H3139" s="79" t="s">
        <v>1654</v>
      </c>
    </row>
    <row r="3140" spans="1:8">
      <c r="A3140" s="79" t="str">
        <f>LeaveData[[#This Row],[ EMP ID]]&amp;LeaveData[[#This Row],[Date]]</f>
        <v>20250102046142</v>
      </c>
      <c r="B3140" s="92">
        <v>202501020</v>
      </c>
      <c r="C3140" s="92" t="s">
        <v>1468</v>
      </c>
      <c r="D3140" s="101">
        <v>46142</v>
      </c>
      <c r="E3140" s="79" t="s">
        <v>13</v>
      </c>
      <c r="F3140" s="79" t="s">
        <v>246</v>
      </c>
      <c r="G3140" s="79"/>
      <c r="H3140" s="79" t="s">
        <v>1654</v>
      </c>
    </row>
    <row r="3141" spans="1:8">
      <c r="A3141" s="79" t="str">
        <f>LeaveData[[#This Row],[ EMP ID]]&amp;LeaveData[[#This Row],[Date]]</f>
        <v>20261804946128</v>
      </c>
      <c r="B3141" s="92">
        <v>202618049</v>
      </c>
      <c r="C3141" s="92" t="s">
        <v>1582</v>
      </c>
      <c r="D3141" s="101">
        <v>46128</v>
      </c>
      <c r="E3141" s="79" t="s">
        <v>12</v>
      </c>
      <c r="F3141" s="79" t="s">
        <v>83</v>
      </c>
      <c r="G3141" s="79"/>
      <c r="H3141" s="79" t="s">
        <v>416</v>
      </c>
    </row>
    <row r="3142" spans="1:8">
      <c r="A3142" s="79" t="str">
        <f>LeaveData[[#This Row],[ EMP ID]]&amp;LeaveData[[#This Row],[Date]]</f>
        <v>20261804946129</v>
      </c>
      <c r="B3142" s="92">
        <v>202618049</v>
      </c>
      <c r="C3142" s="92" t="s">
        <v>1582</v>
      </c>
      <c r="D3142" s="101">
        <v>46129</v>
      </c>
      <c r="E3142" s="79" t="s">
        <v>12</v>
      </c>
      <c r="F3142" s="79" t="s">
        <v>83</v>
      </c>
      <c r="G3142" s="79"/>
      <c r="H3142" s="79" t="s">
        <v>416</v>
      </c>
    </row>
    <row r="3143" spans="1:8">
      <c r="A3143" s="79" t="str">
        <f>LeaveData[[#This Row],[ EMP ID]]&amp;LeaveData[[#This Row],[Date]]</f>
        <v>20261804946130</v>
      </c>
      <c r="B3143" s="92">
        <v>202618049</v>
      </c>
      <c r="C3143" s="92" t="s">
        <v>1582</v>
      </c>
      <c r="D3143" s="101">
        <v>46130</v>
      </c>
      <c r="E3143" s="79" t="s">
        <v>12</v>
      </c>
      <c r="F3143" s="79" t="s">
        <v>83</v>
      </c>
      <c r="G3143" s="79"/>
      <c r="H3143" s="79" t="s">
        <v>416</v>
      </c>
    </row>
    <row r="3144" spans="1:8">
      <c r="A3144" s="79" t="str">
        <f>LeaveData[[#This Row],[ EMP ID]]&amp;LeaveData[[#This Row],[Date]]</f>
        <v>20261804946132</v>
      </c>
      <c r="B3144" s="92">
        <v>202618049</v>
      </c>
      <c r="C3144" s="92" t="s">
        <v>1582</v>
      </c>
      <c r="D3144" s="101">
        <v>46132</v>
      </c>
      <c r="E3144" s="79" t="s">
        <v>12</v>
      </c>
      <c r="F3144" s="79" t="s">
        <v>83</v>
      </c>
      <c r="G3144" s="79"/>
      <c r="H3144" s="79" t="s">
        <v>416</v>
      </c>
    </row>
    <row r="3145" spans="1:8">
      <c r="A3145" s="79" t="str">
        <f>LeaveData[[#This Row],[ EMP ID]]&amp;LeaveData[[#This Row],[Date]]</f>
        <v>20261804946133</v>
      </c>
      <c r="B3145" s="92">
        <v>202618049</v>
      </c>
      <c r="C3145" s="92" t="s">
        <v>1582</v>
      </c>
      <c r="D3145" s="101">
        <v>46133</v>
      </c>
      <c r="E3145" s="79" t="s">
        <v>12</v>
      </c>
      <c r="F3145" s="79" t="s">
        <v>83</v>
      </c>
      <c r="G3145" s="79"/>
      <c r="H3145" s="79" t="s">
        <v>416</v>
      </c>
    </row>
    <row r="3146" spans="1:8">
      <c r="A3146" s="79" t="str">
        <f>LeaveData[[#This Row],[ EMP ID]]&amp;LeaveData[[#This Row],[Date]]</f>
        <v>20261804946134</v>
      </c>
      <c r="B3146" s="92">
        <v>202618049</v>
      </c>
      <c r="C3146" s="92" t="s">
        <v>1582</v>
      </c>
      <c r="D3146" s="101">
        <v>46134</v>
      </c>
      <c r="E3146" s="79" t="s">
        <v>12</v>
      </c>
      <c r="F3146" s="79" t="s">
        <v>83</v>
      </c>
      <c r="G3146" s="79"/>
      <c r="H3146" s="79" t="s">
        <v>416</v>
      </c>
    </row>
    <row r="3147" spans="1:8">
      <c r="A3147" s="79" t="str">
        <f>LeaveData[[#This Row],[ EMP ID]]&amp;LeaveData[[#This Row],[Date]]</f>
        <v>20261804946135</v>
      </c>
      <c r="B3147" s="92">
        <v>202618049</v>
      </c>
      <c r="C3147" s="92" t="s">
        <v>1582</v>
      </c>
      <c r="D3147" s="101">
        <v>46135</v>
      </c>
      <c r="E3147" s="79" t="s">
        <v>12</v>
      </c>
      <c r="F3147" s="79" t="s">
        <v>83</v>
      </c>
      <c r="G3147" s="79"/>
      <c r="H3147" s="79" t="s">
        <v>416</v>
      </c>
    </row>
    <row r="3148" spans="1:8">
      <c r="A3148" s="79" t="str">
        <f>LeaveData[[#This Row],[ EMP ID]]&amp;LeaveData[[#This Row],[Date]]</f>
        <v>20261804946136</v>
      </c>
      <c r="B3148" s="92">
        <v>202618049</v>
      </c>
      <c r="C3148" s="92" t="s">
        <v>1582</v>
      </c>
      <c r="D3148" s="101">
        <v>46136</v>
      </c>
      <c r="E3148" s="79" t="s">
        <v>16</v>
      </c>
      <c r="F3148" s="79" t="s">
        <v>83</v>
      </c>
      <c r="G3148" s="79"/>
      <c r="H3148" s="79" t="s">
        <v>416</v>
      </c>
    </row>
    <row r="3149" spans="1:8">
      <c r="A3149" s="79" t="str">
        <f>LeaveData[[#This Row],[ EMP ID]]&amp;LeaveData[[#This Row],[Date]]</f>
        <v>20261804946137</v>
      </c>
      <c r="B3149" s="92">
        <v>202618049</v>
      </c>
      <c r="C3149" s="92" t="s">
        <v>1582</v>
      </c>
      <c r="D3149" s="101">
        <v>46137</v>
      </c>
      <c r="E3149" s="79" t="s">
        <v>16</v>
      </c>
      <c r="F3149" s="79" t="s">
        <v>83</v>
      </c>
      <c r="G3149" s="79"/>
      <c r="H3149" s="79" t="s">
        <v>416</v>
      </c>
    </row>
    <row r="3150" spans="1:8">
      <c r="A3150" s="79" t="str">
        <f>LeaveData[[#This Row],[ EMP ID]]&amp;LeaveData[[#This Row],[Date]]</f>
        <v>20182000146137</v>
      </c>
      <c r="B3150" s="92">
        <v>201820001</v>
      </c>
      <c r="C3150" s="92" t="s">
        <v>18</v>
      </c>
      <c r="D3150" s="101">
        <v>46137</v>
      </c>
      <c r="E3150" s="79" t="s">
        <v>16</v>
      </c>
      <c r="F3150" s="79" t="s">
        <v>83</v>
      </c>
      <c r="G3150" s="79"/>
      <c r="H3150" s="79" t="s">
        <v>416</v>
      </c>
    </row>
    <row r="3151" spans="1:8">
      <c r="A3151" s="79" t="str">
        <f>LeaveData[[#This Row],[ EMP ID]]&amp;LeaveData[[#This Row],[Date]]</f>
        <v>20260102446141</v>
      </c>
      <c r="B3151" s="92">
        <v>202601024</v>
      </c>
      <c r="C3151" s="92" t="s">
        <v>1622</v>
      </c>
      <c r="D3151" s="101">
        <v>46141</v>
      </c>
      <c r="E3151" s="79" t="s">
        <v>14</v>
      </c>
      <c r="F3151" s="79" t="s">
        <v>246</v>
      </c>
      <c r="G3151" s="79"/>
      <c r="H3151" s="79" t="s">
        <v>168</v>
      </c>
    </row>
    <row r="3152" spans="1:8">
      <c r="A3152" s="79" t="str">
        <f>LeaveData[[#This Row],[ EMP ID]]&amp;LeaveData[[#This Row],[Date]]</f>
        <v>20232000946140</v>
      </c>
      <c r="B3152" s="92">
        <v>202320009</v>
      </c>
      <c r="C3152" s="92" t="s">
        <v>143</v>
      </c>
      <c r="D3152" s="101">
        <v>46140</v>
      </c>
      <c r="E3152" s="79" t="s">
        <v>14</v>
      </c>
      <c r="F3152" s="79" t="s">
        <v>1365</v>
      </c>
      <c r="G3152" s="79"/>
      <c r="H3152" s="79" t="s">
        <v>1655</v>
      </c>
    </row>
    <row r="3153" spans="1:8">
      <c r="A3153" s="79" t="str">
        <f>LeaveData[[#This Row],[ EMP ID]]&amp;LeaveData[[#This Row],[Date]]</f>
        <v>20232000946142</v>
      </c>
      <c r="B3153" s="92">
        <v>202320009</v>
      </c>
      <c r="C3153" s="92" t="s">
        <v>143</v>
      </c>
      <c r="D3153" s="101">
        <v>46142</v>
      </c>
      <c r="E3153" s="79" t="s">
        <v>13</v>
      </c>
      <c r="F3153" s="79" t="s">
        <v>1365</v>
      </c>
      <c r="G3153" s="79"/>
      <c r="H3153" s="79" t="s">
        <v>1655</v>
      </c>
    </row>
    <row r="3154" spans="1:8">
      <c r="A3154" s="79" t="str">
        <f>LeaveData[[#This Row],[ EMP ID]]&amp;LeaveData[[#This Row],[Date]]</f>
        <v>20232000946143</v>
      </c>
      <c r="B3154" s="92">
        <v>202320009</v>
      </c>
      <c r="C3154" s="92" t="s">
        <v>143</v>
      </c>
      <c r="D3154" s="101">
        <v>46143</v>
      </c>
      <c r="E3154" s="79" t="s">
        <v>13</v>
      </c>
      <c r="F3154" s="79" t="s">
        <v>1365</v>
      </c>
      <c r="G3154" s="79"/>
      <c r="H3154" s="79" t="s">
        <v>1655</v>
      </c>
    </row>
    <row r="3155" spans="1:8">
      <c r="A3155" s="79" t="str">
        <f>LeaveData[[#This Row],[ EMP ID]]&amp;LeaveData[[#This Row],[Date]]</f>
        <v>20241803846137</v>
      </c>
      <c r="B3155" s="92">
        <v>202418038</v>
      </c>
      <c r="C3155" s="122" t="s">
        <v>246</v>
      </c>
      <c r="D3155" s="101">
        <v>46137</v>
      </c>
      <c r="E3155" s="79" t="s">
        <v>13</v>
      </c>
      <c r="F3155" s="79" t="s">
        <v>125</v>
      </c>
      <c r="G3155" s="79"/>
      <c r="H3155" s="79" t="s">
        <v>168</v>
      </c>
    </row>
    <row r="3156" spans="1:8">
      <c r="A3156" s="79" t="str">
        <f>LeaveData[[#This Row],[ EMP ID]]&amp;LeaveData[[#This Row],[Date]]</f>
        <v>20241804246139</v>
      </c>
      <c r="B3156" s="92">
        <v>202418042</v>
      </c>
      <c r="C3156" s="92" t="s">
        <v>402</v>
      </c>
      <c r="D3156" s="101">
        <v>46139</v>
      </c>
      <c r="E3156" s="79" t="s">
        <v>12</v>
      </c>
      <c r="F3156" s="79" t="s">
        <v>246</v>
      </c>
      <c r="G3156" s="79"/>
      <c r="H3156" s="79" t="s">
        <v>416</v>
      </c>
    </row>
    <row r="3157" spans="1:8">
      <c r="A3157" s="79" t="str">
        <f>LeaveData[[#This Row],[ EMP ID]]&amp;LeaveData[[#This Row],[Date]]</f>
        <v>20221801146137</v>
      </c>
      <c r="B3157" s="92">
        <v>202218011</v>
      </c>
      <c r="C3157" s="92" t="s">
        <v>28</v>
      </c>
      <c r="D3157" s="101">
        <v>46137</v>
      </c>
      <c r="E3157" s="79" t="s">
        <v>16</v>
      </c>
      <c r="F3157" s="79" t="s">
        <v>246</v>
      </c>
      <c r="G3157" s="79"/>
      <c r="H3157" s="79" t="s">
        <v>168</v>
      </c>
    </row>
    <row r="3158" spans="1:8">
      <c r="A3158" s="79" t="str">
        <f>LeaveData[[#This Row],[ EMP ID]]&amp;LeaveData[[#This Row],[Date]]</f>
        <v>20231802346139</v>
      </c>
      <c r="B3158" s="92">
        <v>202318023</v>
      </c>
      <c r="C3158" s="122" t="s">
        <v>148</v>
      </c>
      <c r="D3158" s="101">
        <v>46139</v>
      </c>
      <c r="E3158" s="79" t="s">
        <v>14</v>
      </c>
      <c r="F3158" s="79" t="s">
        <v>128</v>
      </c>
      <c r="G3158" s="79"/>
      <c r="H3158" s="79" t="s">
        <v>1633</v>
      </c>
    </row>
    <row r="3159" spans="1:8">
      <c r="A3159" s="79" t="str">
        <f>LeaveData[[#This Row],[ EMP ID]]&amp;LeaveData[[#This Row],[Date]]</f>
        <v>20241803346139</v>
      </c>
      <c r="B3159" s="92">
        <v>202418033</v>
      </c>
      <c r="C3159" s="92" t="s">
        <v>65</v>
      </c>
      <c r="D3159" s="101">
        <v>46139</v>
      </c>
      <c r="E3159" s="79" t="s">
        <v>12</v>
      </c>
      <c r="F3159" s="79" t="s">
        <v>128</v>
      </c>
      <c r="G3159" s="79"/>
      <c r="H3159" s="79" t="s">
        <v>416</v>
      </c>
    </row>
    <row r="3160" spans="1:8">
      <c r="A3160" s="79" t="str">
        <f>LeaveData[[#This Row],[ EMP ID]]&amp;LeaveData[[#This Row],[Date]]</f>
        <v>20221801146140</v>
      </c>
      <c r="B3160" s="92">
        <v>202218011</v>
      </c>
      <c r="C3160" s="92" t="s">
        <v>28</v>
      </c>
      <c r="D3160" s="101">
        <v>46140</v>
      </c>
      <c r="E3160" s="79" t="s">
        <v>16</v>
      </c>
      <c r="F3160" s="79" t="s">
        <v>246</v>
      </c>
      <c r="G3160" s="79"/>
      <c r="H3160" s="79" t="s">
        <v>168</v>
      </c>
    </row>
    <row r="3161" spans="1:8">
      <c r="A3161" s="79" t="str">
        <f>LeaveData[[#This Row],[ EMP ID]]&amp;LeaveData[[#This Row],[Date]]</f>
        <v>20231802046140</v>
      </c>
      <c r="B3161" s="92">
        <v>202318020</v>
      </c>
      <c r="C3161" s="92" t="s">
        <v>43</v>
      </c>
      <c r="D3161" s="101">
        <v>46140</v>
      </c>
      <c r="E3161" s="79" t="s">
        <v>16</v>
      </c>
      <c r="F3161" s="79" t="s">
        <v>104</v>
      </c>
      <c r="G3161" s="79"/>
      <c r="H3161" s="79" t="s">
        <v>416</v>
      </c>
    </row>
    <row r="3162" spans="1:8">
      <c r="A3162" s="79" t="str">
        <f>LeaveData[[#This Row],[ EMP ID]]&amp;LeaveData[[#This Row],[Date]]</f>
        <v>20211800846138</v>
      </c>
      <c r="B3162" s="92">
        <v>202118008</v>
      </c>
      <c r="C3162" s="92" t="s">
        <v>25</v>
      </c>
      <c r="D3162" s="101">
        <v>46138</v>
      </c>
      <c r="E3162" s="79" t="s">
        <v>154</v>
      </c>
      <c r="F3162" s="79" t="s">
        <v>104</v>
      </c>
      <c r="G3162" s="79"/>
      <c r="H3162" s="79" t="s">
        <v>1594</v>
      </c>
    </row>
    <row r="3163" spans="1:8">
      <c r="A3163" s="79" t="str">
        <f>LeaveData[[#This Row],[ EMP ID]]&amp;LeaveData[[#This Row],[Date]]</f>
        <v>20242100446141</v>
      </c>
      <c r="B3163" s="92">
        <v>202421004</v>
      </c>
      <c r="C3163" s="92" t="s">
        <v>270</v>
      </c>
      <c r="D3163" s="101">
        <v>46141</v>
      </c>
      <c r="E3163" s="79" t="s">
        <v>12</v>
      </c>
      <c r="F3163" s="79" t="s">
        <v>29</v>
      </c>
      <c r="G3163" s="79"/>
      <c r="H3163" s="79" t="s">
        <v>1656</v>
      </c>
    </row>
    <row r="3164" spans="1:8">
      <c r="A3164" s="79" t="str">
        <f>LeaveData[[#This Row],[ EMP ID]]&amp;LeaveData[[#This Row],[Date]]</f>
        <v>20242101346141</v>
      </c>
      <c r="B3164" s="92">
        <v>202421013</v>
      </c>
      <c r="C3164" s="92" t="s">
        <v>378</v>
      </c>
      <c r="D3164" s="101">
        <v>46141</v>
      </c>
      <c r="E3164" s="79" t="s">
        <v>12</v>
      </c>
      <c r="F3164" s="79" t="s">
        <v>29</v>
      </c>
      <c r="G3164" s="79"/>
      <c r="H3164" s="79" t="s">
        <v>416</v>
      </c>
    </row>
    <row r="3165" spans="1:8">
      <c r="A3165" s="79" t="str">
        <f>LeaveData[[#This Row],[ EMP ID]]&amp;LeaveData[[#This Row],[Date]]</f>
        <v>20242001546143</v>
      </c>
      <c r="B3165" s="92">
        <v>202420015</v>
      </c>
      <c r="C3165" s="92" t="s">
        <v>64</v>
      </c>
      <c r="D3165" s="101">
        <v>46143</v>
      </c>
      <c r="E3165" s="79" t="s">
        <v>13</v>
      </c>
      <c r="F3165" s="79" t="s">
        <v>114</v>
      </c>
      <c r="G3165" s="79"/>
      <c r="H3165" s="79" t="s">
        <v>1647</v>
      </c>
    </row>
    <row r="3166" spans="1:8">
      <c r="A3166" s="79" t="str">
        <f>LeaveData[[#This Row],[ EMP ID]]&amp;LeaveData[[#This Row],[Date]]</f>
        <v>20260102646144</v>
      </c>
      <c r="B3166" s="92">
        <v>202601026</v>
      </c>
      <c r="C3166" s="92" t="s">
        <v>1624</v>
      </c>
      <c r="D3166" s="101">
        <v>46144</v>
      </c>
      <c r="E3166" s="79" t="s">
        <v>13</v>
      </c>
      <c r="F3166" s="79" t="s">
        <v>83</v>
      </c>
      <c r="G3166" s="79"/>
      <c r="H3166" s="79" t="s">
        <v>1657</v>
      </c>
    </row>
    <row r="3167" spans="1:8">
      <c r="A3167" s="79" t="str">
        <f>LeaveData[[#This Row],[ EMP ID]]&amp;LeaveData[[#This Row],[Date]]</f>
        <v>20260102646146</v>
      </c>
      <c r="B3167" s="92">
        <v>202601026</v>
      </c>
      <c r="C3167" s="92" t="s">
        <v>1624</v>
      </c>
      <c r="D3167" s="101">
        <v>46146</v>
      </c>
      <c r="E3167" s="79" t="s">
        <v>13</v>
      </c>
      <c r="F3167" s="79" t="s">
        <v>83</v>
      </c>
      <c r="G3167" s="79"/>
      <c r="H3167" s="79" t="s">
        <v>1657</v>
      </c>
    </row>
    <row r="3168" spans="1:8">
      <c r="A3168" s="79" t="str">
        <f>LeaveData[[#This Row],[ EMP ID]]&amp;LeaveData[[#This Row],[Date]]</f>
        <v>20260102646147</v>
      </c>
      <c r="B3168" s="92">
        <v>202601026</v>
      </c>
      <c r="C3168" s="92" t="s">
        <v>1624</v>
      </c>
      <c r="D3168" s="101">
        <v>46147</v>
      </c>
      <c r="E3168" s="79" t="s">
        <v>13</v>
      </c>
      <c r="F3168" s="79" t="s">
        <v>83</v>
      </c>
      <c r="G3168" s="79"/>
      <c r="H3168" s="79" t="s">
        <v>1657</v>
      </c>
    </row>
    <row r="3169" spans="1:8">
      <c r="A3169" s="79" t="str">
        <f>LeaveData[[#This Row],[ EMP ID]]&amp;LeaveData[[#This Row],[Date]]</f>
        <v>20260102546112</v>
      </c>
      <c r="B3169" s="92">
        <v>202601025</v>
      </c>
      <c r="C3169" s="92" t="s">
        <v>1623</v>
      </c>
      <c r="D3169" s="101">
        <v>46112</v>
      </c>
      <c r="E3169" s="79" t="s">
        <v>195</v>
      </c>
      <c r="F3169" s="79" t="s">
        <v>235</v>
      </c>
      <c r="G3169" s="79"/>
      <c r="H3169" s="79" t="s">
        <v>1658</v>
      </c>
    </row>
    <row r="3170" spans="1:8">
      <c r="A3170" s="79" t="str">
        <f>LeaveData[[#This Row],[ EMP ID]]&amp;LeaveData[[#This Row],[Date]]</f>
        <v>20261805246129</v>
      </c>
      <c r="B3170" s="92">
        <v>202618052</v>
      </c>
      <c r="C3170" s="92" t="s">
        <v>1659</v>
      </c>
      <c r="D3170" s="101">
        <v>46129</v>
      </c>
      <c r="E3170" s="79" t="s">
        <v>199</v>
      </c>
      <c r="F3170" s="79" t="s">
        <v>235</v>
      </c>
      <c r="G3170" s="79"/>
      <c r="H3170" s="79" t="s">
        <v>200</v>
      </c>
    </row>
    <row r="3171" spans="1:8">
      <c r="A3171" s="79" t="str">
        <f>LeaveData[[#This Row],[ EMP ID]]&amp;LeaveData[[#This Row],[Date]]</f>
        <v>20182000146144</v>
      </c>
      <c r="B3171" s="92">
        <v>201820001</v>
      </c>
      <c r="C3171" s="92" t="s">
        <v>18</v>
      </c>
      <c r="D3171" s="101">
        <v>46144</v>
      </c>
      <c r="E3171" s="79" t="s">
        <v>12</v>
      </c>
      <c r="F3171" s="79" t="s">
        <v>83</v>
      </c>
      <c r="G3171" s="79"/>
      <c r="H3171" s="79" t="s">
        <v>416</v>
      </c>
    </row>
    <row r="3172" spans="1:8">
      <c r="A3172" s="79" t="str">
        <f>LeaveData[[#This Row],[ EMP ID]]&amp;LeaveData[[#This Row],[Date]]</f>
        <v>20250102046153</v>
      </c>
      <c r="B3172" s="92">
        <v>202501020</v>
      </c>
      <c r="C3172" s="92" t="s">
        <v>1468</v>
      </c>
      <c r="D3172" s="101">
        <v>46153</v>
      </c>
      <c r="E3172" s="79" t="s">
        <v>13</v>
      </c>
      <c r="F3172" s="79" t="s">
        <v>246</v>
      </c>
      <c r="G3172" s="79"/>
      <c r="H3172" s="79" t="s">
        <v>1619</v>
      </c>
    </row>
    <row r="3173" spans="1:8">
      <c r="A3173" s="79" t="str">
        <f>LeaveData[[#This Row],[ EMP ID]]&amp;LeaveData[[#This Row],[Date]]</f>
        <v>20250102046154</v>
      </c>
      <c r="B3173" s="92">
        <v>202501020</v>
      </c>
      <c r="C3173" s="92" t="s">
        <v>1468</v>
      </c>
      <c r="D3173" s="101">
        <v>46154</v>
      </c>
      <c r="E3173" s="79" t="s">
        <v>13</v>
      </c>
      <c r="F3173" s="79" t="s">
        <v>246</v>
      </c>
      <c r="G3173" s="79"/>
      <c r="H3173" s="79" t="s">
        <v>1619</v>
      </c>
    </row>
    <row r="3174" spans="1:8">
      <c r="A3174" s="79" t="str">
        <f>LeaveData[[#This Row],[ EMP ID]]&amp;LeaveData[[#This Row],[Date]]</f>
        <v>20250102046155</v>
      </c>
      <c r="B3174" s="92">
        <v>202501020</v>
      </c>
      <c r="C3174" s="92" t="s">
        <v>1468</v>
      </c>
      <c r="D3174" s="101">
        <v>46155</v>
      </c>
      <c r="E3174" s="79" t="s">
        <v>13</v>
      </c>
      <c r="F3174" s="79" t="s">
        <v>246</v>
      </c>
      <c r="G3174" s="79"/>
      <c r="H3174" s="79" t="s">
        <v>1619</v>
      </c>
    </row>
    <row r="3175" spans="1:8">
      <c r="A3175" s="79" t="str">
        <f>LeaveData[[#This Row],[ EMP ID]]&amp;LeaveData[[#This Row],[Date]]</f>
        <v>20250102046156</v>
      </c>
      <c r="B3175" s="92">
        <v>202501020</v>
      </c>
      <c r="C3175" s="92" t="s">
        <v>1468</v>
      </c>
      <c r="D3175" s="101">
        <v>46156</v>
      </c>
      <c r="E3175" s="79" t="s">
        <v>13</v>
      </c>
      <c r="F3175" s="79" t="s">
        <v>246</v>
      </c>
      <c r="G3175" s="79"/>
      <c r="H3175" s="79" t="s">
        <v>1619</v>
      </c>
    </row>
    <row r="3176" spans="1:8">
      <c r="A3176" s="79" t="str">
        <f>LeaveData[[#This Row],[ EMP ID]]&amp;LeaveData[[#This Row],[Date]]</f>
        <v>20250102046157</v>
      </c>
      <c r="B3176" s="92">
        <v>202501020</v>
      </c>
      <c r="C3176" s="92" t="s">
        <v>1468</v>
      </c>
      <c r="D3176" s="101">
        <v>46157</v>
      </c>
      <c r="E3176" s="79" t="s">
        <v>13</v>
      </c>
      <c r="F3176" s="79" t="s">
        <v>246</v>
      </c>
      <c r="G3176" s="79"/>
      <c r="H3176" s="79" t="s">
        <v>1619</v>
      </c>
    </row>
    <row r="3177" spans="1:8">
      <c r="A3177" s="79" t="str">
        <f>LeaveData[[#This Row],[ EMP ID]]&amp;LeaveData[[#This Row],[Date]]</f>
        <v>20250102046160</v>
      </c>
      <c r="B3177" s="92">
        <v>202501020</v>
      </c>
      <c r="C3177" s="92" t="s">
        <v>1468</v>
      </c>
      <c r="D3177" s="101">
        <v>46160</v>
      </c>
      <c r="E3177" s="79" t="s">
        <v>13</v>
      </c>
      <c r="F3177" s="79" t="s">
        <v>246</v>
      </c>
      <c r="G3177" s="79"/>
      <c r="H3177" s="79" t="s">
        <v>1619</v>
      </c>
    </row>
    <row r="3178" spans="1:8">
      <c r="A3178" s="79" t="str">
        <f>LeaveData[[#This Row],[ EMP ID]]&amp;LeaveData[[#This Row],[Date]]</f>
        <v>20250101346144</v>
      </c>
      <c r="B3178" s="92">
        <v>202501013</v>
      </c>
      <c r="C3178" s="92" t="s">
        <v>1395</v>
      </c>
      <c r="D3178" s="101">
        <v>46144</v>
      </c>
      <c r="E3178" s="79" t="s">
        <v>12</v>
      </c>
      <c r="F3178" s="79" t="s">
        <v>246</v>
      </c>
      <c r="G3178" s="79"/>
      <c r="H3178" s="79" t="s">
        <v>416</v>
      </c>
    </row>
    <row r="3179" spans="1:8">
      <c r="A3179" s="79" t="str">
        <f>LeaveData[[#This Row],[ EMP ID]]&amp;LeaveData[[#This Row],[Date]]</f>
        <v>20250101646146</v>
      </c>
      <c r="B3179" s="92">
        <v>202501016</v>
      </c>
      <c r="C3179" s="92" t="s">
        <v>1430</v>
      </c>
      <c r="D3179" s="101">
        <v>46146</v>
      </c>
      <c r="E3179" s="79" t="s">
        <v>13</v>
      </c>
      <c r="F3179" s="79" t="s">
        <v>246</v>
      </c>
      <c r="G3179" s="79"/>
      <c r="H3179" s="79" t="s">
        <v>1660</v>
      </c>
    </row>
    <row r="3180" spans="1:8">
      <c r="A3180" s="79" t="str">
        <f>LeaveData[[#This Row],[ EMP ID]]&amp;LeaveData[[#This Row],[Date]]</f>
        <v>20231802746146</v>
      </c>
      <c r="B3180" s="92">
        <v>202318027</v>
      </c>
      <c r="C3180" s="92" t="s">
        <v>54</v>
      </c>
      <c r="D3180" s="101">
        <v>46146</v>
      </c>
      <c r="E3180" s="79" t="s">
        <v>13</v>
      </c>
      <c r="F3180" s="79" t="s">
        <v>1365</v>
      </c>
      <c r="G3180" s="79"/>
      <c r="H3180" s="79" t="s">
        <v>1661</v>
      </c>
    </row>
    <row r="3181" spans="1:8">
      <c r="A3181" s="79" t="str">
        <f>LeaveData[[#This Row],[ EMP ID]]&amp;LeaveData[[#This Row],[Date]]</f>
        <v>20251804646147</v>
      </c>
      <c r="B3181" s="92">
        <v>202518046</v>
      </c>
      <c r="C3181" s="122" t="s">
        <v>403</v>
      </c>
      <c r="D3181" s="101">
        <v>46147</v>
      </c>
      <c r="E3181" s="79" t="s">
        <v>12</v>
      </c>
      <c r="F3181" s="79" t="s">
        <v>43</v>
      </c>
      <c r="G3181" s="79"/>
      <c r="H3181" s="79" t="s">
        <v>1662</v>
      </c>
    </row>
    <row r="3182" spans="1:8">
      <c r="A3182" s="79" t="str">
        <f>LeaveData[[#This Row],[ EMP ID]]&amp;LeaveData[[#This Row],[Date]]</f>
        <v>20242001546143</v>
      </c>
      <c r="B3182" s="92">
        <v>202420015</v>
      </c>
      <c r="C3182" s="92" t="s">
        <v>64</v>
      </c>
      <c r="D3182" s="101">
        <v>46143</v>
      </c>
      <c r="E3182" s="79" t="s">
        <v>12</v>
      </c>
      <c r="F3182" s="79" t="s">
        <v>114</v>
      </c>
      <c r="G3182" s="79"/>
      <c r="H3182" s="79" t="s">
        <v>1662</v>
      </c>
    </row>
    <row r="3183" spans="1:8">
      <c r="A3183" s="79" t="str">
        <f>LeaveData[[#This Row],[ EMP ID]]&amp;LeaveData[[#This Row],[Date]]</f>
        <v>20242001546144</v>
      </c>
      <c r="B3183" s="92">
        <v>202420015</v>
      </c>
      <c r="C3183" s="92" t="s">
        <v>64</v>
      </c>
      <c r="D3183" s="101">
        <v>46144</v>
      </c>
      <c r="E3183" s="79" t="s">
        <v>12</v>
      </c>
      <c r="F3183" s="79" t="s">
        <v>114</v>
      </c>
      <c r="G3183" s="79"/>
      <c r="H3183" s="79" t="s">
        <v>1662</v>
      </c>
    </row>
    <row r="3184" spans="1:8">
      <c r="A3184" s="79" t="str">
        <f>LeaveData[[#This Row],[ EMP ID]]&amp;LeaveData[[#This Row],[Date]]</f>
        <v>20242001546146</v>
      </c>
      <c r="B3184" s="92">
        <v>202420015</v>
      </c>
      <c r="C3184" s="92" t="s">
        <v>64</v>
      </c>
      <c r="D3184" s="101">
        <v>46146</v>
      </c>
      <c r="E3184" s="79" t="s">
        <v>12</v>
      </c>
      <c r="F3184" s="79" t="s">
        <v>114</v>
      </c>
      <c r="G3184" s="79"/>
      <c r="H3184" s="79" t="s">
        <v>1662</v>
      </c>
    </row>
    <row r="3185" spans="1:8">
      <c r="A3185" s="79" t="str">
        <f>LeaveData[[#This Row],[ EMP ID]]&amp;LeaveData[[#This Row],[Date]]</f>
        <v>20242001546147</v>
      </c>
      <c r="B3185" s="92">
        <v>202420015</v>
      </c>
      <c r="C3185" s="92" t="s">
        <v>64</v>
      </c>
      <c r="D3185" s="101">
        <v>46147</v>
      </c>
      <c r="E3185" s="79" t="s">
        <v>12</v>
      </c>
      <c r="F3185" s="79" t="s">
        <v>114</v>
      </c>
      <c r="G3185" s="79"/>
      <c r="H3185" s="79" t="s">
        <v>1662</v>
      </c>
    </row>
    <row r="3186" spans="1:8">
      <c r="A3186" s="79" t="str">
        <f>LeaveData[[#This Row],[ EMP ID]]&amp;LeaveData[[#This Row],[Date]]</f>
        <v>20242001546148</v>
      </c>
      <c r="B3186" s="92">
        <v>202420015</v>
      </c>
      <c r="C3186" s="92" t="s">
        <v>64</v>
      </c>
      <c r="D3186" s="101">
        <v>46148</v>
      </c>
      <c r="E3186" s="79" t="s">
        <v>12</v>
      </c>
      <c r="F3186" s="79" t="s">
        <v>114</v>
      </c>
      <c r="G3186" s="79"/>
      <c r="H3186" s="79" t="s">
        <v>1662</v>
      </c>
    </row>
    <row r="3187" spans="1:8">
      <c r="A3187" s="79" t="str">
        <f>LeaveData[[#This Row],[ EMP ID]]&amp;LeaveData[[#This Row],[Date]]</f>
        <v>20242001546149</v>
      </c>
      <c r="B3187" s="92">
        <v>202420015</v>
      </c>
      <c r="C3187" s="92" t="s">
        <v>64</v>
      </c>
      <c r="D3187" s="101">
        <v>46149</v>
      </c>
      <c r="E3187" s="79" t="s">
        <v>12</v>
      </c>
      <c r="F3187" s="79" t="s">
        <v>114</v>
      </c>
      <c r="G3187" s="79"/>
      <c r="H3187" s="79" t="s">
        <v>1662</v>
      </c>
    </row>
    <row r="3188" spans="1:8">
      <c r="A3188" s="79" t="str">
        <f>LeaveData[[#This Row],[ EMP ID]]&amp;LeaveData[[#This Row],[Date]]</f>
        <v>20242001546150</v>
      </c>
      <c r="B3188" s="92">
        <v>202420015</v>
      </c>
      <c r="C3188" s="92" t="s">
        <v>64</v>
      </c>
      <c r="D3188" s="101">
        <v>46150</v>
      </c>
      <c r="E3188" s="79" t="s">
        <v>12</v>
      </c>
      <c r="F3188" s="79" t="s">
        <v>114</v>
      </c>
      <c r="G3188" s="79"/>
      <c r="H3188" s="79" t="s">
        <v>1662</v>
      </c>
    </row>
    <row r="3189" spans="1:8">
      <c r="A3189" s="79" t="str">
        <f>LeaveData[[#This Row],[ EMP ID]]&amp;LeaveData[[#This Row],[Date]]</f>
        <v/>
      </c>
      <c r="B3189" s="92"/>
      <c r="C3189" s="92"/>
      <c r="D3189" s="101"/>
      <c r="E3189" s="79"/>
      <c r="F3189" s="79"/>
      <c r="G3189" s="79"/>
      <c r="H3189" s="79"/>
    </row>
    <row r="3190" spans="1:8">
      <c r="A3190" s="79" t="str">
        <f>LeaveData[[#This Row],[ EMP ID]]&amp;LeaveData[[#This Row],[Date]]</f>
        <v/>
      </c>
      <c r="B3190" s="92"/>
      <c r="C3190" s="92"/>
      <c r="D3190" s="101"/>
      <c r="E3190" s="79"/>
      <c r="F3190" s="79"/>
      <c r="G3190" s="79"/>
      <c r="H3190" s="79"/>
    </row>
    <row r="3191" spans="1:8">
      <c r="A3191" s="79" t="str">
        <f>LeaveData[[#This Row],[ EMP ID]]&amp;LeaveData[[#This Row],[Date]]</f>
        <v/>
      </c>
      <c r="B3191" s="92"/>
      <c r="C3191" s="92"/>
      <c r="D3191" s="101"/>
      <c r="E3191" s="79"/>
      <c r="F3191" s="79"/>
      <c r="G3191" s="79"/>
      <c r="H3191" s="79"/>
    </row>
    <row r="3192" spans="1:8">
      <c r="A3192" s="79" t="str">
        <f>LeaveData[[#This Row],[ EMP ID]]&amp;LeaveData[[#This Row],[Date]]</f>
        <v/>
      </c>
      <c r="B3192" s="92"/>
      <c r="C3192" s="92"/>
      <c r="D3192" s="101"/>
      <c r="E3192" s="79"/>
      <c r="F3192" s="79"/>
      <c r="G3192" s="79"/>
      <c r="H3192" s="79"/>
    </row>
    <row r="3193" spans="1:8">
      <c r="A3193" s="79" t="str">
        <f>LeaveData[[#This Row],[ EMP ID]]&amp;LeaveData[[#This Row],[Date]]</f>
        <v/>
      </c>
      <c r="B3193" s="92"/>
      <c r="C3193" s="92"/>
      <c r="D3193" s="101"/>
      <c r="E3193" s="79"/>
      <c r="F3193" s="79"/>
      <c r="G3193" s="79"/>
      <c r="H3193" s="79"/>
    </row>
    <row r="3194" spans="1:8">
      <c r="A3194" s="79" t="str">
        <f>LeaveData[[#This Row],[ EMP ID]]&amp;LeaveData[[#This Row],[Date]]</f>
        <v/>
      </c>
      <c r="B3194" s="92"/>
      <c r="C3194" s="92"/>
      <c r="D3194" s="101"/>
      <c r="E3194" s="79"/>
      <c r="F3194" s="79"/>
      <c r="G3194" s="79"/>
      <c r="H3194" s="79"/>
    </row>
    <row r="3195" spans="1:8">
      <c r="A3195" s="79" t="str">
        <f>LeaveData[[#This Row],[ EMP ID]]&amp;LeaveData[[#This Row],[Date]]</f>
        <v/>
      </c>
      <c r="B3195" s="92"/>
      <c r="C3195" s="92"/>
      <c r="D3195" s="101"/>
      <c r="E3195" s="79"/>
      <c r="F3195" s="79"/>
      <c r="G3195" s="79"/>
      <c r="H3195" s="79"/>
    </row>
    <row r="3196" spans="1:8">
      <c r="A3196" s="79" t="str">
        <f>LeaveData[[#This Row],[ EMP ID]]&amp;LeaveData[[#This Row],[Date]]</f>
        <v/>
      </c>
      <c r="B3196" s="92"/>
      <c r="C3196" s="92"/>
      <c r="D3196" s="101"/>
      <c r="E3196" s="79"/>
      <c r="F3196" s="79"/>
      <c r="G3196" s="79"/>
      <c r="H3196" s="79"/>
    </row>
    <row r="3197" spans="1:8">
      <c r="A3197" s="79" t="str">
        <f>LeaveData[[#This Row],[ EMP ID]]&amp;LeaveData[[#This Row],[Date]]</f>
        <v/>
      </c>
      <c r="B3197" s="92"/>
      <c r="C3197" s="92"/>
      <c r="D3197" s="101"/>
      <c r="E3197" s="79"/>
      <c r="F3197" s="79"/>
      <c r="G3197" s="79"/>
      <c r="H3197" s="79"/>
    </row>
    <row r="3198" spans="1:8">
      <c r="A3198" s="79" t="str">
        <f>LeaveData[[#This Row],[ EMP ID]]&amp;LeaveData[[#This Row],[Date]]</f>
        <v/>
      </c>
      <c r="B3198" s="92"/>
      <c r="C3198" s="92"/>
      <c r="D3198" s="101"/>
      <c r="E3198" s="79"/>
      <c r="F3198" s="79"/>
      <c r="G3198" s="79"/>
      <c r="H3198" s="79"/>
    </row>
    <row r="3199" spans="1:8">
      <c r="A3199" s="79" t="str">
        <f>LeaveData[[#This Row],[ EMP ID]]&amp;LeaveData[[#This Row],[Date]]</f>
        <v/>
      </c>
      <c r="B3199" s="92"/>
      <c r="C3199" s="92"/>
      <c r="D3199" s="101"/>
      <c r="E3199" s="79"/>
      <c r="F3199" s="79"/>
      <c r="G3199" s="79"/>
      <c r="H3199" s="79"/>
    </row>
    <row r="3200" spans="1:8">
      <c r="A3200" s="79" t="str">
        <f>LeaveData[[#This Row],[ EMP ID]]&amp;LeaveData[[#This Row],[Date]]</f>
        <v/>
      </c>
      <c r="B3200" s="92"/>
      <c r="C3200" s="92"/>
      <c r="D3200" s="101"/>
      <c r="E3200" s="79"/>
      <c r="F3200" s="79"/>
      <c r="G3200" s="79"/>
      <c r="H3200" s="79"/>
    </row>
    <row r="3201" spans="1:8">
      <c r="A3201" s="79" t="str">
        <f>LeaveData[[#This Row],[ EMP ID]]&amp;LeaveData[[#This Row],[Date]]</f>
        <v/>
      </c>
      <c r="B3201" s="92"/>
      <c r="C3201" s="92"/>
      <c r="D3201" s="101"/>
      <c r="E3201" s="79"/>
      <c r="F3201" s="79"/>
      <c r="G3201" s="79"/>
      <c r="H3201" s="79"/>
    </row>
    <row r="3202" spans="1:8">
      <c r="A3202" s="79" t="str">
        <f>LeaveData[[#This Row],[ EMP ID]]&amp;LeaveData[[#This Row],[Date]]</f>
        <v/>
      </c>
      <c r="B3202" s="92"/>
      <c r="C3202" s="92"/>
      <c r="D3202" s="101"/>
      <c r="E3202" s="79"/>
      <c r="F3202" s="79"/>
      <c r="G3202" s="79"/>
      <c r="H3202" s="79"/>
    </row>
    <row r="3203" spans="1:8">
      <c r="A3203" s="79" t="str">
        <f>LeaveData[[#This Row],[ EMP ID]]&amp;LeaveData[[#This Row],[Date]]</f>
        <v/>
      </c>
      <c r="B3203" s="92"/>
      <c r="C3203" s="92"/>
      <c r="D3203" s="101"/>
      <c r="E3203" s="79"/>
      <c r="F3203" s="79"/>
      <c r="G3203" s="79"/>
      <c r="H3203" s="79"/>
    </row>
    <row r="3204" spans="1:8">
      <c r="A3204" s="79" t="str">
        <f>LeaveData[[#This Row],[ EMP ID]]&amp;LeaveData[[#This Row],[Date]]</f>
        <v/>
      </c>
      <c r="B3204" s="92"/>
      <c r="C3204" s="92"/>
      <c r="D3204" s="101"/>
      <c r="E3204" s="79"/>
      <c r="F3204" s="79"/>
      <c r="G3204" s="79"/>
      <c r="H3204" s="79"/>
    </row>
    <row r="3205" spans="1:8">
      <c r="A3205" s="79" t="str">
        <f>LeaveData[[#This Row],[ EMP ID]]&amp;LeaveData[[#This Row],[Date]]</f>
        <v/>
      </c>
      <c r="B3205" s="92"/>
      <c r="C3205" s="92"/>
      <c r="D3205" s="101"/>
      <c r="E3205" s="79"/>
      <c r="F3205" s="79"/>
      <c r="G3205" s="79"/>
      <c r="H3205" s="79"/>
    </row>
    <row r="3206" spans="1:8">
      <c r="A3206" s="79" t="str">
        <f>LeaveData[[#This Row],[ EMP ID]]&amp;LeaveData[[#This Row],[Date]]</f>
        <v/>
      </c>
      <c r="B3206" s="92"/>
      <c r="C3206" s="92"/>
      <c r="D3206" s="101"/>
      <c r="E3206" s="79"/>
      <c r="F3206" s="79"/>
      <c r="G3206" s="79"/>
      <c r="H3206" s="79"/>
    </row>
    <row r="3207" spans="1:8">
      <c r="A3207" s="79" t="str">
        <f>LeaveData[[#This Row],[ EMP ID]]&amp;LeaveData[[#This Row],[Date]]</f>
        <v/>
      </c>
      <c r="B3207" s="92"/>
      <c r="C3207" s="92"/>
      <c r="D3207" s="101"/>
      <c r="E3207" s="79"/>
      <c r="F3207" s="79"/>
      <c r="G3207" s="79"/>
      <c r="H3207" s="79"/>
    </row>
    <row r="3208" spans="1:8">
      <c r="A3208" s="79" t="str">
        <f>LeaveData[[#This Row],[ EMP ID]]&amp;LeaveData[[#This Row],[Date]]</f>
        <v/>
      </c>
      <c r="B3208" s="92"/>
      <c r="C3208" s="92"/>
      <c r="D3208" s="101"/>
      <c r="E3208" s="79"/>
      <c r="F3208" s="79"/>
      <c r="G3208" s="79"/>
      <c r="H3208" s="79"/>
    </row>
    <row r="3209" spans="1:8">
      <c r="A3209" s="79" t="str">
        <f>LeaveData[[#This Row],[ EMP ID]]&amp;LeaveData[[#This Row],[Date]]</f>
        <v/>
      </c>
      <c r="B3209" s="92"/>
      <c r="C3209" s="92"/>
      <c r="D3209" s="101"/>
      <c r="E3209" s="79"/>
      <c r="F3209" s="79"/>
      <c r="G3209" s="79"/>
      <c r="H3209" s="79"/>
    </row>
    <row r="3210" spans="1:8">
      <c r="A3210" s="79" t="str">
        <f>LeaveData[[#This Row],[ EMP ID]]&amp;LeaveData[[#This Row],[Date]]</f>
        <v/>
      </c>
      <c r="B3210" s="92"/>
      <c r="C3210" s="92"/>
      <c r="D3210" s="101"/>
      <c r="E3210" s="79"/>
      <c r="F3210" s="79"/>
      <c r="G3210" s="79"/>
      <c r="H3210" s="79"/>
    </row>
    <row r="3211" spans="1:8">
      <c r="A3211" s="79" t="str">
        <f>LeaveData[[#This Row],[ EMP ID]]&amp;LeaveData[[#This Row],[Date]]</f>
        <v/>
      </c>
      <c r="B3211" s="92"/>
      <c r="C3211" s="92"/>
      <c r="D3211" s="101"/>
      <c r="E3211" s="79"/>
      <c r="F3211" s="79"/>
      <c r="G3211" s="79"/>
      <c r="H3211" s="79"/>
    </row>
    <row r="3212" spans="1:8">
      <c r="A3212" s="79" t="str">
        <f>LeaveData[[#This Row],[ EMP ID]]&amp;LeaveData[[#This Row],[Date]]</f>
        <v/>
      </c>
      <c r="B3212" s="92"/>
      <c r="C3212" s="92"/>
      <c r="D3212" s="101"/>
      <c r="E3212" s="79"/>
      <c r="F3212" s="79"/>
      <c r="G3212" s="79"/>
      <c r="H3212" s="79"/>
    </row>
    <row r="3213" spans="1:8">
      <c r="A3213" s="79" t="str">
        <f>LeaveData[[#This Row],[ EMP ID]]&amp;LeaveData[[#This Row],[Date]]</f>
        <v/>
      </c>
      <c r="B3213" s="92"/>
      <c r="C3213" s="92"/>
      <c r="D3213" s="101"/>
      <c r="E3213" s="79"/>
      <c r="F3213" s="79"/>
      <c r="G3213" s="79"/>
      <c r="H3213" s="79"/>
    </row>
    <row r="3214" spans="1:8">
      <c r="A3214" s="79" t="str">
        <f>LeaveData[[#This Row],[ EMP ID]]&amp;LeaveData[[#This Row],[Date]]</f>
        <v/>
      </c>
      <c r="B3214" s="92"/>
      <c r="C3214" s="92"/>
      <c r="D3214" s="101"/>
      <c r="E3214" s="79"/>
      <c r="F3214" s="79"/>
      <c r="G3214" s="79"/>
      <c r="H3214" s="79"/>
    </row>
    <row r="3215" spans="1:8">
      <c r="A3215" s="79" t="str">
        <f>LeaveData[[#This Row],[ EMP ID]]&amp;LeaveData[[#This Row],[Date]]</f>
        <v/>
      </c>
      <c r="B3215" s="92"/>
      <c r="C3215" s="92"/>
      <c r="D3215" s="101"/>
      <c r="E3215" s="79"/>
      <c r="F3215" s="79"/>
      <c r="G3215" s="79"/>
      <c r="H3215" s="79"/>
    </row>
    <row r="3216" spans="1:8">
      <c r="A3216" s="79" t="str">
        <f>LeaveData[[#This Row],[ EMP ID]]&amp;LeaveData[[#This Row],[Date]]</f>
        <v/>
      </c>
      <c r="B3216" s="92"/>
      <c r="C3216" s="92"/>
      <c r="D3216" s="101"/>
      <c r="E3216" s="79"/>
      <c r="F3216" s="79"/>
      <c r="G3216" s="79"/>
      <c r="H3216" s="79"/>
    </row>
    <row r="3217" spans="1:8">
      <c r="A3217" s="79" t="str">
        <f>LeaveData[[#This Row],[ EMP ID]]&amp;LeaveData[[#This Row],[Date]]</f>
        <v/>
      </c>
      <c r="B3217" s="92"/>
      <c r="C3217" s="92"/>
      <c r="D3217" s="101"/>
      <c r="E3217" s="79"/>
      <c r="F3217" s="79"/>
      <c r="G3217" s="79"/>
      <c r="H3217" s="79"/>
    </row>
    <row r="3218" spans="1:8">
      <c r="A3218" s="79" t="str">
        <f>LeaveData[[#This Row],[ EMP ID]]&amp;LeaveData[[#This Row],[Date]]</f>
        <v/>
      </c>
      <c r="B3218" s="92"/>
      <c r="C3218" s="92"/>
      <c r="D3218" s="101"/>
      <c r="E3218" s="79"/>
      <c r="F3218" s="79"/>
      <c r="G3218" s="79"/>
      <c r="H3218" s="79"/>
    </row>
    <row r="3219" spans="1:8">
      <c r="A3219" s="79" t="str">
        <f>LeaveData[[#This Row],[ EMP ID]]&amp;LeaveData[[#This Row],[Date]]</f>
        <v/>
      </c>
      <c r="B3219" s="92"/>
      <c r="C3219" s="92"/>
      <c r="D3219" s="101"/>
      <c r="E3219" s="79"/>
      <c r="F3219" s="79"/>
      <c r="G3219" s="79"/>
      <c r="H3219" s="79"/>
    </row>
    <row r="3220" spans="1:8">
      <c r="A3220" s="79" t="str">
        <f>LeaveData[[#This Row],[ EMP ID]]&amp;LeaveData[[#This Row],[Date]]</f>
        <v/>
      </c>
      <c r="B3220" s="92"/>
      <c r="C3220" s="92"/>
      <c r="D3220" s="101"/>
      <c r="E3220" s="79"/>
      <c r="F3220" s="79"/>
      <c r="G3220" s="79"/>
      <c r="H3220" s="79"/>
    </row>
    <row r="3221" spans="1:8">
      <c r="A3221" s="79" t="str">
        <f>LeaveData[[#This Row],[ EMP ID]]&amp;LeaveData[[#This Row],[Date]]</f>
        <v/>
      </c>
      <c r="B3221" s="92"/>
      <c r="C3221" s="92"/>
      <c r="D3221" s="101"/>
      <c r="E3221" s="79"/>
      <c r="F3221" s="79"/>
      <c r="G3221" s="79"/>
      <c r="H3221" s="79"/>
    </row>
    <row r="3222" spans="1:8">
      <c r="A3222" s="79" t="str">
        <f>LeaveData[[#This Row],[ EMP ID]]&amp;LeaveData[[#This Row],[Date]]</f>
        <v/>
      </c>
      <c r="B3222" s="92"/>
      <c r="C3222" s="92"/>
      <c r="D3222" s="101"/>
      <c r="E3222" s="79"/>
      <c r="F3222" s="79"/>
      <c r="G3222" s="79"/>
      <c r="H3222" s="79"/>
    </row>
    <row r="3223" spans="1:8">
      <c r="A3223" s="79" t="str">
        <f>LeaveData[[#This Row],[ EMP ID]]&amp;LeaveData[[#This Row],[Date]]</f>
        <v/>
      </c>
      <c r="B3223" s="92"/>
      <c r="C3223" s="92"/>
      <c r="D3223" s="101"/>
      <c r="E3223" s="79"/>
      <c r="F3223" s="79"/>
      <c r="G3223" s="79"/>
      <c r="H3223" s="79"/>
    </row>
    <row r="3224" spans="1:8">
      <c r="A3224" s="79" t="str">
        <f>LeaveData[[#This Row],[ EMP ID]]&amp;LeaveData[[#This Row],[Date]]</f>
        <v/>
      </c>
      <c r="B3224" s="92"/>
      <c r="C3224" s="92"/>
      <c r="D3224" s="101"/>
      <c r="E3224" s="79"/>
      <c r="F3224" s="79"/>
      <c r="G3224" s="79"/>
      <c r="H3224" s="79"/>
    </row>
    <row r="3225" spans="1:8">
      <c r="A3225" s="79" t="str">
        <f>LeaveData[[#This Row],[ EMP ID]]&amp;LeaveData[[#This Row],[Date]]</f>
        <v/>
      </c>
      <c r="B3225" s="92"/>
      <c r="C3225" s="92"/>
      <c r="D3225" s="101"/>
      <c r="E3225" s="79"/>
      <c r="F3225" s="79"/>
      <c r="G3225" s="79"/>
      <c r="H3225" s="79"/>
    </row>
    <row r="3226" spans="1:8">
      <c r="A3226" s="79" t="str">
        <f>LeaveData[[#This Row],[ EMP ID]]&amp;LeaveData[[#This Row],[Date]]</f>
        <v/>
      </c>
      <c r="B3226" s="92"/>
      <c r="C3226" s="92"/>
      <c r="D3226" s="101"/>
      <c r="E3226" s="79"/>
      <c r="F3226" s="79"/>
      <c r="G3226" s="79"/>
      <c r="H3226" s="79"/>
    </row>
    <row r="3227" spans="1:8">
      <c r="A3227" s="79" t="str">
        <f>LeaveData[[#This Row],[ EMP ID]]&amp;LeaveData[[#This Row],[Date]]</f>
        <v/>
      </c>
      <c r="B3227" s="92"/>
      <c r="C3227" s="92"/>
      <c r="D3227" s="101"/>
      <c r="E3227" s="79"/>
      <c r="F3227" s="79"/>
      <c r="G3227" s="79"/>
      <c r="H3227" s="79"/>
    </row>
    <row r="3228" spans="1:8">
      <c r="A3228" s="79" t="str">
        <f>LeaveData[[#This Row],[ EMP ID]]&amp;LeaveData[[#This Row],[Date]]</f>
        <v/>
      </c>
      <c r="B3228" s="92"/>
      <c r="C3228" s="92"/>
      <c r="D3228" s="101"/>
      <c r="E3228" s="79"/>
      <c r="F3228" s="79"/>
      <c r="G3228" s="79"/>
      <c r="H3228" s="79"/>
    </row>
    <row r="3229" spans="1:8">
      <c r="A3229" s="79" t="str">
        <f>LeaveData[[#This Row],[ EMP ID]]&amp;LeaveData[[#This Row],[Date]]</f>
        <v/>
      </c>
      <c r="B3229" s="92"/>
      <c r="C3229" s="92"/>
      <c r="D3229" s="101"/>
      <c r="E3229" s="79"/>
      <c r="F3229" s="79"/>
      <c r="G3229" s="79"/>
      <c r="H3229" s="79"/>
    </row>
    <row r="3230" spans="1:8">
      <c r="A3230" s="79" t="str">
        <f>LeaveData[[#This Row],[ EMP ID]]&amp;LeaveData[[#This Row],[Date]]</f>
        <v/>
      </c>
      <c r="B3230" s="92"/>
      <c r="C3230" s="92"/>
      <c r="D3230" s="101"/>
      <c r="E3230" s="79"/>
      <c r="F3230" s="79"/>
      <c r="G3230" s="79"/>
      <c r="H3230" s="79"/>
    </row>
    <row r="3231" spans="1:8">
      <c r="A3231" s="79" t="str">
        <f>LeaveData[[#This Row],[ EMP ID]]&amp;LeaveData[[#This Row],[Date]]</f>
        <v/>
      </c>
      <c r="B3231" s="92"/>
      <c r="C3231" s="92"/>
      <c r="D3231" s="101"/>
      <c r="E3231" s="79"/>
      <c r="F3231" s="79"/>
      <c r="G3231" s="79"/>
      <c r="H3231" s="79"/>
    </row>
    <row r="3232" spans="1:8">
      <c r="A3232" s="79" t="str">
        <f>LeaveData[[#This Row],[ EMP ID]]&amp;LeaveData[[#This Row],[Date]]</f>
        <v/>
      </c>
      <c r="B3232" s="92"/>
      <c r="C3232" s="92"/>
      <c r="D3232" s="101"/>
      <c r="E3232" s="79"/>
      <c r="F3232" s="79"/>
      <c r="G3232" s="79"/>
      <c r="H3232" s="79"/>
    </row>
    <row r="3233" spans="1:8">
      <c r="A3233" s="79" t="str">
        <f>LeaveData[[#This Row],[ EMP ID]]&amp;LeaveData[[#This Row],[Date]]</f>
        <v/>
      </c>
      <c r="B3233" s="92"/>
      <c r="C3233" s="92"/>
      <c r="D3233" s="101"/>
      <c r="E3233" s="79"/>
      <c r="F3233" s="79"/>
      <c r="G3233" s="79"/>
      <c r="H3233" s="79"/>
    </row>
    <row r="3234" spans="1:8">
      <c r="A3234" s="79" t="str">
        <f>LeaveData[[#This Row],[ EMP ID]]&amp;LeaveData[[#This Row],[Date]]</f>
        <v/>
      </c>
      <c r="B3234" s="92"/>
      <c r="C3234" s="92"/>
      <c r="D3234" s="101"/>
      <c r="E3234" s="79"/>
      <c r="F3234" s="79"/>
      <c r="G3234" s="79"/>
      <c r="H3234" s="79"/>
    </row>
    <row r="3235" spans="1:8">
      <c r="A3235" s="79" t="str">
        <f>LeaveData[[#This Row],[ EMP ID]]&amp;LeaveData[[#This Row],[Date]]</f>
        <v/>
      </c>
      <c r="B3235" s="92"/>
      <c r="C3235" s="92"/>
      <c r="D3235" s="101"/>
      <c r="E3235" s="79"/>
      <c r="F3235" s="79"/>
      <c r="G3235" s="79"/>
      <c r="H3235" s="79"/>
    </row>
    <row r="3236" spans="1:8">
      <c r="A3236" s="79" t="str">
        <f>LeaveData[[#This Row],[ EMP ID]]&amp;LeaveData[[#This Row],[Date]]</f>
        <v/>
      </c>
      <c r="B3236" s="92"/>
      <c r="C3236" s="92"/>
      <c r="D3236" s="101"/>
      <c r="E3236" s="79"/>
      <c r="F3236" s="79"/>
      <c r="G3236" s="79"/>
      <c r="H3236" s="79"/>
    </row>
    <row r="3237" spans="1:8">
      <c r="A3237" s="79" t="str">
        <f>LeaveData[[#This Row],[ EMP ID]]&amp;LeaveData[[#This Row],[Date]]</f>
        <v/>
      </c>
      <c r="B3237" s="92"/>
      <c r="C3237" s="92"/>
      <c r="D3237" s="101"/>
      <c r="E3237" s="79"/>
      <c r="F3237" s="79"/>
      <c r="G3237" s="79"/>
      <c r="H3237" s="79"/>
    </row>
    <row r="3238" spans="1:8">
      <c r="A3238" s="79" t="str">
        <f>LeaveData[[#This Row],[ EMP ID]]&amp;LeaveData[[#This Row],[Date]]</f>
        <v/>
      </c>
      <c r="B3238" s="92"/>
      <c r="C3238" s="92"/>
      <c r="D3238" s="101"/>
      <c r="E3238" s="79"/>
      <c r="F3238" s="79"/>
      <c r="G3238" s="79"/>
      <c r="H3238" s="79"/>
    </row>
    <row r="3239" spans="1:8">
      <c r="A3239" s="79" t="str">
        <f>LeaveData[[#This Row],[ EMP ID]]&amp;LeaveData[[#This Row],[Date]]</f>
        <v/>
      </c>
      <c r="B3239" s="92"/>
      <c r="C3239" s="92"/>
      <c r="D3239" s="101"/>
      <c r="E3239" s="79"/>
      <c r="F3239" s="79"/>
      <c r="G3239" s="79"/>
      <c r="H3239" s="79"/>
    </row>
    <row r="3240" spans="1:8">
      <c r="A3240" s="79" t="str">
        <f>LeaveData[[#This Row],[ EMP ID]]&amp;LeaveData[[#This Row],[Date]]</f>
        <v/>
      </c>
      <c r="B3240" s="92"/>
      <c r="C3240" s="92"/>
      <c r="D3240" s="101"/>
      <c r="E3240" s="79"/>
      <c r="F3240" s="79"/>
      <c r="G3240" s="79"/>
      <c r="H3240" s="79"/>
    </row>
    <row r="3241" spans="1:8">
      <c r="A3241" s="79" t="str">
        <f>LeaveData[[#This Row],[ EMP ID]]&amp;LeaveData[[#This Row],[Date]]</f>
        <v/>
      </c>
      <c r="B3241" s="92"/>
      <c r="C3241" s="92"/>
      <c r="D3241" s="101"/>
      <c r="E3241" s="79"/>
      <c r="F3241" s="79"/>
      <c r="G3241" s="79"/>
      <c r="H3241" s="79"/>
    </row>
    <row r="3242" spans="1:8">
      <c r="A3242" s="79" t="str">
        <f>LeaveData[[#This Row],[ EMP ID]]&amp;LeaveData[[#This Row],[Date]]</f>
        <v/>
      </c>
      <c r="B3242" s="92"/>
      <c r="C3242" s="92"/>
      <c r="D3242" s="101"/>
      <c r="E3242" s="79"/>
      <c r="F3242" s="79"/>
      <c r="G3242" s="79"/>
      <c r="H3242" s="79"/>
    </row>
    <row r="3243" spans="1:8">
      <c r="A3243" s="79" t="str">
        <f>LeaveData[[#This Row],[ EMP ID]]&amp;LeaveData[[#This Row],[Date]]</f>
        <v/>
      </c>
      <c r="B3243" s="92"/>
      <c r="C3243" s="92"/>
      <c r="D3243" s="101"/>
      <c r="E3243" s="79"/>
      <c r="F3243" s="79"/>
      <c r="G3243" s="79"/>
      <c r="H3243" s="79"/>
    </row>
    <row r="3244" spans="1:8">
      <c r="A3244" s="79" t="str">
        <f>LeaveData[[#This Row],[ EMP ID]]&amp;LeaveData[[#This Row],[Date]]</f>
        <v/>
      </c>
      <c r="B3244" s="92"/>
      <c r="C3244" s="92"/>
      <c r="D3244" s="101"/>
      <c r="E3244" s="79"/>
      <c r="F3244" s="79"/>
      <c r="G3244" s="79"/>
      <c r="H3244" s="79"/>
    </row>
    <row r="3245" spans="1:8">
      <c r="A3245" s="79" t="str">
        <f>LeaveData[[#This Row],[ EMP ID]]&amp;LeaveData[[#This Row],[Date]]</f>
        <v/>
      </c>
      <c r="B3245" s="92"/>
      <c r="C3245" s="92"/>
      <c r="D3245" s="101"/>
      <c r="E3245" s="79"/>
      <c r="F3245" s="79"/>
      <c r="G3245" s="79"/>
      <c r="H3245" s="79"/>
    </row>
    <row r="3246" spans="1:8">
      <c r="A3246" s="79" t="str">
        <f>LeaveData[[#This Row],[ EMP ID]]&amp;LeaveData[[#This Row],[Date]]</f>
        <v/>
      </c>
      <c r="B3246" s="92"/>
      <c r="C3246" s="92"/>
      <c r="D3246" s="101"/>
      <c r="E3246" s="79"/>
      <c r="F3246" s="79"/>
      <c r="G3246" s="79"/>
      <c r="H3246" s="79"/>
    </row>
    <row r="3247" spans="1:8">
      <c r="A3247" s="79" t="str">
        <f>LeaveData[[#This Row],[ EMP ID]]&amp;LeaveData[[#This Row],[Date]]</f>
        <v/>
      </c>
      <c r="B3247" s="92"/>
      <c r="C3247" s="92"/>
      <c r="D3247" s="101"/>
      <c r="E3247" s="79"/>
      <c r="F3247" s="79"/>
      <c r="G3247" s="79"/>
      <c r="H3247" s="79"/>
    </row>
    <row r="3248" spans="1:8">
      <c r="A3248" s="79" t="str">
        <f>LeaveData[[#This Row],[ EMP ID]]&amp;LeaveData[[#This Row],[Date]]</f>
        <v/>
      </c>
      <c r="B3248" s="92"/>
      <c r="C3248" s="92"/>
      <c r="D3248" s="101"/>
      <c r="E3248" s="79"/>
      <c r="F3248" s="79"/>
      <c r="G3248" s="79"/>
      <c r="H3248" s="79"/>
    </row>
    <row r="3249" spans="1:8">
      <c r="A3249" s="79" t="str">
        <f>LeaveData[[#This Row],[ EMP ID]]&amp;LeaveData[[#This Row],[Date]]</f>
        <v/>
      </c>
      <c r="B3249" s="92"/>
      <c r="C3249" s="92"/>
      <c r="D3249" s="101"/>
      <c r="E3249" s="79"/>
      <c r="F3249" s="79"/>
      <c r="G3249" s="79"/>
      <c r="H3249" s="79"/>
    </row>
    <row r="3250" spans="1:8">
      <c r="A3250" s="79" t="str">
        <f>LeaveData[[#This Row],[ EMP ID]]&amp;LeaveData[[#This Row],[Date]]</f>
        <v/>
      </c>
      <c r="B3250" s="92"/>
      <c r="C3250" s="92"/>
      <c r="D3250" s="101"/>
      <c r="E3250" s="79"/>
      <c r="F3250" s="79"/>
      <c r="G3250" s="79"/>
      <c r="H3250" s="79"/>
    </row>
    <row r="3251" spans="1:8">
      <c r="A3251" s="79" t="str">
        <f>LeaveData[[#This Row],[ EMP ID]]&amp;LeaveData[[#This Row],[Date]]</f>
        <v/>
      </c>
      <c r="B3251" s="92"/>
      <c r="C3251" s="92"/>
      <c r="D3251" s="101"/>
      <c r="E3251" s="79"/>
      <c r="F3251" s="79"/>
      <c r="G3251" s="79"/>
      <c r="H3251" s="79"/>
    </row>
    <row r="3252" spans="1:8">
      <c r="A3252" s="79" t="str">
        <f>LeaveData[[#This Row],[ EMP ID]]&amp;LeaveData[[#This Row],[Date]]</f>
        <v/>
      </c>
      <c r="B3252" s="92"/>
      <c r="C3252" s="92"/>
      <c r="D3252" s="101"/>
      <c r="E3252" s="79"/>
      <c r="F3252" s="79"/>
      <c r="G3252" s="79"/>
      <c r="H3252" s="79"/>
    </row>
    <row r="3253" spans="1:8">
      <c r="A3253" s="79" t="str">
        <f>LeaveData[[#This Row],[ EMP ID]]&amp;LeaveData[[#This Row],[Date]]</f>
        <v/>
      </c>
      <c r="B3253" s="92"/>
      <c r="C3253" s="92"/>
      <c r="D3253" s="101"/>
      <c r="E3253" s="79"/>
      <c r="F3253" s="79"/>
      <c r="G3253" s="79"/>
      <c r="H3253" s="79"/>
    </row>
    <row r="3254" spans="1:8">
      <c r="A3254" s="79" t="str">
        <f>LeaveData[[#This Row],[ EMP ID]]&amp;LeaveData[[#This Row],[Date]]</f>
        <v/>
      </c>
      <c r="B3254" s="92"/>
      <c r="C3254" s="92"/>
      <c r="D3254" s="101"/>
      <c r="E3254" s="79"/>
      <c r="F3254" s="79"/>
      <c r="G3254" s="79"/>
      <c r="H3254" s="79"/>
    </row>
    <row r="3255" spans="1:8">
      <c r="A3255" s="79" t="str">
        <f>LeaveData[[#This Row],[ EMP ID]]&amp;LeaveData[[#This Row],[Date]]</f>
        <v/>
      </c>
      <c r="B3255" s="92"/>
      <c r="C3255" s="92"/>
      <c r="D3255" s="101"/>
      <c r="E3255" s="79"/>
      <c r="F3255" s="79"/>
      <c r="G3255" s="79"/>
      <c r="H3255" s="79"/>
    </row>
    <row r="3256" spans="1:8">
      <c r="A3256" s="79" t="str">
        <f>LeaveData[[#This Row],[ EMP ID]]&amp;LeaveData[[#This Row],[Date]]</f>
        <v/>
      </c>
      <c r="B3256" s="92"/>
      <c r="C3256" s="92"/>
      <c r="D3256" s="101"/>
      <c r="E3256" s="79"/>
      <c r="F3256" s="79"/>
      <c r="G3256" s="79"/>
      <c r="H3256" s="79"/>
    </row>
    <row r="3257" spans="1:8">
      <c r="A3257" s="79" t="str">
        <f>LeaveData[[#This Row],[ EMP ID]]&amp;LeaveData[[#This Row],[Date]]</f>
        <v/>
      </c>
      <c r="B3257" s="92"/>
      <c r="C3257" s="92"/>
      <c r="D3257" s="101"/>
      <c r="E3257" s="79"/>
      <c r="F3257" s="79"/>
      <c r="G3257" s="79"/>
      <c r="H3257" s="79"/>
    </row>
    <row r="3258" spans="1:8">
      <c r="A3258" s="79" t="str">
        <f>LeaveData[[#This Row],[ EMP ID]]&amp;LeaveData[[#This Row],[Date]]</f>
        <v/>
      </c>
      <c r="B3258" s="92"/>
      <c r="C3258" s="92"/>
      <c r="D3258" s="101"/>
      <c r="E3258" s="79"/>
      <c r="F3258" s="79"/>
      <c r="G3258" s="79"/>
      <c r="H3258" s="79"/>
    </row>
    <row r="3259" spans="1:8">
      <c r="A3259" s="79" t="str">
        <f>LeaveData[[#This Row],[ EMP ID]]&amp;LeaveData[[#This Row],[Date]]</f>
        <v/>
      </c>
      <c r="B3259" s="92"/>
      <c r="C3259" s="92"/>
      <c r="D3259" s="101"/>
      <c r="E3259" s="79"/>
      <c r="F3259" s="79"/>
      <c r="G3259" s="79"/>
      <c r="H3259" s="79"/>
    </row>
    <row r="3260" spans="1:8">
      <c r="A3260" s="79" t="str">
        <f>LeaveData[[#This Row],[ EMP ID]]&amp;LeaveData[[#This Row],[Date]]</f>
        <v/>
      </c>
      <c r="B3260" s="92"/>
      <c r="C3260" s="92"/>
      <c r="D3260" s="101"/>
      <c r="E3260" s="79"/>
      <c r="F3260" s="79"/>
      <c r="G3260" s="79"/>
      <c r="H3260" s="79"/>
    </row>
    <row r="3261" spans="1:8">
      <c r="A3261" s="79" t="str">
        <f>LeaveData[[#This Row],[ EMP ID]]&amp;LeaveData[[#This Row],[Date]]</f>
        <v/>
      </c>
      <c r="B3261" s="92"/>
      <c r="C3261" s="92"/>
      <c r="D3261" s="101"/>
      <c r="E3261" s="79"/>
      <c r="F3261" s="79"/>
      <c r="G3261" s="79"/>
      <c r="H3261" s="79"/>
    </row>
    <row r="3262" spans="1:8">
      <c r="A3262" s="79" t="str">
        <f>LeaveData[[#This Row],[ EMP ID]]&amp;LeaveData[[#This Row],[Date]]</f>
        <v/>
      </c>
      <c r="B3262" s="92"/>
      <c r="C3262" s="92"/>
      <c r="D3262" s="101"/>
      <c r="E3262" s="79"/>
      <c r="F3262" s="79"/>
      <c r="G3262" s="79"/>
      <c r="H3262" s="79"/>
    </row>
    <row r="3263" spans="1:8">
      <c r="A3263" s="79" t="str">
        <f>LeaveData[[#This Row],[ EMP ID]]&amp;LeaveData[[#This Row],[Date]]</f>
        <v/>
      </c>
      <c r="B3263" s="92"/>
      <c r="C3263" s="92"/>
      <c r="D3263" s="101"/>
      <c r="E3263" s="79"/>
      <c r="F3263" s="79"/>
      <c r="G3263" s="79"/>
      <c r="H3263" s="79"/>
    </row>
    <row r="3264" spans="1:8">
      <c r="A3264" s="79" t="str">
        <f>LeaveData[[#This Row],[ EMP ID]]&amp;LeaveData[[#This Row],[Date]]</f>
        <v/>
      </c>
      <c r="B3264" s="92"/>
      <c r="C3264" s="92"/>
      <c r="D3264" s="101"/>
      <c r="E3264" s="79"/>
      <c r="F3264" s="79"/>
      <c r="G3264" s="79"/>
      <c r="H3264" s="79"/>
    </row>
    <row r="3265" spans="1:8">
      <c r="A3265" s="79" t="str">
        <f>LeaveData[[#This Row],[ EMP ID]]&amp;LeaveData[[#This Row],[Date]]</f>
        <v/>
      </c>
      <c r="B3265" s="92"/>
      <c r="C3265" s="92"/>
      <c r="D3265" s="101"/>
      <c r="E3265" s="79"/>
      <c r="F3265" s="79"/>
      <c r="G3265" s="79"/>
      <c r="H3265" s="79"/>
    </row>
    <row r="3266" spans="1:8">
      <c r="A3266" s="79" t="str">
        <f>LeaveData[[#This Row],[ EMP ID]]&amp;LeaveData[[#This Row],[Date]]</f>
        <v/>
      </c>
      <c r="B3266" s="92"/>
      <c r="C3266" s="92"/>
      <c r="D3266" s="101"/>
      <c r="E3266" s="79"/>
      <c r="F3266" s="79"/>
      <c r="G3266" s="79"/>
      <c r="H3266" s="79"/>
    </row>
    <row r="3267" spans="1:8">
      <c r="A3267" s="79" t="str">
        <f>LeaveData[[#This Row],[ EMP ID]]&amp;LeaveData[[#This Row],[Date]]</f>
        <v/>
      </c>
      <c r="B3267" s="92"/>
      <c r="C3267" s="92"/>
      <c r="D3267" s="101"/>
      <c r="E3267" s="79"/>
      <c r="F3267" s="79"/>
      <c r="G3267" s="79"/>
      <c r="H3267" s="79"/>
    </row>
    <row r="3268" spans="1:8">
      <c r="A3268" s="79" t="str">
        <f>LeaveData[[#This Row],[ EMP ID]]&amp;LeaveData[[#This Row],[Date]]</f>
        <v/>
      </c>
      <c r="B3268" s="92"/>
      <c r="C3268" s="92"/>
      <c r="D3268" s="101"/>
      <c r="E3268" s="79"/>
      <c r="F3268" s="79"/>
      <c r="G3268" s="79"/>
      <c r="H3268" s="79"/>
    </row>
    <row r="3269" spans="1:8">
      <c r="A3269" s="79" t="str">
        <f>LeaveData[[#This Row],[ EMP ID]]&amp;LeaveData[[#This Row],[Date]]</f>
        <v/>
      </c>
      <c r="B3269" s="92"/>
      <c r="C3269" s="92"/>
      <c r="D3269" s="101"/>
      <c r="E3269" s="79"/>
      <c r="F3269" s="79"/>
      <c r="G3269" s="79"/>
      <c r="H3269" s="79"/>
    </row>
    <row r="3270" spans="1:8">
      <c r="A3270" s="79" t="str">
        <f>LeaveData[[#This Row],[ EMP ID]]&amp;LeaveData[[#This Row],[Date]]</f>
        <v/>
      </c>
      <c r="B3270" s="92"/>
      <c r="C3270" s="92"/>
      <c r="D3270" s="101"/>
      <c r="E3270" s="79"/>
      <c r="F3270" s="79"/>
      <c r="G3270" s="79"/>
      <c r="H3270" s="79"/>
    </row>
    <row r="3271" spans="1:8">
      <c r="A3271" s="79" t="str">
        <f>LeaveData[[#This Row],[ EMP ID]]&amp;LeaveData[[#This Row],[Date]]</f>
        <v/>
      </c>
      <c r="B3271" s="92"/>
      <c r="C3271" s="92"/>
      <c r="D3271" s="101"/>
      <c r="E3271" s="79"/>
      <c r="F3271" s="79"/>
      <c r="G3271" s="79"/>
      <c r="H3271" s="79"/>
    </row>
    <row r="3272" spans="1:8">
      <c r="A3272" s="79" t="str">
        <f>LeaveData[[#This Row],[ EMP ID]]&amp;LeaveData[[#This Row],[Date]]</f>
        <v/>
      </c>
      <c r="B3272" s="92"/>
      <c r="C3272" s="92"/>
      <c r="D3272" s="101"/>
      <c r="E3272" s="79"/>
      <c r="F3272" s="79"/>
      <c r="G3272" s="79"/>
      <c r="H3272" s="79"/>
    </row>
    <row r="3273" spans="1:8">
      <c r="A3273" s="79" t="str">
        <f>LeaveData[[#This Row],[ EMP ID]]&amp;LeaveData[[#This Row],[Date]]</f>
        <v/>
      </c>
      <c r="B3273" s="92"/>
      <c r="C3273" s="92"/>
      <c r="D3273" s="101"/>
      <c r="E3273" s="79"/>
      <c r="F3273" s="79"/>
      <c r="G3273" s="79"/>
      <c r="H3273" s="79"/>
    </row>
    <row r="3274" spans="1:8">
      <c r="A3274" s="79" t="str">
        <f>LeaveData[[#This Row],[ EMP ID]]&amp;LeaveData[[#This Row],[Date]]</f>
        <v/>
      </c>
      <c r="B3274" s="92"/>
      <c r="C3274" s="92"/>
      <c r="D3274" s="101"/>
      <c r="E3274" s="79"/>
      <c r="F3274" s="79"/>
      <c r="G3274" s="79"/>
      <c r="H3274" s="79"/>
    </row>
    <row r="3275" spans="1:8">
      <c r="A3275" s="79" t="str">
        <f>LeaveData[[#This Row],[ EMP ID]]&amp;LeaveData[[#This Row],[Date]]</f>
        <v/>
      </c>
      <c r="B3275" s="92"/>
      <c r="C3275" s="92"/>
      <c r="D3275" s="101"/>
      <c r="E3275" s="79"/>
      <c r="F3275" s="79"/>
      <c r="G3275" s="79"/>
      <c r="H3275" s="79"/>
    </row>
    <row r="3276" spans="1:8">
      <c r="A3276" s="79" t="str">
        <f>LeaveData[[#This Row],[ EMP ID]]&amp;LeaveData[[#This Row],[Date]]</f>
        <v/>
      </c>
      <c r="B3276" s="92"/>
      <c r="C3276" s="92"/>
      <c r="D3276" s="101"/>
      <c r="E3276" s="79"/>
      <c r="F3276" s="79"/>
      <c r="G3276" s="79"/>
      <c r="H3276" s="79"/>
    </row>
    <row r="3277" spans="1:8">
      <c r="A3277" s="79" t="str">
        <f>LeaveData[[#This Row],[ EMP ID]]&amp;LeaveData[[#This Row],[Date]]</f>
        <v/>
      </c>
      <c r="B3277" s="92"/>
      <c r="C3277" s="92"/>
      <c r="D3277" s="101"/>
      <c r="E3277" s="79"/>
      <c r="F3277" s="79"/>
      <c r="G3277" s="79"/>
      <c r="H3277" s="79"/>
    </row>
    <row r="3278" spans="1:8">
      <c r="A3278" s="79" t="str">
        <f>LeaveData[[#This Row],[ EMP ID]]&amp;LeaveData[[#This Row],[Date]]</f>
        <v/>
      </c>
      <c r="B3278" s="92"/>
      <c r="C3278" s="92"/>
      <c r="D3278" s="101"/>
      <c r="E3278" s="79"/>
      <c r="F3278" s="79"/>
      <c r="G3278" s="79"/>
      <c r="H3278" s="79"/>
    </row>
    <row r="3279" spans="1:8">
      <c r="A3279" s="79" t="str">
        <f>LeaveData[[#This Row],[ EMP ID]]&amp;LeaveData[[#This Row],[Date]]</f>
        <v/>
      </c>
      <c r="B3279" s="92"/>
      <c r="C3279" s="92"/>
      <c r="D3279" s="101"/>
      <c r="E3279" s="79"/>
      <c r="F3279" s="79"/>
      <c r="G3279" s="79"/>
      <c r="H3279" s="79"/>
    </row>
    <row r="3280" spans="1:8">
      <c r="A3280" s="79" t="str">
        <f>LeaveData[[#This Row],[ EMP ID]]&amp;LeaveData[[#This Row],[Date]]</f>
        <v/>
      </c>
      <c r="B3280" s="92"/>
      <c r="C3280" s="92"/>
      <c r="D3280" s="101"/>
      <c r="E3280" s="79"/>
      <c r="F3280" s="79"/>
      <c r="G3280" s="79"/>
      <c r="H3280" s="79"/>
    </row>
    <row r="3281" spans="1:8">
      <c r="A3281" s="79" t="str">
        <f>LeaveData[[#This Row],[ EMP ID]]&amp;LeaveData[[#This Row],[Date]]</f>
        <v/>
      </c>
      <c r="B3281" s="92"/>
      <c r="C3281" s="92"/>
      <c r="D3281" s="101"/>
      <c r="E3281" s="79"/>
      <c r="F3281" s="79"/>
      <c r="G3281" s="79"/>
      <c r="H3281" s="79"/>
    </row>
    <row r="3282" spans="1:8">
      <c r="A3282" s="79" t="str">
        <f>LeaveData[[#This Row],[ EMP ID]]&amp;LeaveData[[#This Row],[Date]]</f>
        <v/>
      </c>
      <c r="B3282" s="92"/>
      <c r="C3282" s="92"/>
      <c r="D3282" s="101"/>
      <c r="E3282" s="79"/>
      <c r="F3282" s="79"/>
      <c r="G3282" s="79"/>
      <c r="H3282" s="79"/>
    </row>
    <row r="3283" spans="1:8">
      <c r="A3283" s="79" t="str">
        <f>LeaveData[[#This Row],[ EMP ID]]&amp;LeaveData[[#This Row],[Date]]</f>
        <v/>
      </c>
      <c r="B3283" s="92"/>
      <c r="C3283" s="92"/>
      <c r="D3283" s="101"/>
      <c r="E3283" s="79"/>
      <c r="F3283" s="79"/>
      <c r="G3283" s="79"/>
      <c r="H3283" s="79"/>
    </row>
    <row r="3284" spans="1:8">
      <c r="A3284" s="79" t="str">
        <f>LeaveData[[#This Row],[ EMP ID]]&amp;LeaveData[[#This Row],[Date]]</f>
        <v/>
      </c>
      <c r="B3284" s="92"/>
      <c r="C3284" s="92"/>
      <c r="D3284" s="101"/>
      <c r="E3284" s="79"/>
      <c r="F3284" s="79"/>
      <c r="G3284" s="79"/>
      <c r="H3284" s="79"/>
    </row>
    <row r="3285" spans="1:8">
      <c r="A3285" s="79" t="str">
        <f>LeaveData[[#This Row],[ EMP ID]]&amp;LeaveData[[#This Row],[Date]]</f>
        <v/>
      </c>
      <c r="B3285" s="92"/>
      <c r="C3285" s="92"/>
      <c r="D3285" s="101"/>
      <c r="E3285" s="79"/>
      <c r="F3285" s="79"/>
      <c r="G3285" s="79"/>
      <c r="H3285" s="79"/>
    </row>
    <row r="3286" spans="1:8">
      <c r="A3286" s="79" t="str">
        <f>LeaveData[[#This Row],[ EMP ID]]&amp;LeaveData[[#This Row],[Date]]</f>
        <v/>
      </c>
      <c r="B3286" s="92"/>
      <c r="C3286" s="92"/>
      <c r="D3286" s="101"/>
      <c r="E3286" s="79"/>
      <c r="F3286" s="79"/>
      <c r="G3286" s="79"/>
      <c r="H3286" s="79"/>
    </row>
    <row r="3287" spans="1:8">
      <c r="A3287" s="79" t="str">
        <f>LeaveData[[#This Row],[ EMP ID]]&amp;LeaveData[[#This Row],[Date]]</f>
        <v/>
      </c>
      <c r="B3287" s="92"/>
      <c r="C3287" s="92"/>
      <c r="D3287" s="101"/>
      <c r="E3287" s="79"/>
      <c r="F3287" s="79"/>
      <c r="G3287" s="79"/>
      <c r="H3287" s="79"/>
    </row>
    <row r="3288" spans="1:8">
      <c r="A3288" s="79" t="str">
        <f>LeaveData[[#This Row],[ EMP ID]]&amp;LeaveData[[#This Row],[Date]]</f>
        <v/>
      </c>
      <c r="B3288" s="92"/>
      <c r="C3288" s="92"/>
      <c r="D3288" s="101"/>
      <c r="E3288" s="79"/>
      <c r="F3288" s="79"/>
      <c r="G3288" s="79"/>
      <c r="H3288" s="79"/>
    </row>
    <row r="3289" spans="1:8">
      <c r="A3289" s="79" t="str">
        <f>LeaveData[[#This Row],[ EMP ID]]&amp;LeaveData[[#This Row],[Date]]</f>
        <v/>
      </c>
      <c r="B3289" s="92"/>
      <c r="C3289" s="92"/>
      <c r="D3289" s="101"/>
      <c r="E3289" s="79"/>
      <c r="F3289" s="79"/>
      <c r="G3289" s="79"/>
      <c r="H3289" s="79"/>
    </row>
    <row r="3290" spans="1:8">
      <c r="A3290" s="79" t="str">
        <f>LeaveData[[#This Row],[ EMP ID]]&amp;LeaveData[[#This Row],[Date]]</f>
        <v/>
      </c>
      <c r="B3290" s="92"/>
      <c r="C3290" s="92"/>
      <c r="D3290" s="101"/>
      <c r="E3290" s="79"/>
      <c r="F3290" s="79"/>
      <c r="G3290" s="79"/>
      <c r="H3290" s="79"/>
    </row>
    <row r="3291" spans="1:8">
      <c r="A3291" s="79" t="str">
        <f>LeaveData[[#This Row],[ EMP ID]]&amp;LeaveData[[#This Row],[Date]]</f>
        <v/>
      </c>
      <c r="B3291" s="92"/>
      <c r="C3291" s="92"/>
      <c r="D3291" s="101"/>
      <c r="E3291" s="79"/>
      <c r="F3291" s="79"/>
      <c r="G3291" s="79"/>
      <c r="H3291" s="79"/>
    </row>
    <row r="3292" spans="1:8">
      <c r="A3292" s="79" t="str">
        <f>LeaveData[[#This Row],[ EMP ID]]&amp;LeaveData[[#This Row],[Date]]</f>
        <v/>
      </c>
      <c r="B3292" s="92"/>
      <c r="C3292" s="92"/>
      <c r="D3292" s="101"/>
      <c r="E3292" s="79"/>
      <c r="F3292" s="79"/>
      <c r="G3292" s="79"/>
      <c r="H3292" s="79"/>
    </row>
    <row r="3293" spans="1:8">
      <c r="A3293" s="79" t="str">
        <f>LeaveData[[#This Row],[ EMP ID]]&amp;LeaveData[[#This Row],[Date]]</f>
        <v/>
      </c>
      <c r="B3293" s="92"/>
      <c r="C3293" s="92"/>
      <c r="D3293" s="101"/>
      <c r="E3293" s="79"/>
      <c r="F3293" s="79"/>
      <c r="G3293" s="79"/>
      <c r="H3293" s="79"/>
    </row>
    <row r="3294" spans="1:8">
      <c r="A3294" s="79" t="str">
        <f>LeaveData[[#This Row],[ EMP ID]]&amp;LeaveData[[#This Row],[Date]]</f>
        <v/>
      </c>
      <c r="B3294" s="92"/>
      <c r="C3294" s="92"/>
      <c r="D3294" s="101"/>
      <c r="E3294" s="79"/>
      <c r="F3294" s="79"/>
      <c r="G3294" s="79"/>
      <c r="H3294" s="79"/>
    </row>
    <row r="3295" spans="1:8">
      <c r="A3295" s="79" t="str">
        <f>LeaveData[[#This Row],[ EMP ID]]&amp;LeaveData[[#This Row],[Date]]</f>
        <v/>
      </c>
      <c r="B3295" s="92"/>
      <c r="C3295" s="92"/>
      <c r="D3295" s="101"/>
      <c r="E3295" s="79"/>
      <c r="F3295" s="79"/>
      <c r="G3295" s="79"/>
      <c r="H3295" s="79"/>
    </row>
    <row r="3296" spans="1:8">
      <c r="A3296" s="79" t="str">
        <f>LeaveData[[#This Row],[ EMP ID]]&amp;LeaveData[[#This Row],[Date]]</f>
        <v/>
      </c>
      <c r="B3296" s="92"/>
      <c r="C3296" s="92"/>
      <c r="D3296" s="101"/>
      <c r="E3296" s="79"/>
      <c r="F3296" s="79"/>
      <c r="G3296" s="79"/>
      <c r="H3296" s="79"/>
    </row>
    <row r="3297" spans="1:8">
      <c r="A3297" s="79" t="str">
        <f>LeaveData[[#This Row],[ EMP ID]]&amp;LeaveData[[#This Row],[Date]]</f>
        <v/>
      </c>
      <c r="B3297" s="92"/>
      <c r="C3297" s="92"/>
      <c r="D3297" s="101"/>
      <c r="E3297" s="79"/>
      <c r="F3297" s="79"/>
      <c r="G3297" s="79"/>
      <c r="H3297" s="79"/>
    </row>
    <row r="3298" spans="1:8">
      <c r="A3298" s="79" t="str">
        <f>LeaveData[[#This Row],[ EMP ID]]&amp;LeaveData[[#This Row],[Date]]</f>
        <v/>
      </c>
      <c r="B3298" s="92"/>
      <c r="C3298" s="92"/>
      <c r="D3298" s="101"/>
      <c r="E3298" s="79"/>
      <c r="F3298" s="79"/>
      <c r="G3298" s="79"/>
      <c r="H3298" s="79"/>
    </row>
    <row r="3299" spans="1:8">
      <c r="A3299" s="79" t="str">
        <f>LeaveData[[#This Row],[ EMP ID]]&amp;LeaveData[[#This Row],[Date]]</f>
        <v/>
      </c>
      <c r="B3299" s="92"/>
      <c r="C3299" s="92"/>
      <c r="D3299" s="101"/>
      <c r="E3299" s="79"/>
      <c r="F3299" s="79"/>
      <c r="G3299" s="79"/>
      <c r="H3299" s="79"/>
    </row>
    <row r="3300" spans="1:8">
      <c r="A3300" s="79" t="str">
        <f>LeaveData[[#This Row],[ EMP ID]]&amp;LeaveData[[#This Row],[Date]]</f>
        <v/>
      </c>
      <c r="B3300" s="92"/>
      <c r="C3300" s="92"/>
      <c r="D3300" s="101"/>
      <c r="E3300" s="79"/>
      <c r="F3300" s="79"/>
      <c r="G3300" s="79"/>
      <c r="H3300" s="79"/>
    </row>
    <row r="3301" spans="1:8">
      <c r="A3301" s="79" t="str">
        <f>LeaveData[[#This Row],[ EMP ID]]&amp;LeaveData[[#This Row],[Date]]</f>
        <v/>
      </c>
      <c r="B3301" s="92"/>
      <c r="C3301" s="92"/>
      <c r="D3301" s="101"/>
      <c r="E3301" s="79"/>
      <c r="F3301" s="79"/>
      <c r="G3301" s="79"/>
      <c r="H3301" s="79"/>
    </row>
    <row r="3302" spans="1:8">
      <c r="A3302" s="79" t="str">
        <f>LeaveData[[#This Row],[ EMP ID]]&amp;LeaveData[[#This Row],[Date]]</f>
        <v/>
      </c>
      <c r="B3302" s="92"/>
      <c r="C3302" s="92"/>
      <c r="D3302" s="101"/>
      <c r="E3302" s="79"/>
      <c r="F3302" s="79"/>
      <c r="G3302" s="79"/>
      <c r="H3302" s="79"/>
    </row>
    <row r="3303" spans="1:8">
      <c r="A3303" s="79" t="str">
        <f>LeaveData[[#This Row],[ EMP ID]]&amp;LeaveData[[#This Row],[Date]]</f>
        <v/>
      </c>
      <c r="B3303" s="92"/>
      <c r="C3303" s="92"/>
      <c r="D3303" s="101"/>
      <c r="E3303" s="79"/>
      <c r="F3303" s="79"/>
      <c r="G3303" s="79"/>
      <c r="H3303" s="79"/>
    </row>
    <row r="3304" spans="1:8">
      <c r="A3304" s="79" t="str">
        <f>LeaveData[[#This Row],[ EMP ID]]&amp;LeaveData[[#This Row],[Date]]</f>
        <v/>
      </c>
      <c r="B3304" s="92"/>
      <c r="C3304" s="92"/>
      <c r="D3304" s="101"/>
      <c r="E3304" s="79"/>
      <c r="F3304" s="79"/>
      <c r="G3304" s="79"/>
      <c r="H3304" s="79"/>
    </row>
    <row r="3305" spans="1:8">
      <c r="A3305" s="79" t="str">
        <f>LeaveData[[#This Row],[ EMP ID]]&amp;LeaveData[[#This Row],[Date]]</f>
        <v/>
      </c>
      <c r="B3305" s="92"/>
      <c r="C3305" s="92"/>
      <c r="D3305" s="101"/>
      <c r="E3305" s="79"/>
      <c r="F3305" s="79"/>
      <c r="G3305" s="79"/>
      <c r="H3305" s="79"/>
    </row>
    <row r="3306" spans="1:8">
      <c r="A3306" s="79" t="str">
        <f>LeaveData[[#This Row],[ EMP ID]]&amp;LeaveData[[#This Row],[Date]]</f>
        <v/>
      </c>
      <c r="B3306" s="92"/>
      <c r="C3306" s="92"/>
      <c r="D3306" s="101"/>
      <c r="E3306" s="79"/>
      <c r="F3306" s="79"/>
      <c r="G3306" s="79"/>
      <c r="H3306" s="79"/>
    </row>
    <row r="3307" spans="1:8">
      <c r="A3307" s="79" t="str">
        <f>LeaveData[[#This Row],[ EMP ID]]&amp;LeaveData[[#This Row],[Date]]</f>
        <v/>
      </c>
      <c r="B3307" s="92"/>
      <c r="C3307" s="92"/>
      <c r="D3307" s="101"/>
      <c r="E3307" s="79"/>
      <c r="F3307" s="79"/>
      <c r="G3307" s="79"/>
      <c r="H3307" s="79"/>
    </row>
    <row r="3308" spans="1:8">
      <c r="A3308" s="79" t="str">
        <f>LeaveData[[#This Row],[ EMP ID]]&amp;LeaveData[[#This Row],[Date]]</f>
        <v/>
      </c>
      <c r="B3308" s="92"/>
      <c r="C3308" s="92"/>
      <c r="D3308" s="101"/>
      <c r="E3308" s="79"/>
      <c r="F3308" s="79"/>
      <c r="G3308" s="79"/>
      <c r="H3308" s="79"/>
    </row>
    <row r="3309" spans="1:8">
      <c r="A3309" s="79" t="str">
        <f>LeaveData[[#This Row],[ EMP ID]]&amp;LeaveData[[#This Row],[Date]]</f>
        <v/>
      </c>
      <c r="B3309" s="92"/>
      <c r="C3309" s="92"/>
      <c r="D3309" s="101"/>
      <c r="E3309" s="79"/>
      <c r="F3309" s="79"/>
      <c r="G3309" s="79"/>
      <c r="H3309" s="79"/>
    </row>
    <row r="3310" spans="1:8">
      <c r="A3310" s="79" t="str">
        <f>LeaveData[[#This Row],[ EMP ID]]&amp;LeaveData[[#This Row],[Date]]</f>
        <v/>
      </c>
      <c r="B3310" s="92"/>
      <c r="C3310" s="92"/>
      <c r="D3310" s="101"/>
      <c r="E3310" s="79"/>
      <c r="F3310" s="79"/>
      <c r="G3310" s="79"/>
      <c r="H3310" s="79"/>
    </row>
    <row r="3311" spans="1:8">
      <c r="A3311" s="79" t="str">
        <f>LeaveData[[#This Row],[ EMP ID]]&amp;LeaveData[[#This Row],[Date]]</f>
        <v/>
      </c>
      <c r="B3311" s="92"/>
      <c r="C3311" s="92"/>
      <c r="D3311" s="101"/>
      <c r="E3311" s="79"/>
      <c r="F3311" s="79"/>
      <c r="G3311" s="79"/>
      <c r="H3311" s="79"/>
    </row>
    <row r="3312" spans="1:8">
      <c r="A3312" s="79" t="str">
        <f>LeaveData[[#This Row],[ EMP ID]]&amp;LeaveData[[#This Row],[Date]]</f>
        <v/>
      </c>
      <c r="B3312" s="92"/>
      <c r="C3312" s="92"/>
      <c r="D3312" s="101"/>
      <c r="E3312" s="79"/>
      <c r="F3312" s="79"/>
      <c r="G3312" s="79"/>
      <c r="H3312" s="79"/>
    </row>
    <row r="3313" spans="1:8">
      <c r="A3313" s="79" t="str">
        <f>LeaveData[[#This Row],[ EMP ID]]&amp;LeaveData[[#This Row],[Date]]</f>
        <v/>
      </c>
      <c r="B3313" s="92"/>
      <c r="C3313" s="92"/>
      <c r="D3313" s="101"/>
      <c r="E3313" s="79"/>
      <c r="F3313" s="79"/>
      <c r="G3313" s="79"/>
      <c r="H3313" s="79"/>
    </row>
    <row r="3314" spans="1:8">
      <c r="A3314" s="79" t="str">
        <f>LeaveData[[#This Row],[ EMP ID]]&amp;LeaveData[[#This Row],[Date]]</f>
        <v/>
      </c>
      <c r="B3314" s="92"/>
      <c r="C3314" s="92"/>
      <c r="D3314" s="101"/>
      <c r="E3314" s="79"/>
      <c r="F3314" s="79"/>
      <c r="G3314" s="79"/>
      <c r="H3314" s="79"/>
    </row>
    <row r="3315" spans="1:8">
      <c r="A3315" s="79" t="str">
        <f>LeaveData[[#This Row],[ EMP ID]]&amp;LeaveData[[#This Row],[Date]]</f>
        <v/>
      </c>
      <c r="B3315" s="92"/>
      <c r="C3315" s="92"/>
      <c r="D3315" s="101"/>
      <c r="E3315" s="79"/>
      <c r="F3315" s="79"/>
      <c r="G3315" s="79"/>
      <c r="H3315" s="79"/>
    </row>
    <row r="3316" spans="1:8">
      <c r="A3316" s="79" t="str">
        <f>LeaveData[[#This Row],[ EMP ID]]&amp;LeaveData[[#This Row],[Date]]</f>
        <v/>
      </c>
      <c r="B3316" s="92"/>
      <c r="C3316" s="92"/>
      <c r="D3316" s="101"/>
      <c r="E3316" s="79"/>
      <c r="F3316" s="79"/>
      <c r="G3316" s="79"/>
      <c r="H3316" s="79"/>
    </row>
    <row r="3317" spans="1:8">
      <c r="A3317" s="79" t="str">
        <f>LeaveData[[#This Row],[ EMP ID]]&amp;LeaveData[[#This Row],[Date]]</f>
        <v/>
      </c>
      <c r="B3317" s="92"/>
      <c r="C3317" s="92"/>
      <c r="D3317" s="101"/>
      <c r="E3317" s="79"/>
      <c r="F3317" s="79"/>
      <c r="G3317" s="79"/>
      <c r="H3317" s="79"/>
    </row>
    <row r="3318" spans="1:8">
      <c r="A3318" s="79" t="str">
        <f>LeaveData[[#This Row],[ EMP ID]]&amp;LeaveData[[#This Row],[Date]]</f>
        <v/>
      </c>
      <c r="B3318" s="92"/>
      <c r="C3318" s="92"/>
      <c r="D3318" s="101"/>
      <c r="E3318" s="79"/>
      <c r="F3318" s="79"/>
      <c r="G3318" s="79"/>
      <c r="H3318" s="79"/>
    </row>
    <row r="3319" spans="1:8">
      <c r="A3319" s="79" t="str">
        <f>LeaveData[[#This Row],[ EMP ID]]&amp;LeaveData[[#This Row],[Date]]</f>
        <v/>
      </c>
      <c r="B3319" s="92"/>
      <c r="C3319" s="92"/>
      <c r="D3319" s="101"/>
      <c r="E3319" s="79"/>
      <c r="F3319" s="79"/>
      <c r="G3319" s="79"/>
      <c r="H3319" s="79"/>
    </row>
    <row r="3320" spans="1:8">
      <c r="A3320" s="79" t="str">
        <f>LeaveData[[#This Row],[ EMP ID]]&amp;LeaveData[[#This Row],[Date]]</f>
        <v/>
      </c>
      <c r="B3320" s="92"/>
      <c r="C3320" s="92"/>
      <c r="D3320" s="101"/>
      <c r="E3320" s="79"/>
      <c r="F3320" s="79"/>
      <c r="G3320" s="79"/>
      <c r="H3320" s="79"/>
    </row>
    <row r="3321" spans="1:8">
      <c r="A3321" s="79" t="str">
        <f>LeaveData[[#This Row],[ EMP ID]]&amp;LeaveData[[#This Row],[Date]]</f>
        <v/>
      </c>
      <c r="B3321" s="92"/>
      <c r="C3321" s="92"/>
      <c r="D3321" s="101"/>
      <c r="E3321" s="79"/>
      <c r="F3321" s="79"/>
      <c r="G3321" s="79"/>
      <c r="H3321" s="79"/>
    </row>
    <row r="3322" spans="1:8">
      <c r="A3322" s="79" t="str">
        <f>LeaveData[[#This Row],[ EMP ID]]&amp;LeaveData[[#This Row],[Date]]</f>
        <v/>
      </c>
      <c r="B3322" s="92"/>
      <c r="C3322" s="92"/>
      <c r="D3322" s="101"/>
      <c r="E3322" s="79"/>
      <c r="F3322" s="79"/>
      <c r="G3322" s="79"/>
      <c r="H3322" s="79"/>
    </row>
    <row r="3323" spans="1:8">
      <c r="A3323" s="79" t="str">
        <f>LeaveData[[#This Row],[ EMP ID]]&amp;LeaveData[[#This Row],[Date]]</f>
        <v/>
      </c>
      <c r="B3323" s="92"/>
      <c r="C3323" s="92"/>
      <c r="D3323" s="101"/>
      <c r="E3323" s="79"/>
      <c r="F3323" s="79"/>
      <c r="G3323" s="79"/>
      <c r="H3323" s="79"/>
    </row>
    <row r="3324" spans="1:8">
      <c r="A3324" s="79" t="str">
        <f>LeaveData[[#This Row],[ EMP ID]]&amp;LeaveData[[#This Row],[Date]]</f>
        <v/>
      </c>
      <c r="B3324" s="92"/>
      <c r="C3324" s="92"/>
      <c r="D3324" s="101"/>
      <c r="E3324" s="79"/>
      <c r="F3324" s="79"/>
      <c r="G3324" s="79"/>
      <c r="H3324" s="79"/>
    </row>
    <row r="3325" spans="1:8">
      <c r="A3325" s="79" t="str">
        <f>LeaveData[[#This Row],[ EMP ID]]&amp;LeaveData[[#This Row],[Date]]</f>
        <v/>
      </c>
      <c r="B3325" s="92"/>
      <c r="C3325" s="92"/>
      <c r="D3325" s="101"/>
      <c r="E3325" s="79"/>
      <c r="F3325" s="79"/>
      <c r="G3325" s="79"/>
      <c r="H3325" s="79"/>
    </row>
    <row r="3326" spans="1:8">
      <c r="A3326" s="79" t="str">
        <f>LeaveData[[#This Row],[ EMP ID]]&amp;LeaveData[[#This Row],[Date]]</f>
        <v/>
      </c>
      <c r="B3326" s="92"/>
      <c r="C3326" s="92"/>
      <c r="D3326" s="101"/>
      <c r="E3326" s="79"/>
      <c r="F3326" s="79"/>
      <c r="G3326" s="79"/>
      <c r="H3326" s="79"/>
    </row>
    <row r="3327" spans="1:8">
      <c r="A3327" s="79" t="str">
        <f>LeaveData[[#This Row],[ EMP ID]]&amp;LeaveData[[#This Row],[Date]]</f>
        <v/>
      </c>
      <c r="B3327" s="92"/>
      <c r="C3327" s="92"/>
      <c r="D3327" s="101"/>
      <c r="E3327" s="79"/>
      <c r="F3327" s="79"/>
      <c r="G3327" s="79"/>
      <c r="H3327" s="79"/>
    </row>
    <row r="3328" spans="1:8">
      <c r="A3328" s="79" t="str">
        <f>LeaveData[[#This Row],[ EMP ID]]&amp;LeaveData[[#This Row],[Date]]</f>
        <v/>
      </c>
      <c r="B3328" s="92"/>
      <c r="C3328" s="92"/>
      <c r="D3328" s="101"/>
      <c r="E3328" s="79"/>
      <c r="F3328" s="79"/>
      <c r="G3328" s="79"/>
      <c r="H3328" s="79"/>
    </row>
    <row r="3329" spans="1:8">
      <c r="A3329" s="79" t="str">
        <f>LeaveData[[#This Row],[ EMP ID]]&amp;LeaveData[[#This Row],[Date]]</f>
        <v/>
      </c>
      <c r="B3329" s="92"/>
      <c r="C3329" s="92"/>
      <c r="D3329" s="101"/>
      <c r="E3329" s="79"/>
      <c r="F3329" s="79"/>
      <c r="G3329" s="79"/>
      <c r="H3329" s="79"/>
    </row>
    <row r="3330" spans="1:8">
      <c r="A3330" s="79" t="str">
        <f>LeaveData[[#This Row],[ EMP ID]]&amp;LeaveData[[#This Row],[Date]]</f>
        <v/>
      </c>
      <c r="B3330" s="92"/>
      <c r="C3330" s="92"/>
      <c r="D3330" s="101"/>
      <c r="E3330" s="79"/>
      <c r="F3330" s="79"/>
      <c r="G3330" s="79"/>
      <c r="H3330" s="79"/>
    </row>
    <row r="3331" spans="1:8">
      <c r="A3331" s="79" t="str">
        <f>LeaveData[[#This Row],[ EMP ID]]&amp;LeaveData[[#This Row],[Date]]</f>
        <v/>
      </c>
      <c r="B3331" s="92"/>
      <c r="C3331" s="92"/>
      <c r="D3331" s="101"/>
      <c r="E3331" s="79"/>
      <c r="F3331" s="79"/>
      <c r="G3331" s="79"/>
      <c r="H3331" s="79"/>
    </row>
    <row r="3332" spans="1:8">
      <c r="A3332" s="79" t="str">
        <f>LeaveData[[#This Row],[ EMP ID]]&amp;LeaveData[[#This Row],[Date]]</f>
        <v/>
      </c>
      <c r="B3332" s="92"/>
      <c r="C3332" s="92"/>
      <c r="D3332" s="101"/>
      <c r="E3332" s="79"/>
      <c r="F3332" s="79"/>
      <c r="G3332" s="79"/>
      <c r="H3332" s="79"/>
    </row>
    <row r="3333" spans="1:8">
      <c r="A3333" s="79" t="str">
        <f>LeaveData[[#This Row],[ EMP ID]]&amp;LeaveData[[#This Row],[Date]]</f>
        <v/>
      </c>
      <c r="B3333" s="92"/>
      <c r="C3333" s="92"/>
      <c r="D3333" s="101"/>
      <c r="E3333" s="79"/>
      <c r="F3333" s="79"/>
      <c r="G3333" s="79"/>
      <c r="H3333" s="79"/>
    </row>
    <row r="3334" spans="1:8">
      <c r="A3334" s="79" t="str">
        <f>LeaveData[[#This Row],[ EMP ID]]&amp;LeaveData[[#This Row],[Date]]</f>
        <v/>
      </c>
      <c r="B3334" s="92"/>
      <c r="C3334" s="92"/>
      <c r="D3334" s="101"/>
      <c r="E3334" s="79"/>
      <c r="F3334" s="79"/>
      <c r="G3334" s="79"/>
      <c r="H3334" s="79"/>
    </row>
    <row r="3335" spans="1:8">
      <c r="A3335" s="79" t="str">
        <f>LeaveData[[#This Row],[ EMP ID]]&amp;LeaveData[[#This Row],[Date]]</f>
        <v/>
      </c>
      <c r="B3335" s="92"/>
      <c r="C3335" s="92"/>
      <c r="D3335" s="101"/>
      <c r="E3335" s="79"/>
      <c r="F3335" s="79"/>
      <c r="G3335" s="79"/>
      <c r="H3335" s="79"/>
    </row>
    <row r="3336" spans="1:8">
      <c r="A3336" s="79" t="str">
        <f>LeaveData[[#This Row],[ EMP ID]]&amp;LeaveData[[#This Row],[Date]]</f>
        <v/>
      </c>
      <c r="B3336" s="92"/>
      <c r="C3336" s="92"/>
      <c r="D3336" s="101"/>
      <c r="E3336" s="79"/>
      <c r="F3336" s="79"/>
      <c r="G3336" s="79"/>
      <c r="H3336" s="79"/>
    </row>
    <row r="3337" spans="1:8">
      <c r="A3337" s="79" t="str">
        <f>LeaveData[[#This Row],[ EMP ID]]&amp;LeaveData[[#This Row],[Date]]</f>
        <v/>
      </c>
      <c r="B3337" s="92"/>
      <c r="C3337" s="92"/>
      <c r="D3337" s="101"/>
      <c r="E3337" s="79"/>
      <c r="F3337" s="79"/>
      <c r="G3337" s="79"/>
      <c r="H3337" s="79"/>
    </row>
    <row r="3338" spans="1:8">
      <c r="A3338" s="79" t="str">
        <f>LeaveData[[#This Row],[ EMP ID]]&amp;LeaveData[[#This Row],[Date]]</f>
        <v/>
      </c>
      <c r="B3338" s="92"/>
      <c r="C3338" s="92"/>
      <c r="D3338" s="101"/>
      <c r="E3338" s="79"/>
      <c r="F3338" s="79"/>
      <c r="G3338" s="79"/>
      <c r="H3338" s="79"/>
    </row>
    <row r="3339" spans="1:8">
      <c r="A3339" s="79" t="str">
        <f>LeaveData[[#This Row],[ EMP ID]]&amp;LeaveData[[#This Row],[Date]]</f>
        <v/>
      </c>
      <c r="B3339" s="92"/>
      <c r="C3339" s="92"/>
      <c r="D3339" s="101"/>
      <c r="E3339" s="79"/>
      <c r="F3339" s="79"/>
      <c r="G3339" s="79"/>
      <c r="H3339" s="79"/>
    </row>
    <row r="3340" spans="1:8">
      <c r="A3340" s="79" t="str">
        <f>LeaveData[[#This Row],[ EMP ID]]&amp;LeaveData[[#This Row],[Date]]</f>
        <v/>
      </c>
      <c r="B3340" s="92"/>
      <c r="C3340" s="92"/>
      <c r="D3340" s="101"/>
      <c r="E3340" s="79"/>
      <c r="F3340" s="79"/>
      <c r="G3340" s="79"/>
      <c r="H3340" s="79"/>
    </row>
    <row r="3341" spans="1:8">
      <c r="A3341" s="79" t="str">
        <f>LeaveData[[#This Row],[ EMP ID]]&amp;LeaveData[[#This Row],[Date]]</f>
        <v/>
      </c>
      <c r="B3341" s="92"/>
      <c r="C3341" s="92"/>
      <c r="D3341" s="101"/>
      <c r="E3341" s="79"/>
      <c r="F3341" s="79"/>
      <c r="G3341" s="79"/>
      <c r="H3341" s="79"/>
    </row>
    <row r="3342" spans="1:8">
      <c r="A3342" s="79" t="str">
        <f>LeaveData[[#This Row],[ EMP ID]]&amp;LeaveData[[#This Row],[Date]]</f>
        <v/>
      </c>
      <c r="B3342" s="92"/>
      <c r="C3342" s="92"/>
      <c r="D3342" s="101"/>
      <c r="E3342" s="79"/>
      <c r="F3342" s="79"/>
      <c r="G3342" s="79"/>
      <c r="H3342" s="79"/>
    </row>
    <row r="3343" spans="1:8">
      <c r="A3343" s="79" t="str">
        <f>LeaveData[[#This Row],[ EMP ID]]&amp;LeaveData[[#This Row],[Date]]</f>
        <v/>
      </c>
      <c r="B3343" s="92"/>
      <c r="C3343" s="92"/>
      <c r="D3343" s="101"/>
      <c r="E3343" s="79"/>
      <c r="F3343" s="79"/>
      <c r="G3343" s="79"/>
      <c r="H3343" s="79"/>
    </row>
    <row r="3344" spans="1:8">
      <c r="A3344" s="79" t="str">
        <f>LeaveData[[#This Row],[ EMP ID]]&amp;LeaveData[[#This Row],[Date]]</f>
        <v/>
      </c>
      <c r="B3344" s="92"/>
      <c r="C3344" s="92"/>
      <c r="D3344" s="101"/>
      <c r="E3344" s="79"/>
      <c r="F3344" s="79"/>
      <c r="G3344" s="79"/>
      <c r="H3344" s="79"/>
    </row>
    <row r="3345" spans="1:8">
      <c r="A3345" s="79" t="str">
        <f>LeaveData[[#This Row],[ EMP ID]]&amp;LeaveData[[#This Row],[Date]]</f>
        <v/>
      </c>
      <c r="B3345" s="92"/>
      <c r="C3345" s="92"/>
      <c r="D3345" s="101"/>
      <c r="E3345" s="79"/>
      <c r="F3345" s="79"/>
      <c r="G3345" s="79"/>
      <c r="H3345" s="79"/>
    </row>
    <row r="3346" spans="1:8">
      <c r="A3346" s="79" t="str">
        <f>LeaveData[[#This Row],[ EMP ID]]&amp;LeaveData[[#This Row],[Date]]</f>
        <v/>
      </c>
      <c r="B3346" s="92"/>
      <c r="C3346" s="92"/>
      <c r="D3346" s="101"/>
      <c r="E3346" s="79"/>
      <c r="F3346" s="79"/>
      <c r="G3346" s="79"/>
      <c r="H3346" s="79"/>
    </row>
    <row r="3347" spans="1:8">
      <c r="A3347" s="79" t="str">
        <f>LeaveData[[#This Row],[ EMP ID]]&amp;LeaveData[[#This Row],[Date]]</f>
        <v/>
      </c>
      <c r="B3347" s="92"/>
      <c r="C3347" s="92"/>
      <c r="D3347" s="101"/>
      <c r="E3347" s="79"/>
      <c r="F3347" s="79"/>
      <c r="G3347" s="79"/>
      <c r="H3347" s="79"/>
    </row>
    <row r="3348" spans="1:8">
      <c r="A3348" s="79" t="str">
        <f>LeaveData[[#This Row],[ EMP ID]]&amp;LeaveData[[#This Row],[Date]]</f>
        <v/>
      </c>
      <c r="B3348" s="92"/>
      <c r="C3348" s="92"/>
      <c r="D3348" s="101"/>
      <c r="E3348" s="79"/>
      <c r="F3348" s="79"/>
      <c r="G3348" s="79"/>
      <c r="H3348" s="79"/>
    </row>
    <row r="3349" spans="1:8">
      <c r="A3349" s="79" t="str">
        <f>LeaveData[[#This Row],[ EMP ID]]&amp;LeaveData[[#This Row],[Date]]</f>
        <v/>
      </c>
      <c r="B3349" s="92"/>
      <c r="C3349" s="92"/>
      <c r="D3349" s="101"/>
      <c r="E3349" s="79"/>
      <c r="F3349" s="79"/>
      <c r="G3349" s="79"/>
      <c r="H3349" s="79"/>
    </row>
    <row r="3350" spans="1:8">
      <c r="A3350" s="79" t="str">
        <f>LeaveData[[#This Row],[ EMP ID]]&amp;LeaveData[[#This Row],[Date]]</f>
        <v/>
      </c>
      <c r="B3350" s="92"/>
      <c r="C3350" s="92"/>
      <c r="D3350" s="101"/>
      <c r="E3350" s="79"/>
      <c r="F3350" s="79"/>
      <c r="G3350" s="79"/>
      <c r="H3350" s="79"/>
    </row>
    <row r="3351" spans="1:8">
      <c r="A3351" s="79" t="str">
        <f>LeaveData[[#This Row],[ EMP ID]]&amp;LeaveData[[#This Row],[Date]]</f>
        <v/>
      </c>
      <c r="B3351" s="92"/>
      <c r="C3351" s="92"/>
      <c r="D3351" s="101"/>
      <c r="E3351" s="79"/>
      <c r="F3351" s="79"/>
      <c r="G3351" s="79"/>
      <c r="H3351" s="79"/>
    </row>
    <row r="3352" spans="1:8">
      <c r="A3352" s="79" t="str">
        <f>LeaveData[[#This Row],[ EMP ID]]&amp;LeaveData[[#This Row],[Date]]</f>
        <v/>
      </c>
      <c r="B3352" s="92"/>
      <c r="C3352" s="92"/>
      <c r="D3352" s="101"/>
      <c r="E3352" s="79"/>
      <c r="F3352" s="79"/>
      <c r="G3352" s="79"/>
      <c r="H3352" s="79"/>
    </row>
    <row r="3353" spans="1:8">
      <c r="A3353" s="79" t="str">
        <f>LeaveData[[#This Row],[ EMP ID]]&amp;LeaveData[[#This Row],[Date]]</f>
        <v/>
      </c>
      <c r="B3353" s="92"/>
      <c r="C3353" s="92"/>
      <c r="D3353" s="101"/>
      <c r="E3353" s="79"/>
      <c r="F3353" s="79"/>
      <c r="G3353" s="79"/>
      <c r="H3353" s="79"/>
    </row>
    <row r="3354" spans="1:8">
      <c r="A3354" s="79" t="str">
        <f>LeaveData[[#This Row],[ EMP ID]]&amp;LeaveData[[#This Row],[Date]]</f>
        <v/>
      </c>
      <c r="B3354" s="92"/>
      <c r="C3354" s="92"/>
      <c r="D3354" s="101"/>
      <c r="E3354" s="79"/>
      <c r="F3354" s="79"/>
      <c r="G3354" s="79"/>
      <c r="H3354" s="79"/>
    </row>
    <row r="3355" spans="1:8">
      <c r="A3355" s="79" t="str">
        <f>LeaveData[[#This Row],[ EMP ID]]&amp;LeaveData[[#This Row],[Date]]</f>
        <v/>
      </c>
      <c r="B3355" s="92"/>
      <c r="C3355" s="92"/>
      <c r="D3355" s="101"/>
      <c r="E3355" s="79"/>
      <c r="F3355" s="79"/>
      <c r="G3355" s="79"/>
      <c r="H3355" s="79"/>
    </row>
    <row r="3356" spans="1:8">
      <c r="A3356" s="79" t="str">
        <f>LeaveData[[#This Row],[ EMP ID]]&amp;LeaveData[[#This Row],[Date]]</f>
        <v/>
      </c>
      <c r="B3356" s="92"/>
      <c r="C3356" s="92"/>
      <c r="D3356" s="101"/>
      <c r="E3356" s="79"/>
      <c r="F3356" s="79"/>
      <c r="G3356" s="79"/>
      <c r="H3356" s="79"/>
    </row>
    <row r="3357" spans="1:8">
      <c r="A3357" s="79" t="str">
        <f>LeaveData[[#This Row],[ EMP ID]]&amp;LeaveData[[#This Row],[Date]]</f>
        <v/>
      </c>
      <c r="B3357" s="92"/>
      <c r="C3357" s="92"/>
      <c r="D3357" s="101"/>
      <c r="E3357" s="79"/>
      <c r="F3357" s="79"/>
      <c r="G3357" s="79"/>
      <c r="H3357" s="79"/>
    </row>
    <row r="3358" spans="1:8">
      <c r="A3358" s="79" t="str">
        <f>LeaveData[[#This Row],[ EMP ID]]&amp;LeaveData[[#This Row],[Date]]</f>
        <v/>
      </c>
      <c r="B3358" s="92"/>
      <c r="C3358" s="92"/>
      <c r="D3358" s="101"/>
      <c r="E3358" s="79"/>
      <c r="F3358" s="79"/>
      <c r="G3358" s="79"/>
      <c r="H3358" s="79"/>
    </row>
    <row r="3359" spans="1:8">
      <c r="A3359" s="79" t="str">
        <f>LeaveData[[#This Row],[ EMP ID]]&amp;LeaveData[[#This Row],[Date]]</f>
        <v/>
      </c>
      <c r="B3359" s="92"/>
      <c r="C3359" s="92"/>
      <c r="D3359" s="101"/>
      <c r="E3359" s="79"/>
      <c r="F3359" s="79"/>
      <c r="G3359" s="79"/>
      <c r="H3359" s="79"/>
    </row>
    <row r="3360" spans="1:8">
      <c r="A3360" s="79" t="str">
        <f>LeaveData[[#This Row],[ EMP ID]]&amp;LeaveData[[#This Row],[Date]]</f>
        <v/>
      </c>
      <c r="B3360" s="92"/>
      <c r="C3360" s="92"/>
      <c r="D3360" s="101"/>
      <c r="E3360" s="79"/>
      <c r="F3360" s="79"/>
      <c r="G3360" s="79"/>
      <c r="H3360" s="79"/>
    </row>
    <row r="3361" spans="1:8">
      <c r="A3361" s="79" t="str">
        <f>LeaveData[[#This Row],[ EMP ID]]&amp;LeaveData[[#This Row],[Date]]</f>
        <v/>
      </c>
      <c r="B3361" s="92"/>
      <c r="C3361" s="92"/>
      <c r="D3361" s="101"/>
      <c r="E3361" s="79"/>
      <c r="F3361" s="79"/>
      <c r="G3361" s="79"/>
      <c r="H3361" s="79"/>
    </row>
    <row r="3362" spans="1:8">
      <c r="A3362" s="79" t="str">
        <f>LeaveData[[#This Row],[ EMP ID]]&amp;LeaveData[[#This Row],[Date]]</f>
        <v/>
      </c>
      <c r="B3362" s="92"/>
      <c r="C3362" s="92"/>
      <c r="D3362" s="101"/>
      <c r="E3362" s="79"/>
      <c r="F3362" s="79"/>
      <c r="G3362" s="79"/>
      <c r="H3362" s="79"/>
    </row>
    <row r="3363" spans="1:8">
      <c r="A3363" s="79" t="str">
        <f>LeaveData[[#This Row],[ EMP ID]]&amp;LeaveData[[#This Row],[Date]]</f>
        <v/>
      </c>
      <c r="B3363" s="92"/>
      <c r="C3363" s="92"/>
      <c r="D3363" s="101"/>
      <c r="E3363" s="79"/>
      <c r="F3363" s="79"/>
      <c r="G3363" s="79"/>
      <c r="H3363" s="79"/>
    </row>
    <row r="3364" spans="1:8">
      <c r="A3364" s="79" t="str">
        <f>LeaveData[[#This Row],[ EMP ID]]&amp;LeaveData[[#This Row],[Date]]</f>
        <v/>
      </c>
      <c r="B3364" s="92"/>
      <c r="C3364" s="92"/>
      <c r="D3364" s="101"/>
      <c r="E3364" s="79"/>
      <c r="F3364" s="79"/>
      <c r="G3364" s="79"/>
      <c r="H3364" s="79"/>
    </row>
    <row r="3365" spans="1:8">
      <c r="A3365" s="79" t="str">
        <f>LeaveData[[#This Row],[ EMP ID]]&amp;LeaveData[[#This Row],[Date]]</f>
        <v/>
      </c>
      <c r="B3365" s="92"/>
      <c r="C3365" s="92"/>
      <c r="D3365" s="101"/>
      <c r="E3365" s="79"/>
      <c r="F3365" s="79"/>
      <c r="G3365" s="79"/>
      <c r="H3365" s="79"/>
    </row>
    <row r="3366" spans="1:8">
      <c r="A3366" s="79" t="str">
        <f>LeaveData[[#This Row],[ EMP ID]]&amp;LeaveData[[#This Row],[Date]]</f>
        <v/>
      </c>
      <c r="B3366" s="92"/>
      <c r="C3366" s="92"/>
      <c r="D3366" s="101"/>
      <c r="E3366" s="79"/>
      <c r="F3366" s="79"/>
      <c r="G3366" s="79"/>
      <c r="H3366" s="79"/>
    </row>
    <row r="3367" spans="1:8">
      <c r="A3367" s="79" t="str">
        <f>LeaveData[[#This Row],[ EMP ID]]&amp;LeaveData[[#This Row],[Date]]</f>
        <v/>
      </c>
      <c r="B3367" s="92"/>
      <c r="C3367" s="92"/>
      <c r="D3367" s="101"/>
      <c r="E3367" s="79"/>
      <c r="F3367" s="79"/>
      <c r="G3367" s="79"/>
      <c r="H3367" s="79"/>
    </row>
    <row r="3368" spans="1:8">
      <c r="A3368" s="79" t="str">
        <f>LeaveData[[#This Row],[ EMP ID]]&amp;LeaveData[[#This Row],[Date]]</f>
        <v/>
      </c>
      <c r="B3368" s="92"/>
      <c r="C3368" s="92"/>
      <c r="D3368" s="101"/>
      <c r="E3368" s="79"/>
      <c r="F3368" s="79"/>
      <c r="G3368" s="79"/>
      <c r="H3368" s="79"/>
    </row>
    <row r="3369" spans="1:8">
      <c r="A3369" s="79" t="str">
        <f>LeaveData[[#This Row],[ EMP ID]]&amp;LeaveData[[#This Row],[Date]]</f>
        <v/>
      </c>
      <c r="B3369" s="92"/>
      <c r="C3369" s="92"/>
      <c r="D3369" s="101"/>
      <c r="E3369" s="79"/>
      <c r="F3369" s="79"/>
      <c r="G3369" s="79"/>
      <c r="H3369" s="79"/>
    </row>
    <row r="3370" spans="1:8">
      <c r="A3370" s="79" t="str">
        <f>LeaveData[[#This Row],[ EMP ID]]&amp;LeaveData[[#This Row],[Date]]</f>
        <v/>
      </c>
      <c r="B3370" s="92"/>
      <c r="C3370" s="92"/>
      <c r="D3370" s="101"/>
      <c r="E3370" s="79"/>
      <c r="F3370" s="79"/>
      <c r="G3370" s="79"/>
      <c r="H3370" s="79"/>
    </row>
    <row r="3371" spans="1:8">
      <c r="A3371" s="79" t="str">
        <f>LeaveData[[#This Row],[ EMP ID]]&amp;LeaveData[[#This Row],[Date]]</f>
        <v/>
      </c>
      <c r="B3371" s="92"/>
      <c r="C3371" s="92"/>
      <c r="D3371" s="101"/>
      <c r="E3371" s="79"/>
      <c r="F3371" s="79"/>
      <c r="G3371" s="79"/>
      <c r="H3371" s="79"/>
    </row>
    <row r="3372" spans="1:8">
      <c r="A3372" s="79" t="str">
        <f>LeaveData[[#This Row],[ EMP ID]]&amp;LeaveData[[#This Row],[Date]]</f>
        <v/>
      </c>
      <c r="B3372" s="92"/>
      <c r="C3372" s="92"/>
      <c r="D3372" s="101"/>
      <c r="E3372" s="79"/>
      <c r="F3372" s="79"/>
      <c r="G3372" s="79"/>
      <c r="H3372" s="79"/>
    </row>
    <row r="3373" spans="1:8">
      <c r="A3373" s="79" t="str">
        <f>LeaveData[[#This Row],[ EMP ID]]&amp;LeaveData[[#This Row],[Date]]</f>
        <v/>
      </c>
      <c r="B3373" s="92"/>
      <c r="C3373" s="92"/>
      <c r="D3373" s="101"/>
      <c r="E3373" s="79"/>
      <c r="F3373" s="79"/>
      <c r="G3373" s="79"/>
      <c r="H3373" s="79"/>
    </row>
    <row r="3374" spans="1:8">
      <c r="A3374" s="79" t="str">
        <f>LeaveData[[#This Row],[ EMP ID]]&amp;LeaveData[[#This Row],[Date]]</f>
        <v/>
      </c>
      <c r="B3374" s="92"/>
      <c r="C3374" s="92"/>
      <c r="D3374" s="101"/>
      <c r="E3374" s="79"/>
      <c r="F3374" s="79"/>
      <c r="G3374" s="79"/>
      <c r="H3374" s="79"/>
    </row>
    <row r="3375" spans="1:8">
      <c r="A3375" s="79" t="str">
        <f>LeaveData[[#This Row],[ EMP ID]]&amp;LeaveData[[#This Row],[Date]]</f>
        <v/>
      </c>
      <c r="B3375" s="92"/>
      <c r="C3375" s="92"/>
      <c r="D3375" s="101"/>
      <c r="E3375" s="79"/>
      <c r="F3375" s="79"/>
      <c r="G3375" s="79"/>
      <c r="H3375" s="79"/>
    </row>
    <row r="3376" spans="1:8">
      <c r="A3376" s="79" t="str">
        <f>LeaveData[[#This Row],[ EMP ID]]&amp;LeaveData[[#This Row],[Date]]</f>
        <v/>
      </c>
      <c r="B3376" s="92"/>
      <c r="C3376" s="92"/>
      <c r="D3376" s="101"/>
      <c r="E3376" s="79"/>
      <c r="F3376" s="79"/>
      <c r="G3376" s="79"/>
      <c r="H3376" s="79"/>
    </row>
    <row r="3377" spans="1:8">
      <c r="A3377" s="79" t="str">
        <f>LeaveData[[#This Row],[ EMP ID]]&amp;LeaveData[[#This Row],[Date]]</f>
        <v/>
      </c>
      <c r="B3377" s="92"/>
      <c r="C3377" s="92"/>
      <c r="D3377" s="101"/>
      <c r="E3377" s="79"/>
      <c r="F3377" s="79"/>
      <c r="G3377" s="79"/>
      <c r="H3377" s="79"/>
    </row>
    <row r="3378" spans="1:8">
      <c r="A3378" s="79" t="str">
        <f>LeaveData[[#This Row],[ EMP ID]]&amp;LeaveData[[#This Row],[Date]]</f>
        <v/>
      </c>
      <c r="B3378" s="92"/>
      <c r="C3378" s="92"/>
      <c r="D3378" s="101"/>
      <c r="E3378" s="79"/>
      <c r="F3378" s="79"/>
      <c r="G3378" s="79"/>
      <c r="H3378" s="79"/>
    </row>
    <row r="3379" spans="1:8">
      <c r="A3379" s="79" t="str">
        <f>LeaveData[[#This Row],[ EMP ID]]&amp;LeaveData[[#This Row],[Date]]</f>
        <v/>
      </c>
      <c r="B3379" s="92"/>
      <c r="C3379" s="92"/>
      <c r="D3379" s="101"/>
      <c r="E3379" s="79"/>
      <c r="F3379" s="79"/>
      <c r="G3379" s="79"/>
      <c r="H3379" s="79"/>
    </row>
    <row r="3380" spans="1:8">
      <c r="A3380" s="79" t="str">
        <f>LeaveData[[#This Row],[ EMP ID]]&amp;LeaveData[[#This Row],[Date]]</f>
        <v/>
      </c>
      <c r="B3380" s="92"/>
      <c r="C3380" s="92"/>
      <c r="D3380" s="101"/>
      <c r="E3380" s="79"/>
      <c r="F3380" s="79"/>
      <c r="G3380" s="79"/>
      <c r="H3380" s="79"/>
    </row>
    <row r="3381" spans="1:8">
      <c r="A3381" s="79" t="str">
        <f>LeaveData[[#This Row],[ EMP ID]]&amp;LeaveData[[#This Row],[Date]]</f>
        <v/>
      </c>
      <c r="B3381" s="92"/>
      <c r="C3381" s="92"/>
      <c r="D3381" s="101"/>
      <c r="E3381" s="79"/>
      <c r="F3381" s="79"/>
      <c r="G3381" s="79"/>
      <c r="H3381" s="79"/>
    </row>
    <row r="3382" spans="1:8">
      <c r="A3382" s="79" t="str">
        <f>LeaveData[[#This Row],[ EMP ID]]&amp;LeaveData[[#This Row],[Date]]</f>
        <v/>
      </c>
      <c r="B3382" s="92"/>
      <c r="C3382" s="92"/>
      <c r="D3382" s="101"/>
      <c r="E3382" s="79"/>
      <c r="F3382" s="79"/>
      <c r="G3382" s="79"/>
      <c r="H3382" s="79"/>
    </row>
    <row r="3383" spans="1:8">
      <c r="A3383" s="79" t="str">
        <f>LeaveData[[#This Row],[ EMP ID]]&amp;LeaveData[[#This Row],[Date]]</f>
        <v/>
      </c>
      <c r="B3383" s="92"/>
      <c r="C3383" s="92"/>
      <c r="D3383" s="101"/>
      <c r="E3383" s="79"/>
      <c r="F3383" s="79"/>
      <c r="G3383" s="79"/>
      <c r="H3383" s="79"/>
    </row>
    <row r="3384" spans="1:8">
      <c r="A3384" s="79" t="str">
        <f>LeaveData[[#This Row],[ EMP ID]]&amp;LeaveData[[#This Row],[Date]]</f>
        <v/>
      </c>
      <c r="B3384" s="92"/>
      <c r="C3384" s="92"/>
      <c r="D3384" s="101"/>
      <c r="E3384" s="79"/>
      <c r="F3384" s="79"/>
      <c r="G3384" s="79"/>
      <c r="H3384" s="79"/>
    </row>
    <row r="3385" spans="1:8">
      <c r="A3385" s="79" t="str">
        <f>LeaveData[[#This Row],[ EMP ID]]&amp;LeaveData[[#This Row],[Date]]</f>
        <v/>
      </c>
      <c r="B3385" s="92"/>
      <c r="C3385" s="92"/>
      <c r="D3385" s="101"/>
      <c r="E3385" s="79"/>
      <c r="F3385" s="79"/>
      <c r="G3385" s="79"/>
      <c r="H3385" s="79"/>
    </row>
    <row r="3386" spans="1:8">
      <c r="A3386" s="79" t="str">
        <f>LeaveData[[#This Row],[ EMP ID]]&amp;LeaveData[[#This Row],[Date]]</f>
        <v/>
      </c>
      <c r="B3386" s="92"/>
      <c r="C3386" s="92"/>
      <c r="D3386" s="101"/>
      <c r="E3386" s="79"/>
      <c r="F3386" s="79"/>
      <c r="G3386" s="79"/>
      <c r="H3386" s="79"/>
    </row>
    <row r="3387" spans="1:8">
      <c r="A3387" s="79" t="str">
        <f>LeaveData[[#This Row],[ EMP ID]]&amp;LeaveData[[#This Row],[Date]]</f>
        <v/>
      </c>
      <c r="B3387" s="92"/>
      <c r="C3387" s="92"/>
      <c r="D3387" s="101"/>
      <c r="E3387" s="79"/>
      <c r="F3387" s="79"/>
      <c r="G3387" s="79"/>
      <c r="H3387" s="79"/>
    </row>
    <row r="3388" spans="1:8">
      <c r="A3388" s="79" t="str">
        <f>LeaveData[[#This Row],[ EMP ID]]&amp;LeaveData[[#This Row],[Date]]</f>
        <v/>
      </c>
      <c r="B3388" s="92"/>
      <c r="C3388" s="92"/>
      <c r="D3388" s="101"/>
      <c r="E3388" s="79"/>
      <c r="F3388" s="79"/>
      <c r="G3388" s="79"/>
      <c r="H3388" s="79"/>
    </row>
    <row r="3389" spans="1:8">
      <c r="A3389" s="79" t="str">
        <f>LeaveData[[#This Row],[ EMP ID]]&amp;LeaveData[[#This Row],[Date]]</f>
        <v/>
      </c>
      <c r="B3389" s="92"/>
      <c r="C3389" s="92"/>
      <c r="D3389" s="101"/>
      <c r="E3389" s="79"/>
      <c r="F3389" s="79"/>
      <c r="G3389" s="79"/>
      <c r="H3389" s="79"/>
    </row>
    <row r="3390" spans="1:8">
      <c r="A3390" s="79" t="str">
        <f>LeaveData[[#This Row],[ EMP ID]]&amp;LeaveData[[#This Row],[Date]]</f>
        <v/>
      </c>
      <c r="B3390" s="92"/>
      <c r="C3390" s="92"/>
      <c r="D3390" s="101"/>
      <c r="E3390" s="79"/>
      <c r="F3390" s="79"/>
      <c r="G3390" s="79"/>
      <c r="H3390" s="79"/>
    </row>
    <row r="3391" spans="1:8">
      <c r="A3391" s="79" t="str">
        <f>LeaveData[[#This Row],[ EMP ID]]&amp;LeaveData[[#This Row],[Date]]</f>
        <v/>
      </c>
      <c r="B3391" s="92"/>
      <c r="C3391" s="92"/>
      <c r="D3391" s="101"/>
      <c r="E3391" s="79"/>
      <c r="F3391" s="79"/>
      <c r="G3391" s="79"/>
      <c r="H3391" s="79"/>
    </row>
    <row r="3392" spans="1:8">
      <c r="A3392" s="79" t="str">
        <f>LeaveData[[#This Row],[ EMP ID]]&amp;LeaveData[[#This Row],[Date]]</f>
        <v/>
      </c>
      <c r="B3392" s="92"/>
      <c r="C3392" s="92"/>
      <c r="D3392" s="101"/>
      <c r="E3392" s="79"/>
      <c r="F3392" s="79"/>
      <c r="G3392" s="79"/>
      <c r="H3392" s="79"/>
    </row>
    <row r="3393" spans="1:8">
      <c r="A3393" s="79" t="str">
        <f>LeaveData[[#This Row],[ EMP ID]]&amp;LeaveData[[#This Row],[Date]]</f>
        <v/>
      </c>
      <c r="B3393" s="92"/>
      <c r="C3393" s="92"/>
      <c r="D3393" s="101"/>
      <c r="E3393" s="79"/>
      <c r="F3393" s="79"/>
      <c r="G3393" s="79"/>
      <c r="H3393" s="79"/>
    </row>
    <row r="3394" spans="1:8">
      <c r="A3394" s="79" t="str">
        <f>LeaveData[[#This Row],[ EMP ID]]&amp;LeaveData[[#This Row],[Date]]</f>
        <v/>
      </c>
      <c r="B3394" s="92"/>
      <c r="C3394" s="92"/>
      <c r="D3394" s="101"/>
      <c r="E3394" s="79"/>
      <c r="F3394" s="79"/>
      <c r="G3394" s="79"/>
      <c r="H3394" s="79"/>
    </row>
    <row r="3395" spans="1:8">
      <c r="A3395" s="79" t="str">
        <f>LeaveData[[#This Row],[ EMP ID]]&amp;LeaveData[[#This Row],[Date]]</f>
        <v/>
      </c>
      <c r="B3395" s="92"/>
      <c r="C3395" s="92"/>
      <c r="D3395" s="101"/>
      <c r="E3395" s="79"/>
      <c r="F3395" s="79"/>
      <c r="G3395" s="79"/>
      <c r="H3395" s="79"/>
    </row>
    <row r="3396" spans="1:8">
      <c r="A3396" s="79" t="str">
        <f>LeaveData[[#This Row],[ EMP ID]]&amp;LeaveData[[#This Row],[Date]]</f>
        <v/>
      </c>
      <c r="B3396" s="92"/>
      <c r="C3396" s="92"/>
      <c r="D3396" s="101"/>
      <c r="E3396" s="79"/>
      <c r="F3396" s="79"/>
      <c r="G3396" s="79"/>
      <c r="H3396" s="79"/>
    </row>
    <row r="3397" spans="1:8">
      <c r="A3397" s="79" t="str">
        <f>LeaveData[[#This Row],[ EMP ID]]&amp;LeaveData[[#This Row],[Date]]</f>
        <v/>
      </c>
      <c r="B3397" s="92"/>
      <c r="C3397" s="92"/>
      <c r="D3397" s="101"/>
      <c r="E3397" s="79"/>
      <c r="F3397" s="79"/>
      <c r="G3397" s="79"/>
      <c r="H3397" s="79"/>
    </row>
    <row r="3398" spans="1:8">
      <c r="A3398" s="79" t="str">
        <f>LeaveData[[#This Row],[ EMP ID]]&amp;LeaveData[[#This Row],[Date]]</f>
        <v/>
      </c>
      <c r="B3398" s="92"/>
      <c r="C3398" s="92"/>
      <c r="D3398" s="101"/>
      <c r="E3398" s="79"/>
      <c r="F3398" s="79"/>
      <c r="G3398" s="79"/>
      <c r="H3398" s="79"/>
    </row>
    <row r="3399" spans="1:8">
      <c r="A3399" s="79" t="str">
        <f>LeaveData[[#This Row],[ EMP ID]]&amp;LeaveData[[#This Row],[Date]]</f>
        <v/>
      </c>
      <c r="B3399" s="92"/>
      <c r="C3399" s="92"/>
      <c r="D3399" s="101"/>
      <c r="E3399" s="79"/>
      <c r="F3399" s="79"/>
      <c r="G3399" s="79"/>
      <c r="H3399" s="79"/>
    </row>
    <row r="3400" spans="1:8">
      <c r="A3400" s="79" t="str">
        <f>LeaveData[[#This Row],[ EMP ID]]&amp;LeaveData[[#This Row],[Date]]</f>
        <v/>
      </c>
      <c r="B3400" s="92"/>
      <c r="C3400" s="92"/>
      <c r="D3400" s="101"/>
      <c r="E3400" s="79"/>
      <c r="F3400" s="79"/>
      <c r="G3400" s="79"/>
      <c r="H3400" s="79"/>
    </row>
    <row r="3401" spans="1:8">
      <c r="A3401" s="79" t="str">
        <f>LeaveData[[#This Row],[ EMP ID]]&amp;LeaveData[[#This Row],[Date]]</f>
        <v/>
      </c>
      <c r="B3401" s="92"/>
      <c r="C3401" s="92"/>
      <c r="D3401" s="101"/>
      <c r="E3401" s="79"/>
      <c r="F3401" s="79"/>
      <c r="G3401" s="79"/>
      <c r="H3401" s="79"/>
    </row>
    <row r="3402" spans="1:8">
      <c r="A3402" s="79" t="str">
        <f>LeaveData[[#This Row],[ EMP ID]]&amp;LeaveData[[#This Row],[Date]]</f>
        <v/>
      </c>
      <c r="B3402" s="92"/>
      <c r="C3402" s="92"/>
      <c r="D3402" s="101"/>
      <c r="E3402" s="79"/>
      <c r="F3402" s="79"/>
      <c r="G3402" s="79"/>
      <c r="H3402" s="79"/>
    </row>
    <row r="3403" spans="1:8">
      <c r="A3403" s="79" t="str">
        <f>LeaveData[[#This Row],[ EMP ID]]&amp;LeaveData[[#This Row],[Date]]</f>
        <v/>
      </c>
      <c r="B3403" s="92"/>
      <c r="C3403" s="92"/>
      <c r="D3403" s="101"/>
      <c r="E3403" s="79"/>
      <c r="F3403" s="79"/>
      <c r="G3403" s="79"/>
      <c r="H3403" s="79"/>
    </row>
    <row r="3404" spans="1:8">
      <c r="A3404" s="79" t="str">
        <f>LeaveData[[#This Row],[ EMP ID]]&amp;LeaveData[[#This Row],[Date]]</f>
        <v/>
      </c>
      <c r="B3404" s="92"/>
      <c r="C3404" s="92"/>
      <c r="D3404" s="101"/>
      <c r="E3404" s="79"/>
      <c r="F3404" s="79"/>
      <c r="G3404" s="79"/>
      <c r="H3404" s="79"/>
    </row>
    <row r="3405" spans="1:8">
      <c r="A3405" s="79" t="str">
        <f>LeaveData[[#This Row],[ EMP ID]]&amp;LeaveData[[#This Row],[Date]]</f>
        <v/>
      </c>
      <c r="B3405" s="92"/>
      <c r="C3405" s="92"/>
      <c r="D3405" s="101"/>
      <c r="E3405" s="79"/>
      <c r="F3405" s="79"/>
      <c r="G3405" s="79"/>
      <c r="H3405" s="79"/>
    </row>
    <row r="3406" spans="1:8">
      <c r="A3406" s="79" t="str">
        <f>LeaveData[[#This Row],[ EMP ID]]&amp;LeaveData[[#This Row],[Date]]</f>
        <v/>
      </c>
      <c r="B3406" s="92"/>
      <c r="C3406" s="92"/>
      <c r="D3406" s="101"/>
      <c r="E3406" s="79"/>
      <c r="F3406" s="79"/>
      <c r="G3406" s="79"/>
      <c r="H3406" s="79"/>
    </row>
    <row r="3407" spans="1:8">
      <c r="A3407" s="79" t="str">
        <f>LeaveData[[#This Row],[ EMP ID]]&amp;LeaveData[[#This Row],[Date]]</f>
        <v/>
      </c>
      <c r="B3407" s="92"/>
      <c r="C3407" s="92"/>
      <c r="D3407" s="101"/>
      <c r="E3407" s="79"/>
      <c r="F3407" s="79"/>
      <c r="G3407" s="79"/>
      <c r="H3407" s="79"/>
    </row>
    <row r="3408" spans="1:8">
      <c r="A3408" s="79" t="str">
        <f>LeaveData[[#This Row],[ EMP ID]]&amp;LeaveData[[#This Row],[Date]]</f>
        <v/>
      </c>
      <c r="B3408" s="92"/>
      <c r="C3408" s="92"/>
      <c r="D3408" s="101"/>
      <c r="E3408" s="79"/>
      <c r="F3408" s="79"/>
      <c r="G3408" s="79"/>
      <c r="H3408" s="79"/>
    </row>
    <row r="3409" spans="1:8">
      <c r="A3409" s="79" t="str">
        <f>LeaveData[[#This Row],[ EMP ID]]&amp;LeaveData[[#This Row],[Date]]</f>
        <v/>
      </c>
      <c r="B3409" s="92"/>
      <c r="C3409" s="92"/>
      <c r="D3409" s="101"/>
      <c r="E3409" s="79"/>
      <c r="F3409" s="79"/>
      <c r="G3409" s="79"/>
      <c r="H3409" s="79"/>
    </row>
    <row r="3410" spans="1:8">
      <c r="A3410" s="79" t="str">
        <f>LeaveData[[#This Row],[ EMP ID]]&amp;LeaveData[[#This Row],[Date]]</f>
        <v/>
      </c>
      <c r="B3410" s="92"/>
      <c r="C3410" s="92"/>
      <c r="D3410" s="101"/>
      <c r="E3410" s="79"/>
      <c r="F3410" s="79"/>
      <c r="G3410" s="79"/>
      <c r="H3410" s="79"/>
    </row>
    <row r="3411" spans="1:8">
      <c r="A3411" s="79" t="str">
        <f>LeaveData[[#This Row],[ EMP ID]]&amp;LeaveData[[#This Row],[Date]]</f>
        <v/>
      </c>
      <c r="B3411" s="92"/>
      <c r="C3411" s="92"/>
      <c r="D3411" s="101"/>
      <c r="E3411" s="79"/>
      <c r="F3411" s="79"/>
      <c r="G3411" s="79"/>
      <c r="H3411" s="79"/>
    </row>
    <row r="3412" spans="1:8">
      <c r="A3412" s="79" t="str">
        <f>LeaveData[[#This Row],[ EMP ID]]&amp;LeaveData[[#This Row],[Date]]</f>
        <v/>
      </c>
      <c r="B3412" s="92"/>
      <c r="C3412" s="92"/>
      <c r="D3412" s="101"/>
      <c r="E3412" s="79"/>
      <c r="F3412" s="79"/>
      <c r="G3412" s="79"/>
      <c r="H3412" s="79"/>
    </row>
    <row r="3413" spans="1:8">
      <c r="A3413" s="79" t="str">
        <f>LeaveData[[#This Row],[ EMP ID]]&amp;LeaveData[[#This Row],[Date]]</f>
        <v/>
      </c>
      <c r="B3413" s="92"/>
      <c r="C3413" s="92"/>
      <c r="D3413" s="101"/>
      <c r="E3413" s="79"/>
      <c r="F3413" s="79"/>
      <c r="G3413" s="79"/>
      <c r="H3413" s="79"/>
    </row>
    <row r="3414" spans="1:8">
      <c r="A3414" s="79" t="str">
        <f>LeaveData[[#This Row],[ EMP ID]]&amp;LeaveData[[#This Row],[Date]]</f>
        <v/>
      </c>
      <c r="B3414" s="92"/>
      <c r="C3414" s="92"/>
      <c r="D3414" s="101"/>
      <c r="E3414" s="79"/>
      <c r="F3414" s="79"/>
      <c r="G3414" s="79"/>
      <c r="H3414" s="79"/>
    </row>
    <row r="3415" spans="1:8">
      <c r="A3415" s="79" t="str">
        <f>LeaveData[[#This Row],[ EMP ID]]&amp;LeaveData[[#This Row],[Date]]</f>
        <v/>
      </c>
      <c r="B3415" s="92"/>
      <c r="C3415" s="92"/>
      <c r="D3415" s="101"/>
      <c r="E3415" s="79"/>
      <c r="F3415" s="79"/>
      <c r="G3415" s="79"/>
      <c r="H3415" s="79"/>
    </row>
    <row r="3416" spans="1:8">
      <c r="A3416" s="79" t="str">
        <f>LeaveData[[#This Row],[ EMP ID]]&amp;LeaveData[[#This Row],[Date]]</f>
        <v/>
      </c>
      <c r="B3416" s="92"/>
      <c r="C3416" s="92"/>
      <c r="D3416" s="101"/>
      <c r="E3416" s="79"/>
      <c r="F3416" s="79"/>
      <c r="G3416" s="79"/>
      <c r="H3416" s="79"/>
    </row>
    <row r="3417" spans="1:8">
      <c r="A3417" s="79" t="str">
        <f>LeaveData[[#This Row],[ EMP ID]]&amp;LeaveData[[#This Row],[Date]]</f>
        <v/>
      </c>
      <c r="B3417" s="92"/>
      <c r="C3417" s="92"/>
      <c r="D3417" s="101"/>
      <c r="E3417" s="79"/>
      <c r="F3417" s="79"/>
      <c r="G3417" s="79"/>
      <c r="H3417" s="79"/>
    </row>
    <row r="3418" spans="1:8">
      <c r="A3418" s="79" t="str">
        <f>LeaveData[[#This Row],[ EMP ID]]&amp;LeaveData[[#This Row],[Date]]</f>
        <v/>
      </c>
      <c r="B3418" s="92"/>
      <c r="C3418" s="92"/>
      <c r="D3418" s="101"/>
      <c r="E3418" s="79"/>
      <c r="F3418" s="79"/>
      <c r="G3418" s="79"/>
      <c r="H3418" s="79"/>
    </row>
    <row r="3419" spans="1:8">
      <c r="A3419" s="79" t="str">
        <f>LeaveData[[#This Row],[ EMP ID]]&amp;LeaveData[[#This Row],[Date]]</f>
        <v/>
      </c>
      <c r="B3419" s="92"/>
      <c r="C3419" s="92"/>
      <c r="D3419" s="101"/>
      <c r="E3419" s="79"/>
      <c r="F3419" s="79"/>
      <c r="G3419" s="79"/>
      <c r="H3419" s="79"/>
    </row>
    <row r="3420" spans="1:8">
      <c r="A3420" s="79" t="str">
        <f>LeaveData[[#This Row],[ EMP ID]]&amp;LeaveData[[#This Row],[Date]]</f>
        <v/>
      </c>
      <c r="B3420" s="92"/>
      <c r="C3420" s="92"/>
      <c r="D3420" s="101"/>
      <c r="E3420" s="79"/>
      <c r="F3420" s="79"/>
      <c r="G3420" s="79"/>
      <c r="H3420" s="79"/>
    </row>
    <row r="3421" spans="1:8">
      <c r="A3421" s="79" t="str">
        <f>LeaveData[[#This Row],[ EMP ID]]&amp;LeaveData[[#This Row],[Date]]</f>
        <v/>
      </c>
      <c r="B3421" s="92"/>
      <c r="C3421" s="92"/>
      <c r="D3421" s="101"/>
      <c r="E3421" s="79"/>
      <c r="F3421" s="79"/>
      <c r="G3421" s="79"/>
      <c r="H3421" s="79"/>
    </row>
    <row r="3422" spans="1:8">
      <c r="A3422" s="79" t="str">
        <f>LeaveData[[#This Row],[ EMP ID]]&amp;LeaveData[[#This Row],[Date]]</f>
        <v/>
      </c>
      <c r="B3422" s="92"/>
      <c r="C3422" s="92"/>
      <c r="D3422" s="101"/>
      <c r="E3422" s="79"/>
      <c r="F3422" s="79"/>
      <c r="G3422" s="79"/>
      <c r="H3422" s="79"/>
    </row>
    <row r="3423" spans="1:8">
      <c r="A3423" s="79" t="str">
        <f>LeaveData[[#This Row],[ EMP ID]]&amp;LeaveData[[#This Row],[Date]]</f>
        <v/>
      </c>
      <c r="B3423" s="92"/>
      <c r="C3423" s="92"/>
      <c r="D3423" s="101"/>
      <c r="E3423" s="79"/>
      <c r="F3423" s="79"/>
      <c r="G3423" s="79"/>
      <c r="H3423" s="79"/>
    </row>
    <row r="3424" spans="1:8">
      <c r="A3424" s="79" t="str">
        <f>LeaveData[[#This Row],[ EMP ID]]&amp;LeaveData[[#This Row],[Date]]</f>
        <v/>
      </c>
      <c r="B3424" s="92"/>
      <c r="C3424" s="92"/>
      <c r="D3424" s="101"/>
      <c r="E3424" s="79"/>
      <c r="F3424" s="79"/>
      <c r="G3424" s="79"/>
      <c r="H3424" s="79"/>
    </row>
    <row r="3425" spans="1:8">
      <c r="A3425" s="79" t="str">
        <f>LeaveData[[#This Row],[ EMP ID]]&amp;LeaveData[[#This Row],[Date]]</f>
        <v/>
      </c>
      <c r="B3425" s="92"/>
      <c r="C3425" s="92"/>
      <c r="D3425" s="101"/>
      <c r="E3425" s="79"/>
      <c r="F3425" s="79"/>
      <c r="G3425" s="79"/>
      <c r="H3425" s="79"/>
    </row>
    <row r="3426" spans="1:8">
      <c r="A3426" s="79" t="str">
        <f>LeaveData[[#This Row],[ EMP ID]]&amp;LeaveData[[#This Row],[Date]]</f>
        <v/>
      </c>
      <c r="B3426" s="92"/>
      <c r="C3426" s="92"/>
      <c r="D3426" s="101"/>
      <c r="E3426" s="79"/>
      <c r="F3426" s="79"/>
      <c r="G3426" s="79"/>
      <c r="H3426" s="79"/>
    </row>
    <row r="3427" spans="1:8">
      <c r="A3427" s="79" t="str">
        <f>LeaveData[[#This Row],[ EMP ID]]&amp;LeaveData[[#This Row],[Date]]</f>
        <v/>
      </c>
      <c r="B3427" s="92"/>
      <c r="C3427" s="92"/>
      <c r="D3427" s="101"/>
      <c r="E3427" s="79"/>
      <c r="F3427" s="79"/>
      <c r="G3427" s="79"/>
      <c r="H3427" s="79"/>
    </row>
    <row r="3428" spans="1:8">
      <c r="A3428" s="79" t="str">
        <f>LeaveData[[#This Row],[ EMP ID]]&amp;LeaveData[[#This Row],[Date]]</f>
        <v/>
      </c>
      <c r="B3428" s="92"/>
      <c r="C3428" s="92"/>
      <c r="D3428" s="101"/>
      <c r="E3428" s="79"/>
      <c r="F3428" s="79"/>
      <c r="G3428" s="79"/>
      <c r="H3428" s="79"/>
    </row>
    <row r="3429" spans="1:8">
      <c r="A3429" s="79" t="str">
        <f>LeaveData[[#This Row],[ EMP ID]]&amp;LeaveData[[#This Row],[Date]]</f>
        <v/>
      </c>
      <c r="B3429" s="92"/>
      <c r="C3429" s="92"/>
      <c r="D3429" s="101"/>
      <c r="E3429" s="79"/>
      <c r="F3429" s="79"/>
      <c r="G3429" s="79"/>
      <c r="H3429" s="79"/>
    </row>
    <row r="3430" spans="1:8">
      <c r="A3430" s="79" t="str">
        <f>LeaveData[[#This Row],[ EMP ID]]&amp;LeaveData[[#This Row],[Date]]</f>
        <v/>
      </c>
      <c r="B3430" s="92"/>
      <c r="C3430" s="92"/>
      <c r="D3430" s="101"/>
      <c r="E3430" s="79"/>
      <c r="F3430" s="79"/>
      <c r="G3430" s="79"/>
      <c r="H3430" s="79"/>
    </row>
    <row r="3431" spans="1:8">
      <c r="A3431" s="79" t="str">
        <f>LeaveData[[#This Row],[ EMP ID]]&amp;LeaveData[[#This Row],[Date]]</f>
        <v/>
      </c>
      <c r="B3431" s="92"/>
      <c r="C3431" s="92"/>
      <c r="D3431" s="101"/>
      <c r="E3431" s="79"/>
      <c r="F3431" s="79"/>
      <c r="G3431" s="79"/>
      <c r="H3431" s="79"/>
    </row>
    <row r="3432" spans="1:8">
      <c r="A3432" s="79" t="str">
        <f>LeaveData[[#This Row],[ EMP ID]]&amp;LeaveData[[#This Row],[Date]]</f>
        <v/>
      </c>
      <c r="B3432" s="92"/>
      <c r="C3432" s="92"/>
      <c r="D3432" s="101"/>
      <c r="E3432" s="79"/>
      <c r="F3432" s="79"/>
      <c r="G3432" s="79"/>
      <c r="H3432" s="79"/>
    </row>
    <row r="3433" spans="1:8">
      <c r="A3433" s="79" t="str">
        <f>LeaveData[[#This Row],[ EMP ID]]&amp;LeaveData[[#This Row],[Date]]</f>
        <v/>
      </c>
      <c r="B3433" s="92"/>
      <c r="C3433" s="92"/>
      <c r="D3433" s="101"/>
      <c r="E3433" s="79"/>
      <c r="F3433" s="79"/>
      <c r="G3433" s="79"/>
      <c r="H3433" s="79"/>
    </row>
    <row r="3434" spans="1:8">
      <c r="A3434" s="79" t="str">
        <f>LeaveData[[#This Row],[ EMP ID]]&amp;LeaveData[[#This Row],[Date]]</f>
        <v/>
      </c>
      <c r="B3434" s="92"/>
      <c r="C3434" s="92"/>
      <c r="D3434" s="101"/>
      <c r="E3434" s="79"/>
      <c r="F3434" s="79"/>
      <c r="G3434" s="79"/>
      <c r="H3434" s="79"/>
    </row>
    <row r="3435" spans="1:8">
      <c r="A3435" s="79" t="str">
        <f>LeaveData[[#This Row],[ EMP ID]]&amp;LeaveData[[#This Row],[Date]]</f>
        <v/>
      </c>
      <c r="B3435" s="92"/>
      <c r="C3435" s="92"/>
      <c r="D3435" s="101"/>
      <c r="E3435" s="79"/>
      <c r="F3435" s="79"/>
      <c r="G3435" s="79"/>
      <c r="H3435" s="79"/>
    </row>
    <row r="3436" spans="1:8">
      <c r="A3436" s="79" t="str">
        <f>LeaveData[[#This Row],[ EMP ID]]&amp;LeaveData[[#This Row],[Date]]</f>
        <v/>
      </c>
      <c r="B3436" s="92"/>
      <c r="C3436" s="92"/>
      <c r="D3436" s="101"/>
      <c r="E3436" s="79"/>
      <c r="F3436" s="79"/>
      <c r="G3436" s="79"/>
      <c r="H3436" s="79"/>
    </row>
    <row r="3437" spans="1:8">
      <c r="A3437" s="79" t="str">
        <f>LeaveData[[#This Row],[ EMP ID]]&amp;LeaveData[[#This Row],[Date]]</f>
        <v/>
      </c>
      <c r="B3437" s="92"/>
      <c r="C3437" s="92"/>
      <c r="D3437" s="101"/>
      <c r="E3437" s="79"/>
      <c r="F3437" s="79"/>
      <c r="G3437" s="79"/>
      <c r="H3437" s="79"/>
    </row>
    <row r="3438" spans="1:8">
      <c r="A3438" s="79" t="str">
        <f>LeaveData[[#This Row],[ EMP ID]]&amp;LeaveData[[#This Row],[Date]]</f>
        <v/>
      </c>
      <c r="B3438" s="92"/>
      <c r="C3438" s="92"/>
      <c r="D3438" s="101"/>
      <c r="E3438" s="79"/>
      <c r="F3438" s="79"/>
      <c r="G3438" s="79"/>
      <c r="H3438" s="79"/>
    </row>
    <row r="3439" spans="1:8">
      <c r="A3439" s="79" t="str">
        <f>LeaveData[[#This Row],[ EMP ID]]&amp;LeaveData[[#This Row],[Date]]</f>
        <v/>
      </c>
      <c r="B3439" s="92"/>
      <c r="C3439" s="92"/>
      <c r="D3439" s="101"/>
      <c r="E3439" s="79"/>
      <c r="F3439" s="79"/>
      <c r="G3439" s="79"/>
      <c r="H3439" s="79"/>
    </row>
    <row r="3440" spans="1:8">
      <c r="A3440" s="79" t="str">
        <f>LeaveData[[#This Row],[ EMP ID]]&amp;LeaveData[[#This Row],[Date]]</f>
        <v/>
      </c>
      <c r="B3440" s="92"/>
      <c r="C3440" s="92"/>
      <c r="D3440" s="101"/>
      <c r="E3440" s="79"/>
      <c r="F3440" s="79"/>
      <c r="G3440" s="79"/>
      <c r="H3440" s="79"/>
    </row>
    <row r="3441" spans="1:8">
      <c r="A3441" s="79" t="str">
        <f>LeaveData[[#This Row],[ EMP ID]]&amp;LeaveData[[#This Row],[Date]]</f>
        <v/>
      </c>
      <c r="B3441" s="92"/>
      <c r="C3441" s="92"/>
      <c r="D3441" s="101"/>
      <c r="E3441" s="79"/>
      <c r="F3441" s="79"/>
      <c r="G3441" s="79"/>
      <c r="H3441" s="79"/>
    </row>
    <row r="3442" spans="1:8">
      <c r="A3442" s="79" t="str">
        <f>LeaveData[[#This Row],[ EMP ID]]&amp;LeaveData[[#This Row],[Date]]</f>
        <v/>
      </c>
      <c r="B3442" s="92"/>
      <c r="C3442" s="92"/>
      <c r="D3442" s="101"/>
      <c r="E3442" s="79"/>
      <c r="F3442" s="79"/>
      <c r="G3442" s="79"/>
      <c r="H3442" s="79"/>
    </row>
    <row r="3443" spans="1:8">
      <c r="A3443" s="79" t="str">
        <f>LeaveData[[#This Row],[ EMP ID]]&amp;LeaveData[[#This Row],[Date]]</f>
        <v/>
      </c>
      <c r="B3443" s="92"/>
      <c r="C3443" s="92"/>
      <c r="D3443" s="101"/>
      <c r="E3443" s="79"/>
      <c r="F3443" s="79"/>
      <c r="G3443" s="79"/>
      <c r="H3443" s="79"/>
    </row>
    <row r="3444" spans="1:8">
      <c r="A3444" s="79" t="str">
        <f>LeaveData[[#This Row],[ EMP ID]]&amp;LeaveData[[#This Row],[Date]]</f>
        <v/>
      </c>
      <c r="B3444" s="92"/>
      <c r="C3444" s="92"/>
      <c r="D3444" s="101"/>
      <c r="E3444" s="79"/>
      <c r="F3444" s="79"/>
      <c r="G3444" s="79"/>
      <c r="H3444" s="79"/>
    </row>
    <row r="3445" spans="1:8">
      <c r="A3445" s="79" t="str">
        <f>LeaveData[[#This Row],[ EMP ID]]&amp;LeaveData[[#This Row],[Date]]</f>
        <v/>
      </c>
      <c r="B3445" s="92"/>
      <c r="C3445" s="92"/>
      <c r="D3445" s="101"/>
      <c r="E3445" s="79"/>
      <c r="F3445" s="79"/>
      <c r="G3445" s="79"/>
      <c r="H3445" s="79"/>
    </row>
    <row r="3446" spans="1:8">
      <c r="A3446" s="79" t="str">
        <f>LeaveData[[#This Row],[ EMP ID]]&amp;LeaveData[[#This Row],[Date]]</f>
        <v/>
      </c>
      <c r="B3446" s="92"/>
      <c r="C3446" s="92"/>
      <c r="D3446" s="101"/>
      <c r="E3446" s="79"/>
      <c r="F3446" s="79"/>
      <c r="G3446" s="79"/>
      <c r="H3446" s="79"/>
    </row>
    <row r="3447" spans="1:8">
      <c r="A3447" s="79" t="str">
        <f>LeaveData[[#This Row],[ EMP ID]]&amp;LeaveData[[#This Row],[Date]]</f>
        <v/>
      </c>
      <c r="B3447" s="92"/>
      <c r="C3447" s="92"/>
      <c r="D3447" s="101"/>
      <c r="E3447" s="79"/>
      <c r="F3447" s="79"/>
      <c r="G3447" s="79"/>
      <c r="H3447" s="79"/>
    </row>
    <row r="3448" spans="1:8">
      <c r="A3448" s="79" t="str">
        <f>LeaveData[[#This Row],[ EMP ID]]&amp;LeaveData[[#This Row],[Date]]</f>
        <v/>
      </c>
      <c r="B3448" s="92"/>
      <c r="C3448" s="92"/>
      <c r="D3448" s="101"/>
      <c r="E3448" s="79"/>
      <c r="F3448" s="79"/>
      <c r="G3448" s="79"/>
      <c r="H3448" s="79"/>
    </row>
    <row r="3449" spans="1:8">
      <c r="A3449" s="79" t="str">
        <f>LeaveData[[#This Row],[ EMP ID]]&amp;LeaveData[[#This Row],[Date]]</f>
        <v/>
      </c>
      <c r="B3449" s="92"/>
      <c r="C3449" s="92"/>
      <c r="D3449" s="101"/>
      <c r="E3449" s="79"/>
      <c r="F3449" s="79"/>
      <c r="G3449" s="79"/>
      <c r="H3449" s="79"/>
    </row>
    <row r="3450" spans="1:8">
      <c r="A3450" s="79" t="str">
        <f>LeaveData[[#This Row],[ EMP ID]]&amp;LeaveData[[#This Row],[Date]]</f>
        <v/>
      </c>
      <c r="B3450" s="92"/>
      <c r="C3450" s="92"/>
      <c r="D3450" s="101"/>
      <c r="E3450" s="79"/>
      <c r="F3450" s="79"/>
      <c r="G3450" s="79"/>
      <c r="H3450" s="79"/>
    </row>
    <row r="3451" spans="1:8">
      <c r="A3451" s="79" t="str">
        <f>LeaveData[[#This Row],[ EMP ID]]&amp;LeaveData[[#This Row],[Date]]</f>
        <v/>
      </c>
      <c r="B3451" s="92"/>
      <c r="C3451" s="92"/>
      <c r="D3451" s="101"/>
      <c r="E3451" s="79"/>
      <c r="F3451" s="79"/>
      <c r="G3451" s="79"/>
      <c r="H3451" s="79"/>
    </row>
    <row r="3452" spans="1:8">
      <c r="A3452" s="79" t="str">
        <f>LeaveData[[#This Row],[ EMP ID]]&amp;LeaveData[[#This Row],[Date]]</f>
        <v/>
      </c>
      <c r="B3452" s="92"/>
      <c r="C3452" s="92"/>
      <c r="D3452" s="101"/>
      <c r="E3452" s="79"/>
      <c r="F3452" s="79"/>
      <c r="G3452" s="79"/>
      <c r="H3452" s="79"/>
    </row>
    <row r="3453" spans="1:8">
      <c r="A3453" s="79" t="str">
        <f>LeaveData[[#This Row],[ EMP ID]]&amp;LeaveData[[#This Row],[Date]]</f>
        <v/>
      </c>
      <c r="B3453" s="92"/>
      <c r="C3453" s="92"/>
      <c r="D3453" s="101"/>
      <c r="E3453" s="79"/>
      <c r="F3453" s="79"/>
      <c r="G3453" s="79"/>
      <c r="H3453" s="79"/>
    </row>
    <row r="3454" spans="1:8">
      <c r="A3454" s="79" t="str">
        <f>LeaveData[[#This Row],[ EMP ID]]&amp;LeaveData[[#This Row],[Date]]</f>
        <v/>
      </c>
      <c r="B3454" s="92"/>
      <c r="C3454" s="92"/>
      <c r="D3454" s="101"/>
      <c r="E3454" s="79"/>
      <c r="F3454" s="79"/>
      <c r="G3454" s="79"/>
      <c r="H3454" s="79"/>
    </row>
    <row r="3455" spans="1:8">
      <c r="A3455" s="79" t="str">
        <f>LeaveData[[#This Row],[ EMP ID]]&amp;LeaveData[[#This Row],[Date]]</f>
        <v/>
      </c>
      <c r="B3455" s="92"/>
      <c r="C3455" s="92"/>
      <c r="D3455" s="101"/>
      <c r="E3455" s="79"/>
      <c r="F3455" s="79"/>
      <c r="G3455" s="79"/>
      <c r="H3455" s="79"/>
    </row>
    <row r="3456" spans="1:8">
      <c r="A3456" s="79" t="str">
        <f>LeaveData[[#This Row],[ EMP ID]]&amp;LeaveData[[#This Row],[Date]]</f>
        <v/>
      </c>
      <c r="B3456" s="92"/>
      <c r="C3456" s="92"/>
      <c r="D3456" s="101"/>
      <c r="E3456" s="79"/>
      <c r="F3456" s="79"/>
      <c r="G3456" s="79"/>
      <c r="H3456" s="79"/>
    </row>
    <row r="3457" spans="1:8">
      <c r="A3457" s="79" t="str">
        <f>LeaveData[[#This Row],[ EMP ID]]&amp;LeaveData[[#This Row],[Date]]</f>
        <v/>
      </c>
      <c r="B3457" s="92"/>
      <c r="C3457" s="92"/>
      <c r="D3457" s="101"/>
      <c r="E3457" s="79"/>
      <c r="F3457" s="79"/>
      <c r="G3457" s="79"/>
      <c r="H3457" s="79"/>
    </row>
    <row r="3458" spans="1:8">
      <c r="A3458" s="79" t="str">
        <f>LeaveData[[#This Row],[ EMP ID]]&amp;LeaveData[[#This Row],[Date]]</f>
        <v/>
      </c>
      <c r="B3458" s="92"/>
      <c r="C3458" s="92"/>
      <c r="D3458" s="101"/>
      <c r="E3458" s="79"/>
      <c r="F3458" s="79"/>
      <c r="G3458" s="79"/>
      <c r="H3458" s="79"/>
    </row>
    <row r="3459" spans="1:8">
      <c r="A3459" s="79" t="str">
        <f>LeaveData[[#This Row],[ EMP ID]]&amp;LeaveData[[#This Row],[Date]]</f>
        <v/>
      </c>
      <c r="B3459" s="92"/>
      <c r="C3459" s="92"/>
      <c r="D3459" s="101"/>
      <c r="E3459" s="79"/>
      <c r="F3459" s="79"/>
      <c r="G3459" s="79"/>
      <c r="H3459" s="79"/>
    </row>
    <row r="3460" spans="1:8">
      <c r="A3460" s="79" t="str">
        <f>LeaveData[[#This Row],[ EMP ID]]&amp;LeaveData[[#This Row],[Date]]</f>
        <v/>
      </c>
      <c r="B3460" s="92"/>
      <c r="C3460" s="92"/>
      <c r="D3460" s="101"/>
      <c r="E3460" s="79"/>
      <c r="F3460" s="79"/>
      <c r="G3460" s="79"/>
      <c r="H3460" s="79"/>
    </row>
    <row r="3461" spans="1:8">
      <c r="A3461" s="79" t="str">
        <f>LeaveData[[#This Row],[ EMP ID]]&amp;LeaveData[[#This Row],[Date]]</f>
        <v/>
      </c>
      <c r="B3461" s="92"/>
      <c r="C3461" s="92"/>
      <c r="D3461" s="101"/>
      <c r="E3461" s="79"/>
      <c r="F3461" s="79"/>
      <c r="G3461" s="79"/>
      <c r="H3461" s="79"/>
    </row>
    <row r="3462" spans="1:8">
      <c r="A3462" s="79" t="str">
        <f>LeaveData[[#This Row],[ EMP ID]]&amp;LeaveData[[#This Row],[Date]]</f>
        <v/>
      </c>
      <c r="B3462" s="92"/>
      <c r="C3462" s="92"/>
      <c r="D3462" s="101"/>
      <c r="E3462" s="79"/>
      <c r="F3462" s="79"/>
      <c r="G3462" s="79"/>
      <c r="H3462" s="79"/>
    </row>
    <row r="3463" spans="1:8">
      <c r="A3463" s="79" t="str">
        <f>LeaveData[[#This Row],[ EMP ID]]&amp;LeaveData[[#This Row],[Date]]</f>
        <v/>
      </c>
      <c r="B3463" s="92"/>
      <c r="C3463" s="92"/>
      <c r="D3463" s="101"/>
      <c r="E3463" s="79"/>
      <c r="F3463" s="79"/>
      <c r="G3463" s="79"/>
      <c r="H3463" s="79"/>
    </row>
    <row r="3464" spans="1:8">
      <c r="A3464" s="79" t="str">
        <f>LeaveData[[#This Row],[ EMP ID]]&amp;LeaveData[[#This Row],[Date]]</f>
        <v/>
      </c>
      <c r="B3464" s="92"/>
      <c r="C3464" s="92"/>
      <c r="D3464" s="101"/>
      <c r="E3464" s="79"/>
      <c r="F3464" s="79"/>
      <c r="G3464" s="79"/>
      <c r="H3464" s="79"/>
    </row>
    <row r="3465" spans="1:8">
      <c r="A3465" s="79" t="str">
        <f>LeaveData[[#This Row],[ EMP ID]]&amp;LeaveData[[#This Row],[Date]]</f>
        <v/>
      </c>
      <c r="B3465" s="92"/>
      <c r="C3465" s="92"/>
      <c r="D3465" s="101"/>
      <c r="E3465" s="79"/>
      <c r="F3465" s="79"/>
      <c r="G3465" s="79"/>
      <c r="H3465" s="79"/>
    </row>
    <row r="3466" spans="1:8">
      <c r="A3466" s="79" t="str">
        <f>LeaveData[[#This Row],[ EMP ID]]&amp;LeaveData[[#This Row],[Date]]</f>
        <v/>
      </c>
      <c r="B3466" s="92"/>
      <c r="C3466" s="92"/>
      <c r="D3466" s="101"/>
      <c r="E3466" s="79"/>
      <c r="F3466" s="79"/>
      <c r="G3466" s="79"/>
      <c r="H3466" s="79"/>
    </row>
    <row r="3467" spans="1:8">
      <c r="A3467" s="79" t="str">
        <f>LeaveData[[#This Row],[ EMP ID]]&amp;LeaveData[[#This Row],[Date]]</f>
        <v/>
      </c>
      <c r="B3467" s="92"/>
      <c r="C3467" s="92"/>
      <c r="D3467" s="101"/>
      <c r="E3467" s="79"/>
      <c r="F3467" s="79"/>
      <c r="G3467" s="79"/>
      <c r="H3467" s="79"/>
    </row>
    <row r="3468" spans="1:8">
      <c r="A3468" s="79" t="str">
        <f>LeaveData[[#This Row],[ EMP ID]]&amp;LeaveData[[#This Row],[Date]]</f>
        <v/>
      </c>
      <c r="B3468" s="92"/>
      <c r="C3468" s="92"/>
      <c r="D3468" s="101"/>
      <c r="E3468" s="79"/>
      <c r="F3468" s="79"/>
      <c r="G3468" s="79"/>
      <c r="H3468" s="79"/>
    </row>
    <row r="3469" spans="1:8">
      <c r="A3469" s="79" t="str">
        <f>LeaveData[[#This Row],[ EMP ID]]&amp;LeaveData[[#This Row],[Date]]</f>
        <v/>
      </c>
      <c r="B3469" s="92"/>
      <c r="C3469" s="92"/>
      <c r="D3469" s="101"/>
      <c r="E3469" s="79"/>
      <c r="F3469" s="79"/>
      <c r="G3469" s="79"/>
      <c r="H3469" s="79"/>
    </row>
    <row r="3470" spans="1:8">
      <c r="A3470" s="79" t="str">
        <f>LeaveData[[#This Row],[ EMP ID]]&amp;LeaveData[[#This Row],[Date]]</f>
        <v/>
      </c>
      <c r="B3470" s="92"/>
      <c r="C3470" s="92"/>
      <c r="D3470" s="101"/>
      <c r="E3470" s="79"/>
      <c r="F3470" s="79"/>
      <c r="G3470" s="79"/>
      <c r="H3470" s="79"/>
    </row>
    <row r="3471" spans="1:8">
      <c r="A3471" s="79" t="str">
        <f>LeaveData[[#This Row],[ EMP ID]]&amp;LeaveData[[#This Row],[Date]]</f>
        <v/>
      </c>
      <c r="B3471" s="92"/>
      <c r="C3471" s="92"/>
      <c r="D3471" s="101"/>
      <c r="E3471" s="79"/>
      <c r="F3471" s="79"/>
      <c r="G3471" s="79"/>
      <c r="H3471" s="79"/>
    </row>
    <row r="3472" spans="1:8">
      <c r="A3472" s="79" t="str">
        <f>LeaveData[[#This Row],[ EMP ID]]&amp;LeaveData[[#This Row],[Date]]</f>
        <v/>
      </c>
      <c r="B3472" s="92"/>
      <c r="C3472" s="92"/>
      <c r="D3472" s="101"/>
      <c r="E3472" s="79"/>
      <c r="F3472" s="79"/>
      <c r="G3472" s="79"/>
      <c r="H3472" s="79"/>
    </row>
    <row r="3473" spans="1:8">
      <c r="A3473" s="79" t="str">
        <f>LeaveData[[#This Row],[ EMP ID]]&amp;LeaveData[[#This Row],[Date]]</f>
        <v/>
      </c>
      <c r="B3473" s="92"/>
      <c r="C3473" s="92"/>
      <c r="D3473" s="101"/>
      <c r="E3473" s="79"/>
      <c r="F3473" s="79"/>
      <c r="G3473" s="79"/>
      <c r="H3473" s="79"/>
    </row>
    <row r="3474" spans="1:8">
      <c r="A3474" s="79" t="str">
        <f>LeaveData[[#This Row],[ EMP ID]]&amp;LeaveData[[#This Row],[Date]]</f>
        <v/>
      </c>
      <c r="B3474" s="92"/>
      <c r="C3474" s="92"/>
      <c r="D3474" s="101"/>
      <c r="E3474" s="79"/>
      <c r="F3474" s="79"/>
      <c r="G3474" s="79"/>
      <c r="H3474" s="79"/>
    </row>
    <row r="3475" spans="1:8">
      <c r="A3475" s="79" t="str">
        <f>LeaveData[[#This Row],[ EMP ID]]&amp;LeaveData[[#This Row],[Date]]</f>
        <v/>
      </c>
      <c r="B3475" s="92"/>
      <c r="C3475" s="92"/>
      <c r="D3475" s="101"/>
      <c r="E3475" s="79"/>
      <c r="F3475" s="79"/>
      <c r="G3475" s="79"/>
      <c r="H3475" s="79"/>
    </row>
    <row r="3476" spans="1:8">
      <c r="A3476" s="79" t="str">
        <f>LeaveData[[#This Row],[ EMP ID]]&amp;LeaveData[[#This Row],[Date]]</f>
        <v/>
      </c>
      <c r="B3476" s="92"/>
      <c r="C3476" s="92"/>
      <c r="D3476" s="101"/>
      <c r="E3476" s="79"/>
      <c r="F3476" s="79"/>
      <c r="G3476" s="79"/>
      <c r="H3476" s="79"/>
    </row>
    <row r="3477" spans="1:8">
      <c r="A3477" s="79" t="str">
        <f>LeaveData[[#This Row],[ EMP ID]]&amp;LeaveData[[#This Row],[Date]]</f>
        <v/>
      </c>
      <c r="B3477" s="92"/>
      <c r="C3477" s="92"/>
      <c r="D3477" s="101"/>
      <c r="E3477" s="79"/>
      <c r="F3477" s="79"/>
      <c r="G3477" s="79"/>
      <c r="H3477" s="79"/>
    </row>
    <row r="3478" spans="1:8">
      <c r="A3478" s="79" t="str">
        <f>LeaveData[[#This Row],[ EMP ID]]&amp;LeaveData[[#This Row],[Date]]</f>
        <v/>
      </c>
      <c r="B3478" s="92"/>
      <c r="C3478" s="92"/>
      <c r="D3478" s="101"/>
      <c r="E3478" s="79"/>
      <c r="F3478" s="79"/>
      <c r="G3478" s="79"/>
      <c r="H3478" s="79"/>
    </row>
    <row r="3479" spans="1:8">
      <c r="A3479" s="79" t="str">
        <f>LeaveData[[#This Row],[ EMP ID]]&amp;LeaveData[[#This Row],[Date]]</f>
        <v/>
      </c>
      <c r="B3479" s="92"/>
      <c r="C3479" s="92"/>
      <c r="D3479" s="101"/>
      <c r="E3479" s="79"/>
      <c r="F3479" s="79"/>
      <c r="G3479" s="79"/>
      <c r="H3479" s="79"/>
    </row>
    <row r="3480" spans="1:8">
      <c r="A3480" s="79" t="str">
        <f>LeaveData[[#This Row],[ EMP ID]]&amp;LeaveData[[#This Row],[Date]]</f>
        <v/>
      </c>
      <c r="B3480" s="92"/>
      <c r="C3480" s="92"/>
      <c r="D3480" s="101"/>
      <c r="E3480" s="79"/>
      <c r="F3480" s="79"/>
      <c r="G3480" s="79"/>
      <c r="H3480" s="79"/>
    </row>
    <row r="3481" spans="1:8">
      <c r="A3481" s="79" t="str">
        <f>LeaveData[[#This Row],[ EMP ID]]&amp;LeaveData[[#This Row],[Date]]</f>
        <v/>
      </c>
      <c r="B3481" s="92"/>
      <c r="C3481" s="92"/>
      <c r="D3481" s="101"/>
      <c r="E3481" s="79"/>
      <c r="F3481" s="79"/>
      <c r="G3481" s="79"/>
      <c r="H3481" s="79"/>
    </row>
    <row r="3482" spans="1:8">
      <c r="A3482" s="79" t="str">
        <f>LeaveData[[#This Row],[ EMP ID]]&amp;LeaveData[[#This Row],[Date]]</f>
        <v/>
      </c>
      <c r="B3482" s="92"/>
      <c r="C3482" s="92"/>
      <c r="D3482" s="101"/>
      <c r="E3482" s="79"/>
      <c r="F3482" s="79"/>
      <c r="G3482" s="79"/>
      <c r="H3482" s="79"/>
    </row>
    <row r="3483" spans="1:8">
      <c r="A3483" s="79" t="str">
        <f>LeaveData[[#This Row],[ EMP ID]]&amp;LeaveData[[#This Row],[Date]]</f>
        <v/>
      </c>
      <c r="B3483" s="92"/>
      <c r="C3483" s="92"/>
      <c r="D3483" s="101"/>
      <c r="E3483" s="79"/>
      <c r="F3483" s="79"/>
      <c r="G3483" s="79"/>
      <c r="H3483" s="79"/>
    </row>
    <row r="3484" spans="1:8">
      <c r="A3484" s="79" t="str">
        <f>LeaveData[[#This Row],[ EMP ID]]&amp;LeaveData[[#This Row],[Date]]</f>
        <v/>
      </c>
      <c r="B3484" s="92"/>
      <c r="C3484" s="92"/>
      <c r="D3484" s="101"/>
      <c r="E3484" s="79"/>
      <c r="F3484" s="79"/>
      <c r="G3484" s="79"/>
      <c r="H3484" s="79"/>
    </row>
    <row r="3485" spans="1:8">
      <c r="A3485" s="79" t="str">
        <f>LeaveData[[#This Row],[ EMP ID]]&amp;LeaveData[[#This Row],[Date]]</f>
        <v/>
      </c>
      <c r="B3485" s="92"/>
      <c r="C3485" s="92"/>
      <c r="D3485" s="101"/>
      <c r="E3485" s="79"/>
      <c r="F3485" s="79"/>
      <c r="G3485" s="79"/>
      <c r="H3485" s="79"/>
    </row>
    <row r="3486" spans="1:8">
      <c r="A3486" s="79" t="str">
        <f>LeaveData[[#This Row],[ EMP ID]]&amp;LeaveData[[#This Row],[Date]]</f>
        <v/>
      </c>
      <c r="B3486" s="92"/>
      <c r="C3486" s="92"/>
      <c r="D3486" s="101"/>
      <c r="E3486" s="79"/>
      <c r="F3486" s="79"/>
      <c r="G3486" s="79"/>
      <c r="H3486" s="79"/>
    </row>
    <row r="3487" spans="1:8">
      <c r="A3487" s="79" t="str">
        <f>LeaveData[[#This Row],[ EMP ID]]&amp;LeaveData[[#This Row],[Date]]</f>
        <v/>
      </c>
      <c r="B3487" s="92"/>
      <c r="C3487" s="92"/>
      <c r="D3487" s="101"/>
      <c r="E3487" s="79"/>
      <c r="F3487" s="79"/>
      <c r="G3487" s="79"/>
      <c r="H3487" s="79"/>
    </row>
    <row r="3488" spans="1:8">
      <c r="A3488" s="79" t="str">
        <f>LeaveData[[#This Row],[ EMP ID]]&amp;LeaveData[[#This Row],[Date]]</f>
        <v/>
      </c>
      <c r="B3488" s="92"/>
      <c r="C3488" s="92"/>
      <c r="D3488" s="101"/>
      <c r="E3488" s="79"/>
      <c r="F3488" s="79"/>
      <c r="G3488" s="79"/>
      <c r="H3488" s="79"/>
    </row>
    <row r="3489" spans="1:8">
      <c r="A3489" s="79" t="str">
        <f>LeaveData[[#This Row],[ EMP ID]]&amp;LeaveData[[#This Row],[Date]]</f>
        <v/>
      </c>
      <c r="B3489" s="92"/>
      <c r="C3489" s="92"/>
      <c r="D3489" s="101"/>
      <c r="E3489" s="79"/>
      <c r="F3489" s="79"/>
      <c r="G3489" s="79"/>
      <c r="H3489" s="79"/>
    </row>
    <row r="3490" spans="1:8">
      <c r="A3490" s="79" t="str">
        <f>LeaveData[[#This Row],[ EMP ID]]&amp;LeaveData[[#This Row],[Date]]</f>
        <v/>
      </c>
      <c r="B3490" s="92"/>
      <c r="C3490" s="92"/>
      <c r="D3490" s="101"/>
      <c r="E3490" s="79"/>
      <c r="F3490" s="79"/>
      <c r="G3490" s="79"/>
      <c r="H3490" s="79"/>
    </row>
    <row r="3491" spans="1:8">
      <c r="A3491" s="79" t="str">
        <f>LeaveData[[#This Row],[ EMP ID]]&amp;LeaveData[[#This Row],[Date]]</f>
        <v/>
      </c>
      <c r="B3491" s="92"/>
      <c r="C3491" s="92"/>
      <c r="D3491" s="101"/>
      <c r="E3491" s="79"/>
      <c r="F3491" s="79"/>
      <c r="G3491" s="79"/>
      <c r="H3491" s="79"/>
    </row>
    <row r="3492" spans="1:8">
      <c r="A3492" s="79" t="str">
        <f>LeaveData[[#This Row],[ EMP ID]]&amp;LeaveData[[#This Row],[Date]]</f>
        <v/>
      </c>
      <c r="B3492" s="92"/>
      <c r="C3492" s="92"/>
      <c r="D3492" s="101"/>
      <c r="E3492" s="79"/>
      <c r="F3492" s="79"/>
      <c r="G3492" s="79"/>
      <c r="H3492" s="79"/>
    </row>
    <row r="3493" spans="1:8">
      <c r="A3493" s="79" t="str">
        <f>LeaveData[[#This Row],[ EMP ID]]&amp;LeaveData[[#This Row],[Date]]</f>
        <v/>
      </c>
      <c r="B3493" s="92"/>
      <c r="C3493" s="92"/>
      <c r="D3493" s="101"/>
      <c r="E3493" s="79"/>
      <c r="F3493" s="79"/>
      <c r="G3493" s="79"/>
      <c r="H3493" s="79"/>
    </row>
    <row r="3494" spans="1:8">
      <c r="A3494" s="79" t="str">
        <f>LeaveData[[#This Row],[ EMP ID]]&amp;LeaveData[[#This Row],[Date]]</f>
        <v/>
      </c>
      <c r="B3494" s="92"/>
      <c r="C3494" s="92"/>
      <c r="D3494" s="101"/>
      <c r="E3494" s="79"/>
      <c r="F3494" s="79"/>
      <c r="G3494" s="79"/>
      <c r="H3494" s="79"/>
    </row>
    <row r="3495" spans="1:8">
      <c r="A3495" s="79" t="str">
        <f>LeaveData[[#This Row],[ EMP ID]]&amp;LeaveData[[#This Row],[Date]]</f>
        <v/>
      </c>
      <c r="B3495" s="92"/>
      <c r="C3495" s="92"/>
      <c r="D3495" s="101"/>
      <c r="E3495" s="79"/>
      <c r="F3495" s="79"/>
      <c r="G3495" s="79"/>
      <c r="H3495" s="79"/>
    </row>
    <row r="3496" spans="1:8">
      <c r="A3496" s="79" t="str">
        <f>LeaveData[[#This Row],[ EMP ID]]&amp;LeaveData[[#This Row],[Date]]</f>
        <v/>
      </c>
      <c r="B3496" s="92"/>
      <c r="C3496" s="92"/>
      <c r="D3496" s="101"/>
      <c r="E3496" s="79"/>
      <c r="F3496" s="79"/>
      <c r="G3496" s="79"/>
      <c r="H3496" s="79"/>
    </row>
    <row r="3497" spans="1:8">
      <c r="A3497" s="79" t="str">
        <f>LeaveData[[#This Row],[ EMP ID]]&amp;LeaveData[[#This Row],[Date]]</f>
        <v/>
      </c>
      <c r="B3497" s="92"/>
      <c r="C3497" s="92"/>
      <c r="D3497" s="101"/>
      <c r="E3497" s="79"/>
      <c r="F3497" s="79"/>
      <c r="G3497" s="79"/>
      <c r="H3497" s="79"/>
    </row>
    <row r="3498" spans="1:8">
      <c r="A3498" s="79" t="str">
        <f>LeaveData[[#This Row],[ EMP ID]]&amp;LeaveData[[#This Row],[Date]]</f>
        <v/>
      </c>
      <c r="B3498" s="92"/>
      <c r="C3498" s="92"/>
      <c r="D3498" s="101"/>
      <c r="E3498" s="79"/>
      <c r="F3498" s="79"/>
      <c r="G3498" s="79"/>
      <c r="H3498" s="79"/>
    </row>
    <row r="3499" spans="1:8">
      <c r="A3499" s="79" t="str">
        <f>LeaveData[[#This Row],[ EMP ID]]&amp;LeaveData[[#This Row],[Date]]</f>
        <v/>
      </c>
      <c r="B3499" s="92"/>
      <c r="C3499" s="92"/>
      <c r="D3499" s="101"/>
      <c r="E3499" s="79"/>
      <c r="F3499" s="79"/>
      <c r="G3499" s="79"/>
      <c r="H3499" s="79"/>
    </row>
    <row r="3500" spans="1:8">
      <c r="A3500" s="79" t="str">
        <f>LeaveData[[#This Row],[ EMP ID]]&amp;LeaveData[[#This Row],[Date]]</f>
        <v/>
      </c>
      <c r="B3500" s="92"/>
      <c r="C3500" s="92"/>
      <c r="D3500" s="101"/>
      <c r="E3500" s="79"/>
      <c r="F3500" s="79"/>
      <c r="G3500" s="79"/>
      <c r="H3500" s="79"/>
    </row>
    <row r="3501" spans="1:8">
      <c r="A3501" s="79" t="str">
        <f>LeaveData[[#This Row],[ EMP ID]]&amp;LeaveData[[#This Row],[Date]]</f>
        <v/>
      </c>
      <c r="B3501" s="92"/>
      <c r="C3501" s="92"/>
      <c r="D3501" s="101"/>
      <c r="E3501" s="79"/>
      <c r="F3501" s="79"/>
      <c r="G3501" s="79"/>
      <c r="H3501" s="79"/>
    </row>
    <row r="3502" spans="1:8">
      <c r="A3502" s="79" t="str">
        <f>LeaveData[[#This Row],[ EMP ID]]&amp;LeaveData[[#This Row],[Date]]</f>
        <v/>
      </c>
      <c r="B3502" s="92"/>
      <c r="C3502" s="92"/>
      <c r="D3502" s="101"/>
      <c r="E3502" s="79"/>
      <c r="F3502" s="79"/>
      <c r="G3502" s="79"/>
      <c r="H3502" s="79"/>
    </row>
    <row r="3503" spans="1:8">
      <c r="A3503" s="79" t="str">
        <f>LeaveData[[#This Row],[ EMP ID]]&amp;LeaveData[[#This Row],[Date]]</f>
        <v/>
      </c>
      <c r="B3503" s="92"/>
      <c r="C3503" s="92"/>
      <c r="D3503" s="101"/>
      <c r="E3503" s="79"/>
      <c r="F3503" s="79"/>
      <c r="G3503" s="79"/>
      <c r="H3503" s="79"/>
    </row>
    <row r="3504" spans="1:8">
      <c r="A3504" s="79" t="str">
        <f>LeaveData[[#This Row],[ EMP ID]]&amp;LeaveData[[#This Row],[Date]]</f>
        <v/>
      </c>
      <c r="B3504" s="92"/>
      <c r="C3504" s="92"/>
      <c r="D3504" s="101"/>
      <c r="E3504" s="79"/>
      <c r="F3504" s="79"/>
      <c r="G3504" s="79"/>
      <c r="H3504" s="79"/>
    </row>
    <row r="3505" spans="1:8">
      <c r="A3505" s="79" t="str">
        <f>LeaveData[[#This Row],[ EMP ID]]&amp;LeaveData[[#This Row],[Date]]</f>
        <v/>
      </c>
      <c r="B3505" s="92"/>
      <c r="C3505" s="92"/>
      <c r="D3505" s="101"/>
      <c r="E3505" s="79"/>
      <c r="F3505" s="79"/>
      <c r="G3505" s="79"/>
      <c r="H3505" s="79"/>
    </row>
    <row r="3506" spans="1:8">
      <c r="A3506" s="79" t="str">
        <f>LeaveData[[#This Row],[ EMP ID]]&amp;LeaveData[[#This Row],[Date]]</f>
        <v/>
      </c>
      <c r="B3506" s="92"/>
      <c r="C3506" s="92"/>
      <c r="D3506" s="101"/>
      <c r="E3506" s="79"/>
      <c r="F3506" s="79"/>
      <c r="G3506" s="79"/>
      <c r="H3506" s="79"/>
    </row>
    <row r="3507" spans="1:8">
      <c r="A3507" s="79" t="str">
        <f>LeaveData[[#This Row],[ EMP ID]]&amp;LeaveData[[#This Row],[Date]]</f>
        <v/>
      </c>
      <c r="B3507" s="92"/>
      <c r="C3507" s="92"/>
      <c r="D3507" s="101"/>
      <c r="E3507" s="79"/>
      <c r="F3507" s="79"/>
      <c r="G3507" s="79"/>
      <c r="H3507" s="79"/>
    </row>
    <row r="3508" spans="1:8">
      <c r="A3508" s="79" t="str">
        <f>LeaveData[[#This Row],[ EMP ID]]&amp;LeaveData[[#This Row],[Date]]</f>
        <v/>
      </c>
      <c r="B3508" s="92"/>
      <c r="C3508" s="92"/>
      <c r="D3508" s="101"/>
      <c r="E3508" s="79"/>
      <c r="F3508" s="79"/>
      <c r="G3508" s="79"/>
      <c r="H3508" s="79"/>
    </row>
    <row r="3509" spans="1:8">
      <c r="A3509" s="79" t="str">
        <f>LeaveData[[#This Row],[ EMP ID]]&amp;LeaveData[[#This Row],[Date]]</f>
        <v/>
      </c>
      <c r="B3509" s="92"/>
      <c r="C3509" s="92"/>
      <c r="D3509" s="101"/>
      <c r="E3509" s="79"/>
      <c r="F3509" s="79"/>
      <c r="G3509" s="79"/>
      <c r="H3509" s="79"/>
    </row>
    <row r="3510" spans="1:8">
      <c r="A3510" s="79" t="str">
        <f>LeaveData[[#This Row],[ EMP ID]]&amp;LeaveData[[#This Row],[Date]]</f>
        <v/>
      </c>
      <c r="B3510" s="92"/>
      <c r="C3510" s="92"/>
      <c r="D3510" s="101"/>
      <c r="E3510" s="79"/>
      <c r="F3510" s="79"/>
      <c r="G3510" s="79"/>
      <c r="H3510" s="79"/>
    </row>
    <row r="3511" spans="1:8">
      <c r="A3511" s="79" t="str">
        <f>LeaveData[[#This Row],[ EMP ID]]&amp;LeaveData[[#This Row],[Date]]</f>
        <v/>
      </c>
      <c r="B3511" s="92"/>
      <c r="C3511" s="92"/>
      <c r="D3511" s="101"/>
      <c r="E3511" s="79"/>
      <c r="F3511" s="79"/>
      <c r="G3511" s="79"/>
      <c r="H3511" s="79"/>
    </row>
    <row r="3512" spans="1:8">
      <c r="A3512" s="79" t="str">
        <f>LeaveData[[#This Row],[ EMP ID]]&amp;LeaveData[[#This Row],[Date]]</f>
        <v/>
      </c>
      <c r="B3512" s="92"/>
      <c r="C3512" s="92"/>
      <c r="D3512" s="101"/>
      <c r="E3512" s="79"/>
      <c r="F3512" s="79"/>
      <c r="G3512" s="79"/>
      <c r="H3512" s="79"/>
    </row>
    <row r="3513" spans="1:8">
      <c r="A3513" s="79" t="str">
        <f>LeaveData[[#This Row],[ EMP ID]]&amp;LeaveData[[#This Row],[Date]]</f>
        <v/>
      </c>
      <c r="B3513" s="92"/>
      <c r="C3513" s="92"/>
      <c r="D3513" s="101"/>
      <c r="E3513" s="79"/>
      <c r="F3513" s="79"/>
      <c r="G3513" s="79"/>
      <c r="H3513" s="79"/>
    </row>
    <row r="3514" spans="1:8">
      <c r="A3514" s="79" t="str">
        <f>LeaveData[[#This Row],[ EMP ID]]&amp;LeaveData[[#This Row],[Date]]</f>
        <v/>
      </c>
      <c r="B3514" s="92"/>
      <c r="C3514" s="92"/>
      <c r="D3514" s="101"/>
      <c r="E3514" s="79"/>
      <c r="F3514" s="79"/>
      <c r="G3514" s="79"/>
      <c r="H3514" s="79"/>
    </row>
    <row r="3515" spans="1:8">
      <c r="A3515" s="79" t="str">
        <f>LeaveData[[#This Row],[ EMP ID]]&amp;LeaveData[[#This Row],[Date]]</f>
        <v/>
      </c>
      <c r="B3515" s="92"/>
      <c r="C3515" s="92"/>
      <c r="D3515" s="101"/>
      <c r="E3515" s="79"/>
      <c r="F3515" s="79"/>
      <c r="G3515" s="79"/>
      <c r="H3515" s="79"/>
    </row>
    <row r="3516" spans="1:8">
      <c r="A3516" s="79" t="str">
        <f>LeaveData[[#This Row],[ EMP ID]]&amp;LeaveData[[#This Row],[Date]]</f>
        <v/>
      </c>
      <c r="B3516" s="92"/>
      <c r="C3516" s="92"/>
      <c r="D3516" s="101"/>
      <c r="E3516" s="79"/>
      <c r="F3516" s="79"/>
      <c r="G3516" s="79"/>
      <c r="H3516" s="79"/>
    </row>
    <row r="3517" spans="1:8">
      <c r="A3517" s="79" t="str">
        <f>LeaveData[[#This Row],[ EMP ID]]&amp;LeaveData[[#This Row],[Date]]</f>
        <v/>
      </c>
      <c r="B3517" s="92"/>
      <c r="C3517" s="92"/>
      <c r="D3517" s="101"/>
      <c r="E3517" s="79"/>
      <c r="F3517" s="79"/>
      <c r="G3517" s="79"/>
      <c r="H3517" s="79"/>
    </row>
    <row r="3518" spans="1:8">
      <c r="A3518" s="79" t="str">
        <f>LeaveData[[#This Row],[ EMP ID]]&amp;LeaveData[[#This Row],[Date]]</f>
        <v/>
      </c>
      <c r="B3518" s="92"/>
      <c r="C3518" s="92"/>
      <c r="D3518" s="101"/>
      <c r="E3518" s="79"/>
      <c r="F3518" s="79"/>
      <c r="G3518" s="79"/>
      <c r="H3518" s="79"/>
    </row>
    <row r="3519" spans="1:8">
      <c r="A3519" s="79" t="str">
        <f>LeaveData[[#This Row],[ EMP ID]]&amp;LeaveData[[#This Row],[Date]]</f>
        <v/>
      </c>
      <c r="B3519" s="92"/>
      <c r="C3519" s="92"/>
      <c r="D3519" s="101"/>
      <c r="E3519" s="79"/>
      <c r="F3519" s="79"/>
      <c r="G3519" s="79"/>
      <c r="H3519" s="79"/>
    </row>
    <row r="3520" spans="1:8">
      <c r="A3520" s="79" t="str">
        <f>LeaveData[[#This Row],[ EMP ID]]&amp;LeaveData[[#This Row],[Date]]</f>
        <v/>
      </c>
      <c r="B3520" s="92"/>
      <c r="C3520" s="92"/>
      <c r="D3520" s="101"/>
      <c r="E3520" s="79"/>
      <c r="F3520" s="79"/>
      <c r="G3520" s="79"/>
      <c r="H3520" s="79"/>
    </row>
    <row r="3521" spans="1:8">
      <c r="A3521" s="79" t="str">
        <f>LeaveData[[#This Row],[ EMP ID]]&amp;LeaveData[[#This Row],[Date]]</f>
        <v/>
      </c>
      <c r="B3521" s="92"/>
      <c r="C3521" s="92"/>
      <c r="D3521" s="101"/>
      <c r="E3521" s="79"/>
      <c r="F3521" s="79"/>
      <c r="G3521" s="79"/>
      <c r="H3521" s="79"/>
    </row>
    <row r="3522" spans="1:8">
      <c r="A3522" s="79" t="str">
        <f>LeaveData[[#This Row],[ EMP ID]]&amp;LeaveData[[#This Row],[Date]]</f>
        <v/>
      </c>
      <c r="B3522" s="92"/>
      <c r="C3522" s="92"/>
      <c r="D3522" s="101"/>
      <c r="E3522" s="79"/>
      <c r="F3522" s="79"/>
      <c r="G3522" s="79"/>
      <c r="H3522" s="79"/>
    </row>
    <row r="3523" spans="1:8">
      <c r="A3523" s="79" t="str">
        <f>LeaveData[[#This Row],[ EMP ID]]&amp;LeaveData[[#This Row],[Date]]</f>
        <v/>
      </c>
      <c r="B3523" s="92"/>
      <c r="C3523" s="92"/>
      <c r="D3523" s="101"/>
      <c r="E3523" s="79"/>
      <c r="F3523" s="79"/>
      <c r="G3523" s="79"/>
      <c r="H3523" s="79"/>
    </row>
    <row r="3524" spans="1:8">
      <c r="A3524" s="79" t="str">
        <f>LeaveData[[#This Row],[ EMP ID]]&amp;LeaveData[[#This Row],[Date]]</f>
        <v/>
      </c>
      <c r="B3524" s="92"/>
      <c r="C3524" s="92"/>
      <c r="D3524" s="101"/>
      <c r="E3524" s="79"/>
      <c r="F3524" s="79"/>
      <c r="G3524" s="79"/>
      <c r="H3524" s="79"/>
    </row>
    <row r="3525" spans="1:8">
      <c r="A3525" s="79" t="str">
        <f>LeaveData[[#This Row],[ EMP ID]]&amp;LeaveData[[#This Row],[Date]]</f>
        <v/>
      </c>
      <c r="B3525" s="92"/>
      <c r="C3525" s="92"/>
      <c r="D3525" s="101"/>
      <c r="E3525" s="79"/>
      <c r="F3525" s="79"/>
      <c r="G3525" s="79"/>
      <c r="H3525" s="79"/>
    </row>
    <row r="3526" spans="1:8">
      <c r="A3526" s="79" t="str">
        <f>LeaveData[[#This Row],[ EMP ID]]&amp;LeaveData[[#This Row],[Date]]</f>
        <v/>
      </c>
      <c r="B3526" s="92"/>
      <c r="C3526" s="92"/>
      <c r="D3526" s="101"/>
      <c r="E3526" s="79"/>
      <c r="F3526" s="79"/>
      <c r="G3526" s="79"/>
      <c r="H3526" s="79"/>
    </row>
    <row r="3527" spans="1:8">
      <c r="A3527" s="79" t="str">
        <f>LeaveData[[#This Row],[ EMP ID]]&amp;LeaveData[[#This Row],[Date]]</f>
        <v/>
      </c>
      <c r="B3527" s="92"/>
      <c r="C3527" s="92"/>
      <c r="D3527" s="101"/>
      <c r="E3527" s="79"/>
      <c r="F3527" s="79"/>
      <c r="G3527" s="79"/>
      <c r="H3527" s="79"/>
    </row>
    <row r="3528" spans="1:8">
      <c r="A3528" s="79" t="str">
        <f>LeaveData[[#This Row],[ EMP ID]]&amp;LeaveData[[#This Row],[Date]]</f>
        <v/>
      </c>
      <c r="B3528" s="92"/>
      <c r="C3528" s="92"/>
      <c r="D3528" s="101"/>
      <c r="E3528" s="79"/>
      <c r="F3528" s="79"/>
      <c r="G3528" s="79"/>
      <c r="H3528" s="79"/>
    </row>
    <row r="3529" spans="1:8">
      <c r="A3529" s="79" t="str">
        <f>LeaveData[[#This Row],[ EMP ID]]&amp;LeaveData[[#This Row],[Date]]</f>
        <v/>
      </c>
      <c r="B3529" s="92"/>
      <c r="C3529" s="92"/>
      <c r="D3529" s="101"/>
      <c r="E3529" s="79"/>
      <c r="F3529" s="79"/>
      <c r="G3529" s="79"/>
      <c r="H3529" s="79"/>
    </row>
    <row r="3530" spans="1:8">
      <c r="A3530" s="79" t="str">
        <f>LeaveData[[#This Row],[ EMP ID]]&amp;LeaveData[[#This Row],[Date]]</f>
        <v/>
      </c>
      <c r="B3530" s="92"/>
      <c r="C3530" s="92"/>
      <c r="D3530" s="101"/>
      <c r="E3530" s="79"/>
      <c r="F3530" s="79"/>
      <c r="G3530" s="79"/>
      <c r="H3530" s="79"/>
    </row>
    <row r="3531" spans="1:8">
      <c r="A3531" s="79" t="str">
        <f>LeaveData[[#This Row],[ EMP ID]]&amp;LeaveData[[#This Row],[Date]]</f>
        <v/>
      </c>
      <c r="B3531" s="92"/>
      <c r="C3531" s="92"/>
      <c r="D3531" s="101"/>
      <c r="E3531" s="79"/>
      <c r="F3531" s="79"/>
      <c r="G3531" s="79"/>
      <c r="H3531" s="79"/>
    </row>
    <row r="3532" spans="1:8">
      <c r="A3532" s="79" t="str">
        <f>LeaveData[[#This Row],[ EMP ID]]&amp;LeaveData[[#This Row],[Date]]</f>
        <v/>
      </c>
      <c r="B3532" s="92"/>
      <c r="C3532" s="92"/>
      <c r="D3532" s="101"/>
      <c r="E3532" s="79"/>
      <c r="F3532" s="79"/>
      <c r="G3532" s="79"/>
      <c r="H3532" s="79"/>
    </row>
    <row r="3533" spans="1:8">
      <c r="A3533" s="79" t="str">
        <f>LeaveData[[#This Row],[ EMP ID]]&amp;LeaveData[[#This Row],[Date]]</f>
        <v/>
      </c>
      <c r="B3533" s="92"/>
      <c r="C3533" s="92"/>
      <c r="D3533" s="101"/>
      <c r="E3533" s="79"/>
      <c r="F3533" s="79"/>
      <c r="G3533" s="79"/>
      <c r="H3533" s="79"/>
    </row>
    <row r="3534" spans="1:8">
      <c r="A3534" s="79" t="str">
        <f>LeaveData[[#This Row],[ EMP ID]]&amp;LeaveData[[#This Row],[Date]]</f>
        <v/>
      </c>
      <c r="B3534" s="92"/>
      <c r="C3534" s="92"/>
      <c r="D3534" s="101"/>
      <c r="E3534" s="79"/>
      <c r="F3534" s="79"/>
      <c r="G3534" s="79"/>
      <c r="H3534" s="79"/>
    </row>
    <row r="3535" spans="1:8">
      <c r="A3535" s="79" t="str">
        <f>LeaveData[[#This Row],[ EMP ID]]&amp;LeaveData[[#This Row],[Date]]</f>
        <v/>
      </c>
      <c r="B3535" s="92"/>
      <c r="C3535" s="92"/>
      <c r="D3535" s="101"/>
      <c r="E3535" s="79"/>
      <c r="F3535" s="79"/>
      <c r="G3535" s="79"/>
      <c r="H3535" s="79"/>
    </row>
    <row r="3536" spans="1:8">
      <c r="A3536" s="79" t="str">
        <f>LeaveData[[#This Row],[ EMP ID]]&amp;LeaveData[[#This Row],[Date]]</f>
        <v/>
      </c>
      <c r="B3536" s="92"/>
      <c r="C3536" s="92"/>
      <c r="D3536" s="101"/>
      <c r="E3536" s="79"/>
      <c r="F3536" s="79"/>
      <c r="G3536" s="79"/>
      <c r="H3536" s="79"/>
    </row>
    <row r="3537" spans="1:8">
      <c r="A3537" s="79" t="str">
        <f>LeaveData[[#This Row],[ EMP ID]]&amp;LeaveData[[#This Row],[Date]]</f>
        <v/>
      </c>
      <c r="B3537" s="92"/>
      <c r="C3537" s="92"/>
      <c r="D3537" s="101"/>
      <c r="E3537" s="79"/>
      <c r="F3537" s="79"/>
      <c r="G3537" s="79"/>
      <c r="H3537" s="79"/>
    </row>
    <row r="3538" spans="1:8">
      <c r="A3538" s="79" t="str">
        <f>LeaveData[[#This Row],[ EMP ID]]&amp;LeaveData[[#This Row],[Date]]</f>
        <v/>
      </c>
      <c r="B3538" s="92"/>
      <c r="C3538" s="92"/>
      <c r="D3538" s="101"/>
      <c r="E3538" s="79"/>
      <c r="F3538" s="79"/>
      <c r="G3538" s="79"/>
      <c r="H3538" s="79"/>
    </row>
    <row r="3539" spans="1:8">
      <c r="A3539" s="79" t="str">
        <f>LeaveData[[#This Row],[ EMP ID]]&amp;LeaveData[[#This Row],[Date]]</f>
        <v/>
      </c>
      <c r="B3539" s="92"/>
      <c r="C3539" s="92"/>
      <c r="D3539" s="101"/>
      <c r="E3539" s="79"/>
      <c r="F3539" s="79"/>
      <c r="G3539" s="79"/>
      <c r="H3539" s="79"/>
    </row>
    <row r="3540" spans="1:8">
      <c r="A3540" s="79" t="str">
        <f>LeaveData[[#This Row],[ EMP ID]]&amp;LeaveData[[#This Row],[Date]]</f>
        <v/>
      </c>
      <c r="B3540" s="92"/>
      <c r="C3540" s="92"/>
      <c r="D3540" s="101"/>
      <c r="E3540" s="79"/>
      <c r="F3540" s="79"/>
      <c r="G3540" s="79"/>
      <c r="H3540" s="79"/>
    </row>
    <row r="3541" spans="1:8">
      <c r="A3541" s="79" t="str">
        <f>LeaveData[[#This Row],[ EMP ID]]&amp;LeaveData[[#This Row],[Date]]</f>
        <v/>
      </c>
      <c r="B3541" s="92"/>
      <c r="C3541" s="92"/>
      <c r="D3541" s="101"/>
      <c r="E3541" s="79"/>
      <c r="F3541" s="79"/>
      <c r="G3541" s="79"/>
      <c r="H3541" s="79"/>
    </row>
    <row r="3542" spans="1:8">
      <c r="A3542" s="79" t="str">
        <f>LeaveData[[#This Row],[ EMP ID]]&amp;LeaveData[[#This Row],[Date]]</f>
        <v/>
      </c>
      <c r="B3542" s="92"/>
      <c r="C3542" s="92"/>
      <c r="D3542" s="101"/>
      <c r="E3542" s="79"/>
      <c r="F3542" s="79"/>
      <c r="G3542" s="79"/>
      <c r="H3542" s="79"/>
    </row>
    <row r="3543" spans="1:8">
      <c r="A3543" s="79" t="str">
        <f>LeaveData[[#This Row],[ EMP ID]]&amp;LeaveData[[#This Row],[Date]]</f>
        <v/>
      </c>
      <c r="B3543" s="92"/>
      <c r="C3543" s="92"/>
      <c r="D3543" s="101"/>
      <c r="E3543" s="79"/>
      <c r="F3543" s="79"/>
      <c r="G3543" s="79"/>
      <c r="H3543" s="79"/>
    </row>
    <row r="3544" spans="1:8">
      <c r="A3544" s="79" t="str">
        <f>LeaveData[[#This Row],[ EMP ID]]&amp;LeaveData[[#This Row],[Date]]</f>
        <v/>
      </c>
      <c r="B3544" s="92"/>
      <c r="C3544" s="92"/>
      <c r="D3544" s="101"/>
      <c r="E3544" s="79"/>
      <c r="F3544" s="79"/>
      <c r="G3544" s="79"/>
      <c r="H3544" s="79"/>
    </row>
    <row r="3545" spans="1:8">
      <c r="A3545" s="79" t="str">
        <f>LeaveData[[#This Row],[ EMP ID]]&amp;LeaveData[[#This Row],[Date]]</f>
        <v/>
      </c>
      <c r="B3545" s="92"/>
      <c r="C3545" s="92"/>
      <c r="D3545" s="101"/>
      <c r="E3545" s="79"/>
      <c r="F3545" s="79"/>
      <c r="G3545" s="79"/>
      <c r="H3545" s="79"/>
    </row>
    <row r="3546" spans="1:8">
      <c r="A3546" s="79" t="str">
        <f>LeaveData[[#This Row],[ EMP ID]]&amp;LeaveData[[#This Row],[Date]]</f>
        <v/>
      </c>
      <c r="B3546" s="92"/>
      <c r="C3546" s="92"/>
      <c r="D3546" s="101"/>
      <c r="E3546" s="79"/>
      <c r="F3546" s="79"/>
      <c r="G3546" s="79"/>
      <c r="H3546" s="79"/>
    </row>
    <row r="3547" spans="1:8">
      <c r="A3547" s="79" t="str">
        <f>LeaveData[[#This Row],[ EMP ID]]&amp;LeaveData[[#This Row],[Date]]</f>
        <v/>
      </c>
      <c r="B3547" s="92"/>
      <c r="C3547" s="92"/>
      <c r="D3547" s="101"/>
      <c r="E3547" s="79"/>
      <c r="F3547" s="79"/>
      <c r="G3547" s="79"/>
      <c r="H3547" s="79"/>
    </row>
    <row r="3548" spans="1:8">
      <c r="A3548" s="79" t="str">
        <f>LeaveData[[#This Row],[ EMP ID]]&amp;LeaveData[[#This Row],[Date]]</f>
        <v/>
      </c>
      <c r="B3548" s="92"/>
      <c r="C3548" s="92"/>
      <c r="D3548" s="101"/>
      <c r="E3548" s="79"/>
      <c r="F3548" s="79"/>
      <c r="G3548" s="79"/>
      <c r="H3548" s="79"/>
    </row>
    <row r="3549" spans="1:8">
      <c r="A3549" s="79" t="str">
        <f>LeaveData[[#This Row],[ EMP ID]]&amp;LeaveData[[#This Row],[Date]]</f>
        <v/>
      </c>
      <c r="B3549" s="92"/>
      <c r="C3549" s="92"/>
      <c r="D3549" s="101"/>
      <c r="E3549" s="79"/>
      <c r="F3549" s="79"/>
      <c r="G3549" s="79"/>
      <c r="H3549" s="79"/>
    </row>
    <row r="3550" spans="1:8">
      <c r="A3550" s="79" t="str">
        <f>LeaveData[[#This Row],[ EMP ID]]&amp;LeaveData[[#This Row],[Date]]</f>
        <v/>
      </c>
      <c r="B3550" s="92"/>
      <c r="C3550" s="92"/>
      <c r="D3550" s="101"/>
      <c r="E3550" s="79"/>
      <c r="F3550" s="79"/>
      <c r="G3550" s="79"/>
      <c r="H3550" s="79"/>
    </row>
    <row r="3551" spans="1:8">
      <c r="A3551" s="79" t="str">
        <f>LeaveData[[#This Row],[ EMP ID]]&amp;LeaveData[[#This Row],[Date]]</f>
        <v/>
      </c>
      <c r="B3551" s="92"/>
      <c r="C3551" s="92"/>
      <c r="D3551" s="101"/>
      <c r="E3551" s="79"/>
      <c r="F3551" s="79"/>
      <c r="G3551" s="79"/>
      <c r="H3551" s="79"/>
    </row>
    <row r="3552" spans="1:8">
      <c r="A3552" s="79" t="str">
        <f>LeaveData[[#This Row],[ EMP ID]]&amp;LeaveData[[#This Row],[Date]]</f>
        <v/>
      </c>
      <c r="B3552" s="92"/>
      <c r="C3552" s="92"/>
      <c r="D3552" s="101"/>
      <c r="E3552" s="79"/>
      <c r="F3552" s="79"/>
      <c r="G3552" s="79"/>
      <c r="H3552" s="79"/>
    </row>
    <row r="3553" spans="1:8">
      <c r="A3553" s="79" t="str">
        <f>LeaveData[[#This Row],[ EMP ID]]&amp;LeaveData[[#This Row],[Date]]</f>
        <v/>
      </c>
      <c r="B3553" s="92"/>
      <c r="C3553" s="92"/>
      <c r="D3553" s="101"/>
      <c r="E3553" s="79"/>
      <c r="F3553" s="79"/>
      <c r="G3553" s="79"/>
      <c r="H3553" s="79"/>
    </row>
    <row r="3554" spans="1:8">
      <c r="A3554" s="79" t="str">
        <f>LeaveData[[#This Row],[ EMP ID]]&amp;LeaveData[[#This Row],[Date]]</f>
        <v/>
      </c>
      <c r="B3554" s="92"/>
      <c r="C3554" s="92"/>
      <c r="D3554" s="101"/>
      <c r="E3554" s="79"/>
      <c r="F3554" s="79"/>
      <c r="G3554" s="79"/>
      <c r="H3554" s="79"/>
    </row>
    <row r="3555" spans="1:8">
      <c r="A3555" s="79" t="str">
        <f>LeaveData[[#This Row],[ EMP ID]]&amp;LeaveData[[#This Row],[Date]]</f>
        <v/>
      </c>
      <c r="B3555" s="92"/>
      <c r="C3555" s="92"/>
      <c r="D3555" s="101"/>
      <c r="E3555" s="79"/>
      <c r="F3555" s="79"/>
      <c r="G3555" s="79"/>
      <c r="H3555" s="79"/>
    </row>
    <row r="3556" spans="1:8">
      <c r="A3556" s="79" t="str">
        <f>LeaveData[[#This Row],[ EMP ID]]&amp;LeaveData[[#This Row],[Date]]</f>
        <v/>
      </c>
      <c r="B3556" s="92"/>
      <c r="C3556" s="92"/>
      <c r="D3556" s="101"/>
      <c r="E3556" s="79"/>
      <c r="F3556" s="79"/>
      <c r="G3556" s="79"/>
      <c r="H3556" s="79"/>
    </row>
    <row r="3557" spans="1:8">
      <c r="A3557" s="79" t="str">
        <f>LeaveData[[#This Row],[ EMP ID]]&amp;LeaveData[[#This Row],[Date]]</f>
        <v/>
      </c>
      <c r="B3557" s="92"/>
      <c r="C3557" s="92"/>
      <c r="D3557" s="101"/>
      <c r="E3557" s="79"/>
      <c r="F3557" s="79"/>
      <c r="G3557" s="79"/>
      <c r="H3557" s="79"/>
    </row>
    <row r="3558" spans="1:8">
      <c r="A3558" s="79" t="str">
        <f>LeaveData[[#This Row],[ EMP ID]]&amp;LeaveData[[#This Row],[Date]]</f>
        <v/>
      </c>
      <c r="B3558" s="92"/>
      <c r="C3558" s="92"/>
      <c r="D3558" s="101"/>
      <c r="E3558" s="79"/>
      <c r="F3558" s="79"/>
      <c r="G3558" s="79"/>
      <c r="H3558" s="79"/>
    </row>
    <row r="3559" spans="1:8">
      <c r="A3559" s="79" t="str">
        <f>LeaveData[[#This Row],[ EMP ID]]&amp;LeaveData[[#This Row],[Date]]</f>
        <v/>
      </c>
      <c r="B3559" s="92"/>
      <c r="C3559" s="92"/>
      <c r="D3559" s="101"/>
      <c r="E3559" s="79"/>
      <c r="F3559" s="79"/>
      <c r="G3559" s="79"/>
      <c r="H3559" s="79"/>
    </row>
    <row r="3560" spans="1:8">
      <c r="A3560" s="79" t="str">
        <f>LeaveData[[#This Row],[ EMP ID]]&amp;LeaveData[[#This Row],[Date]]</f>
        <v/>
      </c>
      <c r="B3560" s="92"/>
      <c r="C3560" s="92"/>
      <c r="D3560" s="101"/>
      <c r="E3560" s="79"/>
      <c r="F3560" s="79"/>
      <c r="G3560" s="79"/>
      <c r="H3560" s="79"/>
    </row>
    <row r="3561" spans="1:8">
      <c r="A3561" s="79" t="str">
        <f>LeaveData[[#This Row],[ EMP ID]]&amp;LeaveData[[#This Row],[Date]]</f>
        <v/>
      </c>
      <c r="B3561" s="92"/>
      <c r="C3561" s="92"/>
      <c r="D3561" s="101"/>
      <c r="E3561" s="79"/>
      <c r="F3561" s="79"/>
      <c r="G3561" s="79"/>
      <c r="H3561" s="79"/>
    </row>
    <row r="3562" spans="1:8">
      <c r="A3562" s="79" t="str">
        <f>LeaveData[[#This Row],[ EMP ID]]&amp;LeaveData[[#This Row],[Date]]</f>
        <v/>
      </c>
      <c r="B3562" s="92"/>
      <c r="C3562" s="92"/>
      <c r="D3562" s="101"/>
      <c r="E3562" s="79"/>
      <c r="F3562" s="79"/>
      <c r="G3562" s="79"/>
      <c r="H3562" s="79"/>
    </row>
    <row r="3563" spans="1:8">
      <c r="A3563" s="79" t="str">
        <f>LeaveData[[#This Row],[ EMP ID]]&amp;LeaveData[[#This Row],[Date]]</f>
        <v/>
      </c>
      <c r="B3563" s="92"/>
      <c r="C3563" s="92"/>
      <c r="D3563" s="101"/>
      <c r="E3563" s="79"/>
      <c r="F3563" s="79"/>
      <c r="G3563" s="79"/>
      <c r="H3563" s="79"/>
    </row>
    <row r="3564" spans="1:8">
      <c r="A3564" s="79" t="str">
        <f>LeaveData[[#This Row],[ EMP ID]]&amp;LeaveData[[#This Row],[Date]]</f>
        <v/>
      </c>
      <c r="B3564" s="92"/>
      <c r="C3564" s="92"/>
      <c r="D3564" s="101"/>
      <c r="E3564" s="79"/>
      <c r="F3564" s="79"/>
      <c r="G3564" s="79"/>
      <c r="H3564" s="79"/>
    </row>
    <row r="3565" spans="1:8">
      <c r="A3565" s="79" t="str">
        <f>LeaveData[[#This Row],[ EMP ID]]&amp;LeaveData[[#This Row],[Date]]</f>
        <v/>
      </c>
      <c r="B3565" s="92"/>
      <c r="C3565" s="92"/>
      <c r="D3565" s="101"/>
      <c r="E3565" s="79"/>
      <c r="F3565" s="79"/>
      <c r="G3565" s="79"/>
      <c r="H3565" s="79"/>
    </row>
    <row r="3566" spans="1:8">
      <c r="A3566" s="79" t="str">
        <f>LeaveData[[#This Row],[ EMP ID]]&amp;LeaveData[[#This Row],[Date]]</f>
        <v/>
      </c>
      <c r="B3566" s="92"/>
      <c r="C3566" s="92"/>
      <c r="D3566" s="101"/>
      <c r="E3566" s="79"/>
      <c r="F3566" s="79"/>
      <c r="G3566" s="79"/>
      <c r="H3566" s="79"/>
    </row>
    <row r="3567" spans="1:8">
      <c r="A3567" s="79" t="str">
        <f>LeaveData[[#This Row],[ EMP ID]]&amp;LeaveData[[#This Row],[Date]]</f>
        <v/>
      </c>
      <c r="B3567" s="92"/>
      <c r="C3567" s="92"/>
      <c r="D3567" s="101"/>
      <c r="E3567" s="79"/>
      <c r="F3567" s="79"/>
      <c r="G3567" s="79"/>
      <c r="H3567" s="79"/>
    </row>
    <row r="3568" spans="1:8">
      <c r="A3568" s="79" t="str">
        <f>LeaveData[[#This Row],[ EMP ID]]&amp;LeaveData[[#This Row],[Date]]</f>
        <v/>
      </c>
      <c r="B3568" s="92"/>
      <c r="C3568" s="92"/>
      <c r="D3568" s="101"/>
      <c r="E3568" s="79"/>
      <c r="F3568" s="79"/>
      <c r="G3568" s="79"/>
      <c r="H3568" s="79"/>
    </row>
    <row r="3569" spans="1:8">
      <c r="A3569" s="79" t="str">
        <f>LeaveData[[#This Row],[ EMP ID]]&amp;LeaveData[[#This Row],[Date]]</f>
        <v/>
      </c>
      <c r="B3569" s="92"/>
      <c r="C3569" s="92"/>
      <c r="D3569" s="101"/>
      <c r="E3569" s="79"/>
      <c r="F3569" s="79"/>
      <c r="G3569" s="79"/>
      <c r="H3569" s="79"/>
    </row>
    <row r="3570" spans="1:8">
      <c r="A3570" s="79" t="str">
        <f>LeaveData[[#This Row],[ EMP ID]]&amp;LeaveData[[#This Row],[Date]]</f>
        <v/>
      </c>
      <c r="B3570" s="92"/>
      <c r="C3570" s="92"/>
      <c r="D3570" s="101"/>
      <c r="E3570" s="79"/>
      <c r="F3570" s="79"/>
      <c r="G3570" s="79"/>
      <c r="H3570" s="79"/>
    </row>
    <row r="3571" spans="1:8">
      <c r="A3571" s="79" t="str">
        <f>LeaveData[[#This Row],[ EMP ID]]&amp;LeaveData[[#This Row],[Date]]</f>
        <v/>
      </c>
      <c r="B3571" s="92"/>
      <c r="C3571" s="92"/>
      <c r="D3571" s="101"/>
      <c r="E3571" s="79"/>
      <c r="F3571" s="79"/>
      <c r="G3571" s="79"/>
      <c r="H3571" s="79"/>
    </row>
    <row r="3572" spans="1:8">
      <c r="A3572" s="79" t="str">
        <f>LeaveData[[#This Row],[ EMP ID]]&amp;LeaveData[[#This Row],[Date]]</f>
        <v/>
      </c>
      <c r="B3572" s="92"/>
      <c r="C3572" s="92"/>
      <c r="D3572" s="101"/>
      <c r="E3572" s="79"/>
      <c r="F3572" s="79"/>
      <c r="G3572" s="79"/>
      <c r="H3572" s="79"/>
    </row>
    <row r="3573" spans="1:8">
      <c r="A3573" s="79" t="str">
        <f>LeaveData[[#This Row],[ EMP ID]]&amp;LeaveData[[#This Row],[Date]]</f>
        <v/>
      </c>
      <c r="B3573" s="92"/>
      <c r="C3573" s="92"/>
      <c r="D3573" s="101"/>
      <c r="E3573" s="79"/>
      <c r="F3573" s="79"/>
      <c r="G3573" s="79"/>
      <c r="H3573" s="79"/>
    </row>
    <row r="3574" spans="1:8">
      <c r="A3574" s="79" t="str">
        <f>LeaveData[[#This Row],[ EMP ID]]&amp;LeaveData[[#This Row],[Date]]</f>
        <v/>
      </c>
      <c r="B3574" s="92"/>
      <c r="C3574" s="92"/>
      <c r="D3574" s="101"/>
      <c r="E3574" s="79"/>
      <c r="F3574" s="79"/>
      <c r="G3574" s="79"/>
      <c r="H3574" s="79"/>
    </row>
    <row r="3575" spans="1:8">
      <c r="A3575" s="79" t="str">
        <f>LeaveData[[#This Row],[ EMP ID]]&amp;LeaveData[[#This Row],[Date]]</f>
        <v/>
      </c>
      <c r="B3575" s="92"/>
      <c r="C3575" s="92"/>
      <c r="D3575" s="101"/>
      <c r="E3575" s="79"/>
      <c r="F3575" s="79"/>
      <c r="G3575" s="79"/>
      <c r="H3575" s="79"/>
    </row>
    <row r="3576" spans="1:8">
      <c r="A3576" s="79" t="str">
        <f>LeaveData[[#This Row],[ EMP ID]]&amp;LeaveData[[#This Row],[Date]]</f>
        <v/>
      </c>
      <c r="B3576" s="92"/>
      <c r="C3576" s="92"/>
      <c r="D3576" s="101"/>
      <c r="E3576" s="79"/>
      <c r="F3576" s="79"/>
      <c r="G3576" s="79"/>
      <c r="H3576" s="79"/>
    </row>
    <row r="3577" spans="1:8">
      <c r="A3577" s="79" t="str">
        <f>LeaveData[[#This Row],[ EMP ID]]&amp;LeaveData[[#This Row],[Date]]</f>
        <v/>
      </c>
      <c r="B3577" s="92"/>
      <c r="C3577" s="92"/>
      <c r="D3577" s="101"/>
      <c r="E3577" s="79"/>
      <c r="F3577" s="79"/>
      <c r="G3577" s="79"/>
      <c r="H3577" s="79"/>
    </row>
    <row r="3578" spans="1:8">
      <c r="A3578" s="79" t="str">
        <f>LeaveData[[#This Row],[ EMP ID]]&amp;LeaveData[[#This Row],[Date]]</f>
        <v/>
      </c>
      <c r="B3578" s="92"/>
      <c r="C3578" s="92"/>
      <c r="D3578" s="101"/>
      <c r="E3578" s="79"/>
      <c r="F3578" s="79"/>
      <c r="G3578" s="79"/>
      <c r="H3578" s="79"/>
    </row>
    <row r="3579" spans="1:8">
      <c r="A3579" s="79" t="str">
        <f>LeaveData[[#This Row],[ EMP ID]]&amp;LeaveData[[#This Row],[Date]]</f>
        <v/>
      </c>
      <c r="B3579" s="92"/>
      <c r="C3579" s="92"/>
      <c r="D3579" s="101"/>
      <c r="E3579" s="79"/>
      <c r="F3579" s="79"/>
      <c r="G3579" s="79"/>
      <c r="H3579" s="79"/>
    </row>
    <row r="3580" spans="1:8">
      <c r="A3580" s="79" t="str">
        <f>LeaveData[[#This Row],[ EMP ID]]&amp;LeaveData[[#This Row],[Date]]</f>
        <v/>
      </c>
      <c r="B3580" s="92"/>
      <c r="C3580" s="92"/>
      <c r="D3580" s="101"/>
      <c r="E3580" s="79"/>
      <c r="F3580" s="79"/>
      <c r="G3580" s="79"/>
      <c r="H3580" s="79"/>
    </row>
    <row r="3581" spans="1:8">
      <c r="A3581" s="79" t="str">
        <f>LeaveData[[#This Row],[ EMP ID]]&amp;LeaveData[[#This Row],[Date]]</f>
        <v/>
      </c>
      <c r="B3581" s="92"/>
      <c r="C3581" s="92"/>
      <c r="D3581" s="101"/>
      <c r="E3581" s="79"/>
      <c r="F3581" s="79"/>
      <c r="G3581" s="79"/>
      <c r="H3581" s="79"/>
    </row>
    <row r="3582" spans="1:8">
      <c r="A3582" s="79" t="str">
        <f>LeaveData[[#This Row],[ EMP ID]]&amp;LeaveData[[#This Row],[Date]]</f>
        <v/>
      </c>
      <c r="B3582" s="92"/>
      <c r="C3582" s="92"/>
      <c r="D3582" s="101"/>
      <c r="E3582" s="79"/>
      <c r="F3582" s="79"/>
      <c r="G3582" s="79"/>
      <c r="H3582" s="79"/>
    </row>
    <row r="3583" spans="1:8">
      <c r="A3583" s="79" t="str">
        <f>LeaveData[[#This Row],[ EMP ID]]&amp;LeaveData[[#This Row],[Date]]</f>
        <v/>
      </c>
      <c r="B3583" s="92"/>
      <c r="C3583" s="92"/>
      <c r="D3583" s="101"/>
      <c r="E3583" s="79"/>
      <c r="F3583" s="79"/>
      <c r="G3583" s="79"/>
      <c r="H3583" s="79"/>
    </row>
    <row r="3584" spans="1:8">
      <c r="A3584" s="79" t="str">
        <f>LeaveData[[#This Row],[ EMP ID]]&amp;LeaveData[[#This Row],[Date]]</f>
        <v/>
      </c>
      <c r="B3584" s="92"/>
      <c r="C3584" s="92"/>
      <c r="D3584" s="101"/>
      <c r="E3584" s="79"/>
      <c r="F3584" s="79"/>
      <c r="G3584" s="79"/>
      <c r="H3584" s="79"/>
    </row>
    <row r="3585" spans="1:8">
      <c r="A3585" s="79" t="str">
        <f>LeaveData[[#This Row],[ EMP ID]]&amp;LeaveData[[#This Row],[Date]]</f>
        <v/>
      </c>
      <c r="B3585" s="92"/>
      <c r="C3585" s="92"/>
      <c r="D3585" s="101"/>
      <c r="E3585" s="79"/>
      <c r="F3585" s="79"/>
      <c r="G3585" s="79"/>
      <c r="H3585" s="79"/>
    </row>
    <row r="3586" spans="1:8">
      <c r="A3586" s="79" t="str">
        <f>LeaveData[[#This Row],[ EMP ID]]&amp;LeaveData[[#This Row],[Date]]</f>
        <v/>
      </c>
      <c r="B3586" s="92"/>
      <c r="C3586" s="92"/>
      <c r="D3586" s="101"/>
      <c r="E3586" s="79"/>
      <c r="F3586" s="79"/>
      <c r="G3586" s="79"/>
      <c r="H3586" s="79"/>
    </row>
    <row r="3587" spans="1:8">
      <c r="A3587" s="79" t="str">
        <f>LeaveData[[#This Row],[ EMP ID]]&amp;LeaveData[[#This Row],[Date]]</f>
        <v/>
      </c>
      <c r="B3587" s="92"/>
      <c r="C3587" s="92"/>
      <c r="D3587" s="101"/>
      <c r="E3587" s="79"/>
      <c r="F3587" s="79"/>
      <c r="G3587" s="79"/>
      <c r="H3587" s="79"/>
    </row>
    <row r="3588" spans="1:8">
      <c r="A3588" s="79" t="str">
        <f>LeaveData[[#This Row],[ EMP ID]]&amp;LeaveData[[#This Row],[Date]]</f>
        <v/>
      </c>
      <c r="B3588" s="92"/>
      <c r="C3588" s="92"/>
      <c r="D3588" s="101"/>
      <c r="E3588" s="79"/>
      <c r="F3588" s="79"/>
      <c r="G3588" s="79"/>
      <c r="H3588" s="79"/>
    </row>
    <row r="3589" spans="1:8">
      <c r="A3589" s="79" t="str">
        <f>LeaveData[[#This Row],[ EMP ID]]&amp;LeaveData[[#This Row],[Date]]</f>
        <v/>
      </c>
      <c r="B3589" s="92"/>
      <c r="C3589" s="92"/>
      <c r="D3589" s="101"/>
      <c r="E3589" s="79"/>
      <c r="F3589" s="79"/>
      <c r="G3589" s="79"/>
      <c r="H3589" s="79"/>
    </row>
    <row r="3590" spans="1:8">
      <c r="A3590" s="79" t="str">
        <f>LeaveData[[#This Row],[ EMP ID]]&amp;LeaveData[[#This Row],[Date]]</f>
        <v/>
      </c>
      <c r="B3590" s="92"/>
      <c r="C3590" s="92"/>
      <c r="D3590" s="101"/>
      <c r="E3590" s="79"/>
      <c r="F3590" s="79"/>
      <c r="G3590" s="79"/>
      <c r="H3590" s="79"/>
    </row>
    <row r="3591" spans="1:8">
      <c r="A3591" s="79" t="str">
        <f>LeaveData[[#This Row],[ EMP ID]]&amp;LeaveData[[#This Row],[Date]]</f>
        <v/>
      </c>
      <c r="B3591" s="92"/>
      <c r="C3591" s="92"/>
      <c r="D3591" s="101"/>
      <c r="E3591" s="79"/>
      <c r="F3591" s="79"/>
      <c r="G3591" s="79"/>
      <c r="H3591" s="79"/>
    </row>
    <row r="3592" spans="1:8">
      <c r="A3592" s="79" t="str">
        <f>LeaveData[[#This Row],[ EMP ID]]&amp;LeaveData[[#This Row],[Date]]</f>
        <v/>
      </c>
      <c r="B3592" s="92"/>
      <c r="C3592" s="92"/>
      <c r="D3592" s="101"/>
      <c r="E3592" s="79"/>
      <c r="F3592" s="79"/>
      <c r="G3592" s="79"/>
      <c r="H3592" s="79"/>
    </row>
    <row r="3593" spans="1:8">
      <c r="A3593" s="79" t="str">
        <f>LeaveData[[#This Row],[ EMP ID]]&amp;LeaveData[[#This Row],[Date]]</f>
        <v/>
      </c>
      <c r="B3593" s="92"/>
      <c r="C3593" s="92"/>
      <c r="D3593" s="101"/>
      <c r="E3593" s="79"/>
      <c r="F3593" s="79"/>
      <c r="G3593" s="79"/>
      <c r="H3593" s="79"/>
    </row>
    <row r="3594" spans="1:8">
      <c r="A3594" s="79" t="str">
        <f>LeaveData[[#This Row],[ EMP ID]]&amp;LeaveData[[#This Row],[Date]]</f>
        <v/>
      </c>
      <c r="B3594" s="92"/>
      <c r="C3594" s="92"/>
      <c r="D3594" s="101"/>
      <c r="E3594" s="79"/>
      <c r="F3594" s="79"/>
      <c r="G3594" s="79"/>
      <c r="H3594" s="79"/>
    </row>
    <row r="3595" spans="1:8">
      <c r="A3595" s="79" t="str">
        <f>LeaveData[[#This Row],[ EMP ID]]&amp;LeaveData[[#This Row],[Date]]</f>
        <v/>
      </c>
      <c r="B3595" s="92"/>
      <c r="C3595" s="92"/>
      <c r="D3595" s="101"/>
      <c r="E3595" s="79"/>
      <c r="F3595" s="79"/>
      <c r="G3595" s="79"/>
      <c r="H3595" s="79"/>
    </row>
    <row r="3596" spans="1:8">
      <c r="A3596" s="79" t="str">
        <f>LeaveData[[#This Row],[ EMP ID]]&amp;LeaveData[[#This Row],[Date]]</f>
        <v/>
      </c>
      <c r="B3596" s="92"/>
      <c r="C3596" s="92"/>
      <c r="D3596" s="101"/>
      <c r="E3596" s="79"/>
      <c r="F3596" s="79"/>
      <c r="G3596" s="79"/>
      <c r="H3596" s="79"/>
    </row>
    <row r="3597" spans="1:8">
      <c r="A3597" s="79" t="str">
        <f>LeaveData[[#This Row],[ EMP ID]]&amp;LeaveData[[#This Row],[Date]]</f>
        <v/>
      </c>
      <c r="B3597" s="92"/>
      <c r="C3597" s="92"/>
      <c r="D3597" s="101"/>
      <c r="E3597" s="79"/>
      <c r="F3597" s="79"/>
      <c r="G3597" s="79"/>
      <c r="H3597" s="79"/>
    </row>
    <row r="3598" spans="1:8">
      <c r="A3598" s="79" t="str">
        <f>LeaveData[[#This Row],[ EMP ID]]&amp;LeaveData[[#This Row],[Date]]</f>
        <v/>
      </c>
      <c r="B3598" s="92"/>
      <c r="C3598" s="92"/>
      <c r="D3598" s="101"/>
      <c r="E3598" s="79"/>
      <c r="F3598" s="79"/>
      <c r="G3598" s="79"/>
      <c r="H3598" s="79"/>
    </row>
    <row r="3599" spans="1:8">
      <c r="A3599" s="79" t="str">
        <f>LeaveData[[#This Row],[ EMP ID]]&amp;LeaveData[[#This Row],[Date]]</f>
        <v/>
      </c>
      <c r="B3599" s="92"/>
      <c r="C3599" s="92"/>
      <c r="D3599" s="101"/>
      <c r="E3599" s="79"/>
      <c r="F3599" s="79"/>
      <c r="G3599" s="79"/>
      <c r="H3599" s="79"/>
    </row>
    <row r="3600" spans="1:8">
      <c r="A3600" s="79" t="str">
        <f>LeaveData[[#This Row],[ EMP ID]]&amp;LeaveData[[#This Row],[Date]]</f>
        <v/>
      </c>
      <c r="B3600" s="92"/>
      <c r="C3600" s="92"/>
      <c r="D3600" s="101"/>
      <c r="E3600" s="79"/>
      <c r="F3600" s="79"/>
      <c r="G3600" s="79"/>
      <c r="H3600" s="79"/>
    </row>
    <row r="3601" spans="1:8">
      <c r="A3601" s="79" t="str">
        <f>LeaveData[[#This Row],[ EMP ID]]&amp;LeaveData[[#This Row],[Date]]</f>
        <v/>
      </c>
      <c r="B3601" s="92"/>
      <c r="C3601" s="92"/>
      <c r="D3601" s="101"/>
      <c r="E3601" s="79"/>
      <c r="F3601" s="79"/>
      <c r="G3601" s="79"/>
      <c r="H3601" s="79"/>
    </row>
    <row r="3602" spans="1:8">
      <c r="A3602" s="79" t="str">
        <f>LeaveData[[#This Row],[ EMP ID]]&amp;LeaveData[[#This Row],[Date]]</f>
        <v/>
      </c>
      <c r="B3602" s="92"/>
      <c r="C3602" s="92"/>
      <c r="D3602" s="101"/>
      <c r="E3602" s="79"/>
      <c r="F3602" s="79"/>
      <c r="G3602" s="79"/>
      <c r="H3602" s="79"/>
    </row>
    <row r="3603" spans="1:8">
      <c r="A3603" s="79" t="str">
        <f>LeaveData[[#This Row],[ EMP ID]]&amp;LeaveData[[#This Row],[Date]]</f>
        <v/>
      </c>
      <c r="B3603" s="92"/>
      <c r="C3603" s="92"/>
      <c r="D3603" s="101"/>
      <c r="E3603" s="79"/>
      <c r="F3603" s="79"/>
      <c r="G3603" s="79"/>
      <c r="H3603" s="79"/>
    </row>
    <row r="3604" spans="1:8">
      <c r="A3604" s="79" t="str">
        <f>LeaveData[[#This Row],[ EMP ID]]&amp;LeaveData[[#This Row],[Date]]</f>
        <v/>
      </c>
      <c r="B3604" s="92"/>
      <c r="C3604" s="92"/>
      <c r="D3604" s="101"/>
      <c r="E3604" s="79"/>
      <c r="F3604" s="79"/>
      <c r="G3604" s="79"/>
      <c r="H3604" s="79"/>
    </row>
    <row r="3605" spans="1:8">
      <c r="A3605" s="79" t="str">
        <f>LeaveData[[#This Row],[ EMP ID]]&amp;LeaveData[[#This Row],[Date]]</f>
        <v/>
      </c>
      <c r="B3605" s="92"/>
      <c r="C3605" s="92"/>
      <c r="D3605" s="101"/>
      <c r="E3605" s="79"/>
      <c r="F3605" s="79"/>
      <c r="G3605" s="79"/>
      <c r="H3605" s="79"/>
    </row>
    <row r="3606" spans="1:8">
      <c r="A3606" s="79" t="str">
        <f>LeaveData[[#This Row],[ EMP ID]]&amp;LeaveData[[#This Row],[Date]]</f>
        <v/>
      </c>
      <c r="B3606" s="92"/>
      <c r="C3606" s="92"/>
      <c r="D3606" s="101"/>
      <c r="E3606" s="79"/>
      <c r="F3606" s="79"/>
      <c r="G3606" s="79"/>
      <c r="H3606" s="79"/>
    </row>
    <row r="3607" spans="1:8">
      <c r="A3607" s="79" t="str">
        <f>LeaveData[[#This Row],[ EMP ID]]&amp;LeaveData[[#This Row],[Date]]</f>
        <v/>
      </c>
      <c r="B3607" s="92"/>
      <c r="C3607" s="92"/>
      <c r="D3607" s="101"/>
      <c r="E3607" s="79"/>
      <c r="F3607" s="79"/>
      <c r="G3607" s="79"/>
      <c r="H3607" s="79"/>
    </row>
    <row r="3608" spans="1:8">
      <c r="A3608" s="79" t="str">
        <f>LeaveData[[#This Row],[ EMP ID]]&amp;LeaveData[[#This Row],[Date]]</f>
        <v/>
      </c>
      <c r="B3608" s="92"/>
      <c r="C3608" s="92"/>
      <c r="D3608" s="101"/>
      <c r="E3608" s="79"/>
      <c r="F3608" s="79"/>
      <c r="G3608" s="79"/>
      <c r="H3608" s="79"/>
    </row>
    <row r="3609" spans="1:8">
      <c r="A3609" s="79" t="str">
        <f>LeaveData[[#This Row],[ EMP ID]]&amp;LeaveData[[#This Row],[Date]]</f>
        <v/>
      </c>
      <c r="B3609" s="92"/>
      <c r="C3609" s="92"/>
      <c r="D3609" s="101"/>
      <c r="E3609" s="79"/>
      <c r="F3609" s="79"/>
      <c r="G3609" s="79"/>
      <c r="H3609" s="79"/>
    </row>
    <row r="3610" spans="1:8">
      <c r="A3610" s="79" t="str">
        <f>LeaveData[[#This Row],[ EMP ID]]&amp;LeaveData[[#This Row],[Date]]</f>
        <v/>
      </c>
      <c r="B3610" s="92"/>
      <c r="C3610" s="92"/>
      <c r="D3610" s="101"/>
      <c r="E3610" s="79"/>
      <c r="F3610" s="79"/>
      <c r="G3610" s="79"/>
      <c r="H3610" s="79"/>
    </row>
    <row r="3611" spans="1:8">
      <c r="A3611" s="79" t="str">
        <f>LeaveData[[#This Row],[ EMP ID]]&amp;LeaveData[[#This Row],[Date]]</f>
        <v/>
      </c>
      <c r="B3611" s="92"/>
      <c r="C3611" s="92"/>
      <c r="D3611" s="101"/>
      <c r="E3611" s="79"/>
      <c r="F3611" s="79"/>
      <c r="G3611" s="79"/>
      <c r="H3611" s="79"/>
    </row>
    <row r="3612" spans="1:8">
      <c r="A3612" s="79" t="str">
        <f>LeaveData[[#This Row],[ EMP ID]]&amp;LeaveData[[#This Row],[Date]]</f>
        <v/>
      </c>
      <c r="B3612" s="92"/>
      <c r="C3612" s="92"/>
      <c r="D3612" s="101"/>
      <c r="E3612" s="79"/>
      <c r="F3612" s="79"/>
      <c r="G3612" s="79"/>
      <c r="H3612" s="79"/>
    </row>
    <row r="3613" spans="1:8">
      <c r="A3613" s="79" t="str">
        <f>LeaveData[[#This Row],[ EMP ID]]&amp;LeaveData[[#This Row],[Date]]</f>
        <v/>
      </c>
      <c r="B3613" s="92"/>
      <c r="C3613" s="92"/>
      <c r="D3613" s="101"/>
      <c r="E3613" s="79"/>
      <c r="F3613" s="79"/>
      <c r="G3613" s="79"/>
      <c r="H3613" s="79"/>
    </row>
    <row r="3614" spans="1:8">
      <c r="A3614" s="79" t="str">
        <f>LeaveData[[#This Row],[ EMP ID]]&amp;LeaveData[[#This Row],[Date]]</f>
        <v/>
      </c>
      <c r="B3614" s="92"/>
      <c r="C3614" s="92"/>
      <c r="D3614" s="101"/>
      <c r="E3614" s="79"/>
      <c r="F3614" s="79"/>
      <c r="G3614" s="79"/>
      <c r="H3614" s="79"/>
    </row>
    <row r="3615" spans="1:8">
      <c r="A3615" s="79" t="str">
        <f>LeaveData[[#This Row],[ EMP ID]]&amp;LeaveData[[#This Row],[Date]]</f>
        <v/>
      </c>
      <c r="B3615" s="92"/>
      <c r="C3615" s="92"/>
      <c r="D3615" s="101"/>
      <c r="E3615" s="79"/>
      <c r="F3615" s="79"/>
      <c r="G3615" s="79"/>
      <c r="H3615" s="79"/>
    </row>
    <row r="3616" spans="1:8">
      <c r="A3616" s="79" t="str">
        <f>LeaveData[[#This Row],[ EMP ID]]&amp;LeaveData[[#This Row],[Date]]</f>
        <v/>
      </c>
      <c r="B3616" s="92"/>
      <c r="C3616" s="92"/>
      <c r="D3616" s="101"/>
      <c r="E3616" s="79"/>
      <c r="F3616" s="79"/>
      <c r="G3616" s="79"/>
      <c r="H3616" s="79"/>
    </row>
    <row r="3617" spans="1:8">
      <c r="A3617" s="79" t="str">
        <f>LeaveData[[#This Row],[ EMP ID]]&amp;LeaveData[[#This Row],[Date]]</f>
        <v/>
      </c>
      <c r="B3617" s="92"/>
      <c r="C3617" s="92"/>
      <c r="D3617" s="101"/>
      <c r="E3617" s="79"/>
      <c r="F3617" s="79"/>
      <c r="G3617" s="79"/>
      <c r="H3617" s="79"/>
    </row>
    <row r="3618" spans="1:8">
      <c r="A3618" s="79" t="str">
        <f>LeaveData[[#This Row],[ EMP ID]]&amp;LeaveData[[#This Row],[Date]]</f>
        <v/>
      </c>
      <c r="B3618" s="92"/>
      <c r="C3618" s="92"/>
      <c r="D3618" s="101"/>
      <c r="E3618" s="79"/>
      <c r="F3618" s="79"/>
      <c r="G3618" s="79"/>
      <c r="H3618" s="79"/>
    </row>
    <row r="3619" spans="1:8">
      <c r="A3619" s="79" t="str">
        <f>LeaveData[[#This Row],[ EMP ID]]&amp;LeaveData[[#This Row],[Date]]</f>
        <v/>
      </c>
      <c r="B3619" s="92"/>
      <c r="C3619" s="92"/>
      <c r="D3619" s="101"/>
      <c r="E3619" s="79"/>
      <c r="F3619" s="79"/>
      <c r="G3619" s="79"/>
      <c r="H3619" s="79"/>
    </row>
    <row r="3620" spans="1:8">
      <c r="A3620" s="79" t="str">
        <f>LeaveData[[#This Row],[ EMP ID]]&amp;LeaveData[[#This Row],[Date]]</f>
        <v/>
      </c>
      <c r="B3620" s="92"/>
      <c r="C3620" s="92"/>
      <c r="D3620" s="101"/>
      <c r="E3620" s="79"/>
      <c r="F3620" s="79"/>
      <c r="G3620" s="79"/>
      <c r="H3620" s="79"/>
    </row>
    <row r="3621" spans="1:8">
      <c r="A3621" s="79" t="str">
        <f>LeaveData[[#This Row],[ EMP ID]]&amp;LeaveData[[#This Row],[Date]]</f>
        <v/>
      </c>
      <c r="B3621" s="92"/>
      <c r="C3621" s="92"/>
      <c r="D3621" s="101"/>
      <c r="E3621" s="79"/>
      <c r="F3621" s="79"/>
      <c r="G3621" s="79"/>
      <c r="H3621" s="79"/>
    </row>
    <row r="3622" spans="1:8">
      <c r="A3622" s="79" t="str">
        <f>LeaveData[[#This Row],[ EMP ID]]&amp;LeaveData[[#This Row],[Date]]</f>
        <v/>
      </c>
      <c r="B3622" s="92"/>
      <c r="C3622" s="92"/>
      <c r="D3622" s="101"/>
      <c r="E3622" s="79"/>
      <c r="F3622" s="79"/>
      <c r="G3622" s="79"/>
      <c r="H3622" s="79"/>
    </row>
    <row r="3623" spans="1:8">
      <c r="A3623" s="79" t="str">
        <f>LeaveData[[#This Row],[ EMP ID]]&amp;LeaveData[[#This Row],[Date]]</f>
        <v/>
      </c>
      <c r="B3623" s="92"/>
      <c r="C3623" s="92"/>
      <c r="D3623" s="101"/>
      <c r="E3623" s="79"/>
      <c r="F3623" s="79"/>
      <c r="G3623" s="79"/>
      <c r="H3623" s="79"/>
    </row>
    <row r="3624" spans="1:8">
      <c r="A3624" s="79" t="str">
        <f>LeaveData[[#This Row],[ EMP ID]]&amp;LeaveData[[#This Row],[Date]]</f>
        <v/>
      </c>
      <c r="B3624" s="92"/>
      <c r="C3624" s="92"/>
      <c r="D3624" s="101"/>
      <c r="E3624" s="79"/>
      <c r="F3624" s="79"/>
      <c r="G3624" s="79"/>
      <c r="H3624" s="79"/>
    </row>
    <row r="3625" spans="1:8">
      <c r="A3625" s="79" t="str">
        <f>LeaveData[[#This Row],[ EMP ID]]&amp;LeaveData[[#This Row],[Date]]</f>
        <v/>
      </c>
      <c r="B3625" s="92"/>
      <c r="C3625" s="92"/>
      <c r="D3625" s="101"/>
      <c r="E3625" s="79"/>
      <c r="F3625" s="79"/>
      <c r="G3625" s="79"/>
      <c r="H3625" s="79"/>
    </row>
    <row r="3626" spans="1:8">
      <c r="A3626" s="79" t="str">
        <f>LeaveData[[#This Row],[ EMP ID]]&amp;LeaveData[[#This Row],[Date]]</f>
        <v/>
      </c>
      <c r="B3626" s="92"/>
      <c r="C3626" s="92"/>
      <c r="D3626" s="101"/>
      <c r="E3626" s="79"/>
      <c r="F3626" s="79"/>
      <c r="G3626" s="79"/>
      <c r="H3626" s="79"/>
    </row>
    <row r="3627" spans="1:8">
      <c r="A3627" s="79" t="str">
        <f>LeaveData[[#This Row],[ EMP ID]]&amp;LeaveData[[#This Row],[Date]]</f>
        <v/>
      </c>
      <c r="B3627" s="92"/>
      <c r="C3627" s="92"/>
      <c r="D3627" s="101"/>
      <c r="E3627" s="79"/>
      <c r="F3627" s="79"/>
      <c r="G3627" s="79"/>
      <c r="H3627" s="79"/>
    </row>
    <row r="3628" spans="1:8">
      <c r="A3628" s="79" t="str">
        <f>LeaveData[[#This Row],[ EMP ID]]&amp;LeaveData[[#This Row],[Date]]</f>
        <v/>
      </c>
      <c r="B3628" s="92"/>
      <c r="C3628" s="92"/>
      <c r="D3628" s="101"/>
      <c r="E3628" s="79"/>
      <c r="F3628" s="79"/>
      <c r="G3628" s="79"/>
      <c r="H3628" s="79"/>
    </row>
    <row r="3629" spans="1:8">
      <c r="A3629" s="79" t="str">
        <f>LeaveData[[#This Row],[ EMP ID]]&amp;LeaveData[[#This Row],[Date]]</f>
        <v/>
      </c>
      <c r="B3629" s="92"/>
      <c r="C3629" s="92"/>
      <c r="D3629" s="101"/>
      <c r="E3629" s="79"/>
      <c r="F3629" s="79"/>
      <c r="G3629" s="79"/>
      <c r="H3629" s="79"/>
    </row>
    <row r="3630" spans="1:8">
      <c r="A3630" s="79" t="str">
        <f>LeaveData[[#This Row],[ EMP ID]]&amp;LeaveData[[#This Row],[Date]]</f>
        <v/>
      </c>
      <c r="B3630" s="92"/>
      <c r="C3630" s="92"/>
      <c r="D3630" s="101"/>
      <c r="E3630" s="79"/>
      <c r="F3630" s="79"/>
      <c r="G3630" s="79"/>
      <c r="H3630" s="79"/>
    </row>
    <row r="3631" spans="1:8">
      <c r="A3631" s="79" t="str">
        <f>LeaveData[[#This Row],[ EMP ID]]&amp;LeaveData[[#This Row],[Date]]</f>
        <v/>
      </c>
      <c r="B3631" s="92"/>
      <c r="C3631" s="92"/>
      <c r="D3631" s="101"/>
      <c r="E3631" s="79"/>
      <c r="F3631" s="79"/>
      <c r="G3631" s="79"/>
      <c r="H3631" s="79"/>
    </row>
    <row r="3632" spans="1:8">
      <c r="A3632" s="79" t="str">
        <f>LeaveData[[#This Row],[ EMP ID]]&amp;LeaveData[[#This Row],[Date]]</f>
        <v/>
      </c>
      <c r="B3632" s="92"/>
      <c r="C3632" s="92"/>
      <c r="D3632" s="101"/>
      <c r="E3632" s="79"/>
      <c r="F3632" s="79"/>
      <c r="G3632" s="79"/>
      <c r="H3632" s="79"/>
    </row>
    <row r="3633" spans="1:8">
      <c r="A3633" s="79" t="str">
        <f>LeaveData[[#This Row],[ EMP ID]]&amp;LeaveData[[#This Row],[Date]]</f>
        <v/>
      </c>
      <c r="B3633" s="92"/>
      <c r="C3633" s="92"/>
      <c r="D3633" s="101"/>
      <c r="E3633" s="79"/>
      <c r="F3633" s="79"/>
      <c r="G3633" s="79"/>
      <c r="H3633" s="79"/>
    </row>
    <row r="3634" spans="1:8">
      <c r="A3634" s="79" t="str">
        <f>LeaveData[[#This Row],[ EMP ID]]&amp;LeaveData[[#This Row],[Date]]</f>
        <v/>
      </c>
      <c r="B3634" s="92"/>
      <c r="C3634" s="92"/>
      <c r="D3634" s="101"/>
      <c r="E3634" s="79"/>
      <c r="F3634" s="79"/>
      <c r="G3634" s="79"/>
      <c r="H3634" s="79"/>
    </row>
    <row r="3635" spans="1:8">
      <c r="A3635" s="79" t="str">
        <f>LeaveData[[#This Row],[ EMP ID]]&amp;LeaveData[[#This Row],[Date]]</f>
        <v/>
      </c>
      <c r="B3635" s="92"/>
      <c r="C3635" s="92"/>
      <c r="D3635" s="101"/>
      <c r="E3635" s="79"/>
      <c r="F3635" s="79"/>
      <c r="G3635" s="79"/>
      <c r="H3635" s="79"/>
    </row>
    <row r="3636" spans="1:8">
      <c r="A3636" s="79" t="str">
        <f>LeaveData[[#This Row],[ EMP ID]]&amp;LeaveData[[#This Row],[Date]]</f>
        <v/>
      </c>
      <c r="B3636" s="92"/>
      <c r="C3636" s="92"/>
      <c r="D3636" s="101"/>
      <c r="E3636" s="79"/>
      <c r="F3636" s="79"/>
      <c r="G3636" s="79"/>
      <c r="H3636" s="79"/>
    </row>
    <row r="3637" spans="1:8">
      <c r="A3637" s="79" t="str">
        <f>LeaveData[[#This Row],[ EMP ID]]&amp;LeaveData[[#This Row],[Date]]</f>
        <v/>
      </c>
      <c r="B3637" s="92"/>
      <c r="C3637" s="92"/>
      <c r="D3637" s="101"/>
      <c r="E3637" s="79"/>
      <c r="F3637" s="79"/>
      <c r="G3637" s="79"/>
      <c r="H3637" s="79"/>
    </row>
    <row r="3638" spans="1:8">
      <c r="A3638" s="79" t="str">
        <f>LeaveData[[#This Row],[ EMP ID]]&amp;LeaveData[[#This Row],[Date]]</f>
        <v/>
      </c>
      <c r="B3638" s="92"/>
      <c r="C3638" s="92"/>
      <c r="D3638" s="101"/>
      <c r="E3638" s="79"/>
      <c r="F3638" s="79"/>
      <c r="G3638" s="79"/>
      <c r="H3638" s="79"/>
    </row>
    <row r="3639" spans="1:8">
      <c r="A3639" s="79" t="str">
        <f>LeaveData[[#This Row],[ EMP ID]]&amp;LeaveData[[#This Row],[Date]]</f>
        <v/>
      </c>
      <c r="B3639" s="92"/>
      <c r="C3639" s="92"/>
      <c r="D3639" s="101"/>
      <c r="E3639" s="79"/>
      <c r="F3639" s="79"/>
      <c r="G3639" s="79"/>
      <c r="H3639" s="79"/>
    </row>
    <row r="3640" spans="1:8">
      <c r="A3640" s="79" t="str">
        <f>LeaveData[[#This Row],[ EMP ID]]&amp;LeaveData[[#This Row],[Date]]</f>
        <v/>
      </c>
      <c r="B3640" s="92"/>
      <c r="C3640" s="92"/>
      <c r="D3640" s="101"/>
      <c r="E3640" s="79"/>
      <c r="F3640" s="79"/>
      <c r="G3640" s="79"/>
      <c r="H3640" s="79"/>
    </row>
    <row r="3641" spans="1:8">
      <c r="A3641" s="79" t="str">
        <f>LeaveData[[#This Row],[ EMP ID]]&amp;LeaveData[[#This Row],[Date]]</f>
        <v/>
      </c>
      <c r="B3641" s="92"/>
      <c r="C3641" s="92"/>
      <c r="D3641" s="101"/>
      <c r="E3641" s="79"/>
      <c r="F3641" s="79"/>
      <c r="G3641" s="79"/>
      <c r="H3641" s="79"/>
    </row>
    <row r="3642" spans="1:8">
      <c r="A3642" s="79" t="str">
        <f>LeaveData[[#This Row],[ EMP ID]]&amp;LeaveData[[#This Row],[Date]]</f>
        <v/>
      </c>
      <c r="B3642" s="92"/>
      <c r="C3642" s="92"/>
      <c r="D3642" s="101"/>
      <c r="E3642" s="79"/>
      <c r="F3642" s="79"/>
      <c r="G3642" s="79"/>
      <c r="H3642" s="79"/>
    </row>
    <row r="3643" spans="1:8">
      <c r="A3643" s="79" t="str">
        <f>LeaveData[[#This Row],[ EMP ID]]&amp;LeaveData[[#This Row],[Date]]</f>
        <v/>
      </c>
      <c r="B3643" s="92"/>
      <c r="C3643" s="92"/>
      <c r="D3643" s="101"/>
      <c r="E3643" s="79"/>
      <c r="F3643" s="79"/>
      <c r="G3643" s="79"/>
      <c r="H3643" s="79"/>
    </row>
    <row r="3644" spans="1:8">
      <c r="A3644" s="79" t="str">
        <f>LeaveData[[#This Row],[ EMP ID]]&amp;LeaveData[[#This Row],[Date]]</f>
        <v/>
      </c>
      <c r="B3644" s="92"/>
      <c r="C3644" s="92"/>
      <c r="D3644" s="101"/>
      <c r="E3644" s="79"/>
      <c r="F3644" s="79"/>
      <c r="G3644" s="79"/>
      <c r="H3644" s="79"/>
    </row>
    <row r="3645" spans="1:8">
      <c r="A3645" s="79" t="str">
        <f>LeaveData[[#This Row],[ EMP ID]]&amp;LeaveData[[#This Row],[Date]]</f>
        <v/>
      </c>
      <c r="B3645" s="92"/>
      <c r="C3645" s="92"/>
      <c r="D3645" s="101"/>
      <c r="E3645" s="79"/>
      <c r="F3645" s="79"/>
      <c r="G3645" s="79"/>
      <c r="H3645" s="79"/>
    </row>
    <row r="3646" spans="1:8">
      <c r="A3646" s="79" t="str">
        <f>LeaveData[[#This Row],[ EMP ID]]&amp;LeaveData[[#This Row],[Date]]</f>
        <v/>
      </c>
      <c r="B3646" s="92"/>
      <c r="C3646" s="92"/>
      <c r="D3646" s="101"/>
      <c r="E3646" s="79"/>
      <c r="F3646" s="79"/>
      <c r="G3646" s="79"/>
      <c r="H3646" s="79"/>
    </row>
    <row r="3647" spans="1:8">
      <c r="A3647" s="79" t="str">
        <f>LeaveData[[#This Row],[ EMP ID]]&amp;LeaveData[[#This Row],[Date]]</f>
        <v/>
      </c>
      <c r="B3647" s="92"/>
      <c r="C3647" s="92"/>
      <c r="D3647" s="101"/>
      <c r="E3647" s="79"/>
      <c r="F3647" s="79"/>
      <c r="G3647" s="79"/>
      <c r="H3647" s="79"/>
    </row>
    <row r="3648" spans="1:8">
      <c r="A3648" s="79" t="str">
        <f>LeaveData[[#This Row],[ EMP ID]]&amp;LeaveData[[#This Row],[Date]]</f>
        <v/>
      </c>
      <c r="B3648" s="92"/>
      <c r="C3648" s="92"/>
      <c r="D3648" s="101"/>
      <c r="E3648" s="79"/>
      <c r="F3648" s="79"/>
      <c r="G3648" s="79"/>
      <c r="H3648" s="79"/>
    </row>
    <row r="3649" spans="1:8">
      <c r="A3649" s="79" t="str">
        <f>LeaveData[[#This Row],[ EMP ID]]&amp;LeaveData[[#This Row],[Date]]</f>
        <v/>
      </c>
      <c r="B3649" s="92"/>
      <c r="C3649" s="92"/>
      <c r="D3649" s="101"/>
      <c r="E3649" s="79"/>
      <c r="F3649" s="79"/>
      <c r="G3649" s="79"/>
      <c r="H3649" s="79"/>
    </row>
    <row r="3650" spans="1:8">
      <c r="A3650" s="79" t="str">
        <f>LeaveData[[#This Row],[ EMP ID]]&amp;LeaveData[[#This Row],[Date]]</f>
        <v/>
      </c>
      <c r="B3650" s="92"/>
      <c r="C3650" s="92"/>
      <c r="D3650" s="101"/>
      <c r="E3650" s="79"/>
      <c r="F3650" s="79"/>
      <c r="G3650" s="79"/>
      <c r="H3650" s="79"/>
    </row>
    <row r="3651" spans="1:8">
      <c r="A3651" s="79" t="str">
        <f>LeaveData[[#This Row],[ EMP ID]]&amp;LeaveData[[#This Row],[Date]]</f>
        <v/>
      </c>
      <c r="B3651" s="92"/>
      <c r="C3651" s="92"/>
      <c r="D3651" s="101"/>
      <c r="E3651" s="79"/>
      <c r="F3651" s="79"/>
      <c r="G3651" s="79"/>
      <c r="H3651" s="79"/>
    </row>
    <row r="3652" spans="1:8">
      <c r="A3652" s="79" t="str">
        <f>LeaveData[[#This Row],[ EMP ID]]&amp;LeaveData[[#This Row],[Date]]</f>
        <v/>
      </c>
      <c r="B3652" s="92"/>
      <c r="C3652" s="92"/>
      <c r="D3652" s="101"/>
      <c r="E3652" s="79"/>
      <c r="F3652" s="79"/>
      <c r="G3652" s="79"/>
      <c r="H3652" s="79"/>
    </row>
    <row r="3653" spans="1:8">
      <c r="A3653" s="79" t="str">
        <f>LeaveData[[#This Row],[ EMP ID]]&amp;LeaveData[[#This Row],[Date]]</f>
        <v/>
      </c>
      <c r="B3653" s="92"/>
      <c r="C3653" s="92"/>
      <c r="D3653" s="101"/>
      <c r="E3653" s="79"/>
      <c r="F3653" s="79"/>
      <c r="G3653" s="79"/>
      <c r="H3653" s="79"/>
    </row>
    <row r="3654" spans="1:8">
      <c r="A3654" s="79" t="str">
        <f>LeaveData[[#This Row],[ EMP ID]]&amp;LeaveData[[#This Row],[Date]]</f>
        <v/>
      </c>
      <c r="B3654" s="92"/>
      <c r="C3654" s="92"/>
      <c r="D3654" s="101"/>
      <c r="E3654" s="79"/>
      <c r="F3654" s="79"/>
      <c r="G3654" s="79"/>
      <c r="H3654" s="79"/>
    </row>
    <row r="3655" spans="1:8">
      <c r="A3655" s="79" t="str">
        <f>LeaveData[[#This Row],[ EMP ID]]&amp;LeaveData[[#This Row],[Date]]</f>
        <v/>
      </c>
      <c r="B3655" s="92"/>
      <c r="C3655" s="92"/>
      <c r="D3655" s="101"/>
      <c r="E3655" s="79"/>
      <c r="F3655" s="79"/>
      <c r="G3655" s="79"/>
      <c r="H3655" s="79"/>
    </row>
    <row r="3656" spans="1:8">
      <c r="A3656" s="79" t="str">
        <f>LeaveData[[#This Row],[ EMP ID]]&amp;LeaveData[[#This Row],[Date]]</f>
        <v/>
      </c>
      <c r="B3656" s="92"/>
      <c r="C3656" s="92"/>
      <c r="D3656" s="101"/>
      <c r="E3656" s="79"/>
      <c r="F3656" s="79"/>
      <c r="G3656" s="79"/>
      <c r="H3656" s="79"/>
    </row>
    <row r="3657" spans="1:8">
      <c r="A3657" s="79" t="str">
        <f>LeaveData[[#This Row],[ EMP ID]]&amp;LeaveData[[#This Row],[Date]]</f>
        <v/>
      </c>
      <c r="B3657" s="92"/>
      <c r="C3657" s="92"/>
      <c r="D3657" s="101"/>
      <c r="E3657" s="79"/>
      <c r="F3657" s="79"/>
      <c r="G3657" s="79"/>
      <c r="H3657" s="79"/>
    </row>
    <row r="3658" spans="1:8">
      <c r="A3658" s="79" t="str">
        <f>LeaveData[[#This Row],[ EMP ID]]&amp;LeaveData[[#This Row],[Date]]</f>
        <v/>
      </c>
      <c r="B3658" s="92"/>
      <c r="C3658" s="92"/>
      <c r="D3658" s="101"/>
      <c r="E3658" s="79"/>
      <c r="F3658" s="79"/>
      <c r="G3658" s="79"/>
      <c r="H3658" s="79"/>
    </row>
    <row r="3659" spans="1:8">
      <c r="A3659" s="79" t="str">
        <f>LeaveData[[#This Row],[ EMP ID]]&amp;LeaveData[[#This Row],[Date]]</f>
        <v/>
      </c>
      <c r="B3659" s="92"/>
      <c r="C3659" s="92"/>
      <c r="D3659" s="101"/>
      <c r="E3659" s="79"/>
      <c r="F3659" s="79"/>
      <c r="G3659" s="79"/>
      <c r="H3659" s="79"/>
    </row>
    <row r="3660" spans="1:8">
      <c r="A3660" s="79" t="str">
        <f>LeaveData[[#This Row],[ EMP ID]]&amp;LeaveData[[#This Row],[Date]]</f>
        <v/>
      </c>
      <c r="B3660" s="92"/>
      <c r="C3660" s="92"/>
      <c r="D3660" s="101"/>
      <c r="E3660" s="79"/>
      <c r="F3660" s="79"/>
      <c r="G3660" s="79"/>
      <c r="H3660" s="79"/>
    </row>
    <row r="3661" spans="1:8">
      <c r="A3661" s="79" t="str">
        <f>LeaveData[[#This Row],[ EMP ID]]&amp;LeaveData[[#This Row],[Date]]</f>
        <v/>
      </c>
      <c r="B3661" s="92"/>
      <c r="C3661" s="92"/>
      <c r="D3661" s="101"/>
      <c r="E3661" s="79"/>
      <c r="F3661" s="79"/>
      <c r="G3661" s="79"/>
      <c r="H3661" s="79"/>
    </row>
    <row r="3662" spans="1:8">
      <c r="A3662" s="79" t="str">
        <f>LeaveData[[#This Row],[ EMP ID]]&amp;LeaveData[[#This Row],[Date]]</f>
        <v/>
      </c>
      <c r="B3662" s="92"/>
      <c r="C3662" s="92"/>
      <c r="D3662" s="101"/>
      <c r="E3662" s="79"/>
      <c r="F3662" s="79"/>
      <c r="G3662" s="79"/>
      <c r="H3662" s="79"/>
    </row>
    <row r="3663" spans="1:8">
      <c r="A3663" s="79" t="str">
        <f>LeaveData[[#This Row],[ EMP ID]]&amp;LeaveData[[#This Row],[Date]]</f>
        <v/>
      </c>
      <c r="B3663" s="92"/>
      <c r="C3663" s="92"/>
      <c r="D3663" s="101"/>
      <c r="E3663" s="79"/>
      <c r="F3663" s="79"/>
      <c r="G3663" s="79"/>
      <c r="H3663" s="79"/>
    </row>
    <row r="3664" spans="1:8">
      <c r="A3664" s="79" t="str">
        <f>LeaveData[[#This Row],[ EMP ID]]&amp;LeaveData[[#This Row],[Date]]</f>
        <v/>
      </c>
      <c r="B3664" s="92"/>
      <c r="C3664" s="92"/>
      <c r="D3664" s="101"/>
      <c r="E3664" s="79"/>
      <c r="F3664" s="79"/>
      <c r="G3664" s="79"/>
      <c r="H3664" s="79"/>
    </row>
    <row r="3665" spans="1:8">
      <c r="A3665" s="79" t="str">
        <f>LeaveData[[#This Row],[ EMP ID]]&amp;LeaveData[[#This Row],[Date]]</f>
        <v/>
      </c>
      <c r="B3665" s="92"/>
      <c r="C3665" s="92"/>
      <c r="D3665" s="101"/>
      <c r="E3665" s="79"/>
      <c r="F3665" s="79"/>
      <c r="G3665" s="79"/>
      <c r="H3665" s="79"/>
    </row>
    <row r="3666" spans="1:8">
      <c r="A3666" s="79" t="str">
        <f>LeaveData[[#This Row],[ EMP ID]]&amp;LeaveData[[#This Row],[Date]]</f>
        <v/>
      </c>
      <c r="B3666" s="92"/>
      <c r="C3666" s="92"/>
      <c r="D3666" s="101"/>
      <c r="E3666" s="79"/>
      <c r="F3666" s="79"/>
      <c r="G3666" s="79"/>
      <c r="H3666" s="79"/>
    </row>
    <row r="3667" spans="1:8">
      <c r="A3667" s="79" t="str">
        <f>LeaveData[[#This Row],[ EMP ID]]&amp;LeaveData[[#This Row],[Date]]</f>
        <v/>
      </c>
      <c r="B3667" s="92"/>
      <c r="C3667" s="92"/>
      <c r="D3667" s="101"/>
      <c r="E3667" s="79"/>
      <c r="F3667" s="79"/>
      <c r="G3667" s="79"/>
      <c r="H3667" s="79"/>
    </row>
    <row r="3668" spans="1:8">
      <c r="A3668" s="79" t="str">
        <f>LeaveData[[#This Row],[ EMP ID]]&amp;LeaveData[[#This Row],[Date]]</f>
        <v/>
      </c>
      <c r="B3668" s="92"/>
      <c r="C3668" s="92"/>
      <c r="D3668" s="101"/>
      <c r="E3668" s="79"/>
      <c r="F3668" s="79"/>
      <c r="G3668" s="79"/>
      <c r="H3668" s="79"/>
    </row>
    <row r="3669" spans="1:8">
      <c r="A3669" s="79" t="str">
        <f>LeaveData[[#This Row],[ EMP ID]]&amp;LeaveData[[#This Row],[Date]]</f>
        <v/>
      </c>
      <c r="B3669" s="92"/>
      <c r="C3669" s="92"/>
      <c r="D3669" s="101"/>
      <c r="E3669" s="79"/>
      <c r="F3669" s="79"/>
      <c r="G3669" s="79"/>
      <c r="H3669" s="79"/>
    </row>
    <row r="3670" spans="1:8">
      <c r="A3670" s="79" t="str">
        <f>LeaveData[[#This Row],[ EMP ID]]&amp;LeaveData[[#This Row],[Date]]</f>
        <v/>
      </c>
      <c r="B3670" s="92"/>
      <c r="C3670" s="92"/>
      <c r="D3670" s="101"/>
      <c r="E3670" s="79"/>
      <c r="F3670" s="79"/>
      <c r="G3670" s="79"/>
      <c r="H3670" s="79"/>
    </row>
    <row r="3671" spans="1:8">
      <c r="A3671" s="79" t="str">
        <f>LeaveData[[#This Row],[ EMP ID]]&amp;LeaveData[[#This Row],[Date]]</f>
        <v/>
      </c>
      <c r="B3671" s="92"/>
      <c r="C3671" s="92"/>
      <c r="D3671" s="101"/>
      <c r="E3671" s="79"/>
      <c r="F3671" s="79"/>
      <c r="G3671" s="79"/>
      <c r="H3671" s="79"/>
    </row>
    <row r="3672" spans="1:8">
      <c r="A3672" s="79" t="str">
        <f>LeaveData[[#This Row],[ EMP ID]]&amp;LeaveData[[#This Row],[Date]]</f>
        <v/>
      </c>
      <c r="B3672" s="92"/>
      <c r="C3672" s="92"/>
      <c r="D3672" s="101"/>
      <c r="E3672" s="79"/>
      <c r="F3672" s="79"/>
      <c r="G3672" s="79"/>
      <c r="H3672" s="79"/>
    </row>
    <row r="3673" spans="1:8">
      <c r="A3673" s="79" t="str">
        <f>LeaveData[[#This Row],[ EMP ID]]&amp;LeaveData[[#This Row],[Date]]</f>
        <v/>
      </c>
      <c r="B3673" s="92"/>
      <c r="C3673" s="92"/>
      <c r="D3673" s="101"/>
      <c r="E3673" s="79"/>
      <c r="F3673" s="79"/>
      <c r="G3673" s="79"/>
      <c r="H3673" s="79"/>
    </row>
    <row r="3674" spans="1:8">
      <c r="A3674" s="79" t="str">
        <f>LeaveData[[#This Row],[ EMP ID]]&amp;LeaveData[[#This Row],[Date]]</f>
        <v/>
      </c>
      <c r="B3674" s="92"/>
      <c r="C3674" s="92"/>
      <c r="D3674" s="101"/>
      <c r="E3674" s="79"/>
      <c r="F3674" s="79"/>
      <c r="G3674" s="79"/>
      <c r="H3674" s="79"/>
    </row>
    <row r="3675" spans="1:8">
      <c r="A3675" s="79" t="str">
        <f>LeaveData[[#This Row],[ EMP ID]]&amp;LeaveData[[#This Row],[Date]]</f>
        <v/>
      </c>
      <c r="B3675" s="92"/>
      <c r="C3675" s="92"/>
      <c r="D3675" s="101"/>
      <c r="E3675" s="79"/>
      <c r="F3675" s="79"/>
      <c r="G3675" s="79"/>
      <c r="H3675" s="79"/>
    </row>
    <row r="3676" spans="1:8">
      <c r="A3676" s="79" t="str">
        <f>LeaveData[[#This Row],[ EMP ID]]&amp;LeaveData[[#This Row],[Date]]</f>
        <v/>
      </c>
      <c r="B3676" s="92"/>
      <c r="C3676" s="92"/>
      <c r="D3676" s="101"/>
      <c r="E3676" s="79"/>
      <c r="F3676" s="79"/>
      <c r="G3676" s="79"/>
      <c r="H3676" s="79"/>
    </row>
    <row r="3677" spans="1:8">
      <c r="A3677" s="79" t="str">
        <f>LeaveData[[#This Row],[ EMP ID]]&amp;LeaveData[[#This Row],[Date]]</f>
        <v/>
      </c>
      <c r="B3677" s="92"/>
      <c r="C3677" s="92"/>
      <c r="D3677" s="101"/>
      <c r="E3677" s="79"/>
      <c r="F3677" s="79"/>
      <c r="G3677" s="79"/>
      <c r="H3677" s="79"/>
    </row>
    <row r="3678" spans="1:8">
      <c r="A3678" s="79" t="str">
        <f>LeaveData[[#This Row],[ EMP ID]]&amp;LeaveData[[#This Row],[Date]]</f>
        <v/>
      </c>
      <c r="B3678" s="92"/>
      <c r="C3678" s="92"/>
      <c r="D3678" s="101"/>
      <c r="E3678" s="79"/>
      <c r="F3678" s="79"/>
      <c r="G3678" s="79"/>
      <c r="H3678" s="79"/>
    </row>
    <row r="3679" spans="1:8">
      <c r="A3679" s="79" t="str">
        <f>LeaveData[[#This Row],[ EMP ID]]&amp;LeaveData[[#This Row],[Date]]</f>
        <v/>
      </c>
      <c r="B3679" s="92"/>
      <c r="C3679" s="92"/>
      <c r="D3679" s="101"/>
      <c r="E3679" s="79"/>
      <c r="F3679" s="79"/>
      <c r="G3679" s="79"/>
      <c r="H3679" s="79"/>
    </row>
    <row r="3680" spans="1:8">
      <c r="A3680" s="79" t="str">
        <f>LeaveData[[#This Row],[ EMP ID]]&amp;LeaveData[[#This Row],[Date]]</f>
        <v/>
      </c>
      <c r="B3680" s="92"/>
      <c r="C3680" s="92"/>
      <c r="D3680" s="101"/>
      <c r="E3680" s="79"/>
      <c r="F3680" s="79"/>
      <c r="G3680" s="79"/>
      <c r="H3680" s="79"/>
    </row>
    <row r="3681" spans="1:8">
      <c r="A3681" s="79" t="str">
        <f>LeaveData[[#This Row],[ EMP ID]]&amp;LeaveData[[#This Row],[Date]]</f>
        <v/>
      </c>
      <c r="B3681" s="92"/>
      <c r="C3681" s="92"/>
      <c r="D3681" s="101"/>
      <c r="E3681" s="79"/>
      <c r="F3681" s="79"/>
      <c r="G3681" s="79"/>
      <c r="H3681" s="79"/>
    </row>
    <row r="3682" spans="1:8">
      <c r="A3682" s="79" t="str">
        <f>LeaveData[[#This Row],[ EMP ID]]&amp;LeaveData[[#This Row],[Date]]</f>
        <v/>
      </c>
      <c r="B3682" s="92"/>
      <c r="C3682" s="92"/>
      <c r="D3682" s="101"/>
      <c r="E3682" s="79"/>
      <c r="F3682" s="79"/>
      <c r="G3682" s="79"/>
      <c r="H3682" s="79"/>
    </row>
    <row r="3683" spans="1:8">
      <c r="A3683" s="79" t="str">
        <f>LeaveData[[#This Row],[ EMP ID]]&amp;LeaveData[[#This Row],[Date]]</f>
        <v/>
      </c>
      <c r="B3683" s="92"/>
      <c r="C3683" s="92"/>
      <c r="D3683" s="101"/>
      <c r="E3683" s="79"/>
      <c r="F3683" s="79"/>
      <c r="G3683" s="79"/>
      <c r="H3683" s="79"/>
    </row>
    <row r="3684" spans="1:8">
      <c r="A3684" s="79" t="str">
        <f>LeaveData[[#This Row],[ EMP ID]]&amp;LeaveData[[#This Row],[Date]]</f>
        <v/>
      </c>
      <c r="B3684" s="92"/>
      <c r="C3684" s="92"/>
      <c r="D3684" s="101"/>
      <c r="E3684" s="79"/>
      <c r="F3684" s="79"/>
      <c r="G3684" s="79"/>
      <c r="H3684" s="79"/>
    </row>
    <row r="3685" spans="1:8">
      <c r="A3685" s="79" t="str">
        <f>LeaveData[[#This Row],[ EMP ID]]&amp;LeaveData[[#This Row],[Date]]</f>
        <v/>
      </c>
      <c r="B3685" s="92"/>
      <c r="C3685" s="92"/>
      <c r="D3685" s="101"/>
      <c r="E3685" s="79"/>
      <c r="F3685" s="79"/>
      <c r="G3685" s="79"/>
      <c r="H3685" s="79"/>
    </row>
    <row r="3686" spans="1:8">
      <c r="A3686" s="79" t="str">
        <f>LeaveData[[#This Row],[ EMP ID]]&amp;LeaveData[[#This Row],[Date]]</f>
        <v/>
      </c>
      <c r="B3686" s="92"/>
      <c r="C3686" s="92"/>
      <c r="D3686" s="101"/>
      <c r="E3686" s="79"/>
      <c r="F3686" s="79"/>
      <c r="G3686" s="79"/>
      <c r="H3686" s="79"/>
    </row>
    <row r="3687" spans="1:8">
      <c r="A3687" s="79" t="str">
        <f>LeaveData[[#This Row],[ EMP ID]]&amp;LeaveData[[#This Row],[Date]]</f>
        <v/>
      </c>
      <c r="B3687" s="92"/>
      <c r="C3687" s="92"/>
      <c r="D3687" s="101"/>
      <c r="E3687" s="79"/>
      <c r="F3687" s="79"/>
      <c r="G3687" s="79"/>
      <c r="H3687" s="79"/>
    </row>
    <row r="3688" spans="1:8">
      <c r="A3688" s="79" t="str">
        <f>LeaveData[[#This Row],[ EMP ID]]&amp;LeaveData[[#This Row],[Date]]</f>
        <v/>
      </c>
      <c r="B3688" s="92"/>
      <c r="C3688" s="92"/>
      <c r="D3688" s="101"/>
      <c r="E3688" s="79"/>
      <c r="F3688" s="79"/>
      <c r="G3688" s="79"/>
      <c r="H3688" s="79"/>
    </row>
    <row r="3689" spans="1:8">
      <c r="A3689" s="79" t="str">
        <f>LeaveData[[#This Row],[ EMP ID]]&amp;LeaveData[[#This Row],[Date]]</f>
        <v/>
      </c>
      <c r="B3689" s="92"/>
      <c r="C3689" s="92"/>
      <c r="D3689" s="101"/>
      <c r="E3689" s="79"/>
      <c r="F3689" s="79"/>
      <c r="G3689" s="79"/>
      <c r="H3689" s="79"/>
    </row>
    <row r="3690" spans="1:8">
      <c r="A3690" s="79" t="str">
        <f>LeaveData[[#This Row],[ EMP ID]]&amp;LeaveData[[#This Row],[Date]]</f>
        <v/>
      </c>
      <c r="B3690" s="92"/>
      <c r="C3690" s="92"/>
      <c r="D3690" s="101"/>
      <c r="E3690" s="79"/>
      <c r="F3690" s="79"/>
      <c r="G3690" s="79"/>
      <c r="H3690" s="79"/>
    </row>
    <row r="3691" spans="1:8">
      <c r="A3691" s="79" t="str">
        <f>LeaveData[[#This Row],[ EMP ID]]&amp;LeaveData[[#This Row],[Date]]</f>
        <v/>
      </c>
      <c r="B3691" s="92"/>
      <c r="C3691" s="92"/>
      <c r="D3691" s="101"/>
      <c r="E3691" s="79"/>
      <c r="F3691" s="79"/>
      <c r="G3691" s="79"/>
      <c r="H3691" s="79"/>
    </row>
    <row r="3692" spans="1:8">
      <c r="A3692" s="79" t="str">
        <f>LeaveData[[#This Row],[ EMP ID]]&amp;LeaveData[[#This Row],[Date]]</f>
        <v/>
      </c>
      <c r="B3692" s="92"/>
      <c r="C3692" s="92"/>
      <c r="D3692" s="101"/>
      <c r="E3692" s="79"/>
      <c r="F3692" s="79"/>
      <c r="G3692" s="79"/>
      <c r="H3692" s="79"/>
    </row>
    <row r="3693" spans="1:8">
      <c r="A3693" s="79" t="str">
        <f>LeaveData[[#This Row],[ EMP ID]]&amp;LeaveData[[#This Row],[Date]]</f>
        <v/>
      </c>
      <c r="B3693" s="92"/>
      <c r="C3693" s="92"/>
      <c r="D3693" s="101"/>
      <c r="E3693" s="79"/>
      <c r="F3693" s="79"/>
      <c r="G3693" s="79"/>
      <c r="H3693" s="79"/>
    </row>
    <row r="3694" spans="1:8">
      <c r="A3694" s="79" t="str">
        <f>LeaveData[[#This Row],[ EMP ID]]&amp;LeaveData[[#This Row],[Date]]</f>
        <v/>
      </c>
      <c r="B3694" s="92"/>
      <c r="C3694" s="92"/>
      <c r="D3694" s="101"/>
      <c r="E3694" s="79"/>
      <c r="F3694" s="79"/>
      <c r="G3694" s="79"/>
      <c r="H3694" s="79"/>
    </row>
    <row r="3695" spans="1:8">
      <c r="A3695" s="79" t="str">
        <f>LeaveData[[#This Row],[ EMP ID]]&amp;LeaveData[[#This Row],[Date]]</f>
        <v/>
      </c>
      <c r="B3695" s="92"/>
      <c r="C3695" s="92"/>
      <c r="D3695" s="101"/>
      <c r="E3695" s="79"/>
      <c r="F3695" s="79"/>
      <c r="G3695" s="79"/>
      <c r="H3695" s="79"/>
    </row>
    <row r="3696" spans="1:8">
      <c r="A3696" s="79" t="str">
        <f>LeaveData[[#This Row],[ EMP ID]]&amp;LeaveData[[#This Row],[Date]]</f>
        <v/>
      </c>
      <c r="B3696" s="92"/>
      <c r="C3696" s="92"/>
      <c r="D3696" s="101"/>
      <c r="E3696" s="79"/>
      <c r="F3696" s="79"/>
      <c r="G3696" s="79"/>
      <c r="H3696" s="79"/>
    </row>
    <row r="3697" spans="1:8">
      <c r="A3697" s="79" t="str">
        <f>LeaveData[[#This Row],[ EMP ID]]&amp;LeaveData[[#This Row],[Date]]</f>
        <v/>
      </c>
      <c r="B3697" s="92"/>
      <c r="C3697" s="92"/>
      <c r="D3697" s="101"/>
      <c r="E3697" s="79"/>
      <c r="F3697" s="79"/>
      <c r="G3697" s="79"/>
      <c r="H3697" s="79"/>
    </row>
    <row r="3698" spans="1:8">
      <c r="A3698" s="79" t="str">
        <f>LeaveData[[#This Row],[ EMP ID]]&amp;LeaveData[[#This Row],[Date]]</f>
        <v/>
      </c>
      <c r="B3698" s="92"/>
      <c r="C3698" s="92"/>
      <c r="D3698" s="101"/>
      <c r="E3698" s="79"/>
      <c r="F3698" s="79"/>
      <c r="G3698" s="79"/>
      <c r="H3698" s="79"/>
    </row>
    <row r="3699" spans="1:8">
      <c r="A3699" s="79" t="str">
        <f>LeaveData[[#This Row],[ EMP ID]]&amp;LeaveData[[#This Row],[Date]]</f>
        <v/>
      </c>
      <c r="B3699" s="92"/>
      <c r="C3699" s="92"/>
      <c r="D3699" s="101"/>
      <c r="E3699" s="79"/>
      <c r="F3699" s="79"/>
      <c r="G3699" s="79"/>
      <c r="H3699" s="79"/>
    </row>
    <row r="3700" spans="1:8">
      <c r="A3700" s="79" t="str">
        <f>LeaveData[[#This Row],[ EMP ID]]&amp;LeaveData[[#This Row],[Date]]</f>
        <v/>
      </c>
      <c r="B3700" s="92"/>
      <c r="C3700" s="92"/>
      <c r="D3700" s="101"/>
      <c r="E3700" s="79"/>
      <c r="F3700" s="79"/>
      <c r="G3700" s="79"/>
      <c r="H3700" s="79"/>
    </row>
    <row r="3701" spans="1:8">
      <c r="A3701" s="79" t="str">
        <f>LeaveData[[#This Row],[ EMP ID]]&amp;LeaveData[[#This Row],[Date]]</f>
        <v/>
      </c>
      <c r="B3701" s="92"/>
      <c r="C3701" s="92"/>
      <c r="D3701" s="101"/>
      <c r="E3701" s="79"/>
      <c r="F3701" s="79"/>
      <c r="G3701" s="79"/>
      <c r="H3701" s="79"/>
    </row>
    <row r="3702" spans="1:8">
      <c r="A3702" s="79" t="str">
        <f>LeaveData[[#This Row],[ EMP ID]]&amp;LeaveData[[#This Row],[Date]]</f>
        <v/>
      </c>
      <c r="B3702" s="92"/>
      <c r="C3702" s="92"/>
      <c r="D3702" s="101"/>
      <c r="E3702" s="79"/>
      <c r="F3702" s="79"/>
      <c r="G3702" s="79"/>
      <c r="H3702" s="79"/>
    </row>
    <row r="3703" spans="1:8">
      <c r="A3703" s="79" t="str">
        <f>LeaveData[[#This Row],[ EMP ID]]&amp;LeaveData[[#This Row],[Date]]</f>
        <v/>
      </c>
      <c r="B3703" s="92"/>
      <c r="C3703" s="92"/>
      <c r="D3703" s="101"/>
      <c r="E3703" s="79"/>
      <c r="F3703" s="79"/>
      <c r="G3703" s="79"/>
      <c r="H3703" s="79"/>
    </row>
    <row r="3704" spans="1:8">
      <c r="A3704" s="79" t="str">
        <f>LeaveData[[#This Row],[ EMP ID]]&amp;LeaveData[[#This Row],[Date]]</f>
        <v/>
      </c>
      <c r="B3704" s="92"/>
      <c r="C3704" s="92"/>
      <c r="D3704" s="101"/>
      <c r="E3704" s="79"/>
      <c r="F3704" s="79"/>
      <c r="G3704" s="79"/>
      <c r="H3704" s="79"/>
    </row>
    <row r="3705" spans="1:8">
      <c r="A3705" s="79" t="str">
        <f>LeaveData[[#This Row],[ EMP ID]]&amp;LeaveData[[#This Row],[Date]]</f>
        <v/>
      </c>
      <c r="B3705" s="92"/>
      <c r="C3705" s="92"/>
      <c r="D3705" s="101"/>
      <c r="E3705" s="79"/>
      <c r="F3705" s="79"/>
      <c r="G3705" s="79"/>
      <c r="H3705" s="79"/>
    </row>
    <row r="3706" spans="1:8">
      <c r="A3706" s="79" t="str">
        <f>LeaveData[[#This Row],[ EMP ID]]&amp;LeaveData[[#This Row],[Date]]</f>
        <v/>
      </c>
      <c r="B3706" s="92"/>
      <c r="C3706" s="92"/>
      <c r="D3706" s="101"/>
      <c r="E3706" s="79"/>
      <c r="F3706" s="79"/>
      <c r="G3706" s="79"/>
      <c r="H3706" s="79"/>
    </row>
    <row r="3707" spans="1:8">
      <c r="A3707" s="79" t="str">
        <f>LeaveData[[#This Row],[ EMP ID]]&amp;LeaveData[[#This Row],[Date]]</f>
        <v/>
      </c>
      <c r="B3707" s="92"/>
      <c r="C3707" s="92"/>
      <c r="D3707" s="101"/>
      <c r="E3707" s="79"/>
      <c r="F3707" s="79"/>
      <c r="G3707" s="79"/>
      <c r="H3707" s="79"/>
    </row>
    <row r="3708" spans="1:8">
      <c r="A3708" s="79" t="str">
        <f>LeaveData[[#This Row],[ EMP ID]]&amp;LeaveData[[#This Row],[Date]]</f>
        <v/>
      </c>
      <c r="B3708" s="92"/>
      <c r="C3708" s="92"/>
      <c r="D3708" s="101"/>
      <c r="E3708" s="79"/>
      <c r="F3708" s="79"/>
      <c r="G3708" s="79"/>
      <c r="H3708" s="79"/>
    </row>
    <row r="3709" spans="1:8">
      <c r="A3709" s="79" t="str">
        <f>LeaveData[[#This Row],[ EMP ID]]&amp;LeaveData[[#This Row],[Date]]</f>
        <v/>
      </c>
      <c r="B3709" s="92"/>
      <c r="C3709" s="92"/>
      <c r="D3709" s="101"/>
      <c r="E3709" s="79"/>
      <c r="F3709" s="79"/>
      <c r="G3709" s="79"/>
      <c r="H3709" s="79"/>
    </row>
    <row r="3710" spans="1:8">
      <c r="A3710" s="79" t="str">
        <f>LeaveData[[#This Row],[ EMP ID]]&amp;LeaveData[[#This Row],[Date]]</f>
        <v/>
      </c>
      <c r="B3710" s="92"/>
      <c r="C3710" s="92"/>
      <c r="D3710" s="101"/>
      <c r="E3710" s="79"/>
      <c r="F3710" s="79"/>
      <c r="G3710" s="79"/>
      <c r="H3710" s="79"/>
    </row>
    <row r="3711" spans="1:8">
      <c r="A3711" s="79" t="str">
        <f>LeaveData[[#This Row],[ EMP ID]]&amp;LeaveData[[#This Row],[Date]]</f>
        <v/>
      </c>
      <c r="B3711" s="92"/>
      <c r="C3711" s="92"/>
      <c r="D3711" s="101"/>
      <c r="E3711" s="79"/>
      <c r="F3711" s="79"/>
      <c r="G3711" s="79"/>
      <c r="H3711" s="79"/>
    </row>
    <row r="3712" spans="1:8">
      <c r="A3712" s="79" t="str">
        <f>LeaveData[[#This Row],[ EMP ID]]&amp;LeaveData[[#This Row],[Date]]</f>
        <v/>
      </c>
      <c r="B3712" s="92"/>
      <c r="C3712" s="92"/>
      <c r="D3712" s="101"/>
      <c r="E3712" s="79"/>
      <c r="F3712" s="79"/>
      <c r="G3712" s="79"/>
      <c r="H3712" s="79"/>
    </row>
    <row r="3713" spans="1:8">
      <c r="A3713" s="79" t="str">
        <f>LeaveData[[#This Row],[ EMP ID]]&amp;LeaveData[[#This Row],[Date]]</f>
        <v/>
      </c>
      <c r="B3713" s="92"/>
      <c r="C3713" s="92"/>
      <c r="D3713" s="101"/>
      <c r="E3713" s="79"/>
      <c r="F3713" s="79"/>
      <c r="G3713" s="79"/>
      <c r="H3713" s="79"/>
    </row>
    <row r="3714" spans="1:8">
      <c r="A3714" s="79" t="str">
        <f>LeaveData[[#This Row],[ EMP ID]]&amp;LeaveData[[#This Row],[Date]]</f>
        <v/>
      </c>
      <c r="B3714" s="92"/>
      <c r="C3714" s="92"/>
      <c r="D3714" s="101"/>
      <c r="E3714" s="79"/>
      <c r="F3714" s="79"/>
      <c r="G3714" s="79"/>
      <c r="H3714" s="79"/>
    </row>
    <row r="3715" spans="1:8">
      <c r="A3715" s="79" t="str">
        <f>LeaveData[[#This Row],[ EMP ID]]&amp;LeaveData[[#This Row],[Date]]</f>
        <v/>
      </c>
      <c r="B3715" s="92"/>
      <c r="C3715" s="92"/>
      <c r="D3715" s="101"/>
      <c r="E3715" s="79"/>
      <c r="F3715" s="79"/>
      <c r="G3715" s="79"/>
      <c r="H3715" s="79"/>
    </row>
    <row r="3716" spans="1:8">
      <c r="A3716" s="79" t="str">
        <f>LeaveData[[#This Row],[ EMP ID]]&amp;LeaveData[[#This Row],[Date]]</f>
        <v/>
      </c>
      <c r="B3716" s="92"/>
      <c r="C3716" s="92"/>
      <c r="D3716" s="101"/>
      <c r="E3716" s="79"/>
      <c r="F3716" s="79"/>
      <c r="G3716" s="79"/>
      <c r="H3716" s="79"/>
    </row>
    <row r="3717" spans="1:8">
      <c r="A3717" s="79" t="str">
        <f>LeaveData[[#This Row],[ EMP ID]]&amp;LeaveData[[#This Row],[Date]]</f>
        <v/>
      </c>
      <c r="B3717" s="92"/>
      <c r="C3717" s="92"/>
      <c r="D3717" s="101"/>
      <c r="E3717" s="79"/>
      <c r="F3717" s="79"/>
      <c r="G3717" s="79"/>
      <c r="H3717" s="79"/>
    </row>
    <row r="3718" spans="1:8">
      <c r="A3718" s="79" t="str">
        <f>LeaveData[[#This Row],[ EMP ID]]&amp;LeaveData[[#This Row],[Date]]</f>
        <v/>
      </c>
      <c r="B3718" s="92"/>
      <c r="C3718" s="92"/>
      <c r="D3718" s="101"/>
      <c r="E3718" s="79"/>
      <c r="F3718" s="79"/>
      <c r="G3718" s="79"/>
      <c r="H3718" s="79"/>
    </row>
    <row r="3719" spans="1:8">
      <c r="A3719" s="79" t="str">
        <f>LeaveData[[#This Row],[ EMP ID]]&amp;LeaveData[[#This Row],[Date]]</f>
        <v/>
      </c>
      <c r="B3719" s="92"/>
      <c r="C3719" s="92"/>
      <c r="D3719" s="101"/>
      <c r="E3719" s="79"/>
      <c r="F3719" s="79"/>
      <c r="G3719" s="79"/>
      <c r="H3719" s="79"/>
    </row>
    <row r="3720" spans="1:8">
      <c r="A3720" s="79" t="str">
        <f>LeaveData[[#This Row],[ EMP ID]]&amp;LeaveData[[#This Row],[Date]]</f>
        <v/>
      </c>
      <c r="B3720" s="92"/>
      <c r="C3720" s="92"/>
      <c r="D3720" s="101"/>
      <c r="E3720" s="79"/>
      <c r="F3720" s="79"/>
      <c r="G3720" s="79"/>
      <c r="H3720" s="79"/>
    </row>
    <row r="3721" spans="1:8">
      <c r="A3721" s="79" t="str">
        <f>LeaveData[[#This Row],[ EMP ID]]&amp;LeaveData[[#This Row],[Date]]</f>
        <v/>
      </c>
      <c r="B3721" s="92"/>
      <c r="C3721" s="92"/>
      <c r="D3721" s="101"/>
      <c r="E3721" s="79"/>
      <c r="F3721" s="79"/>
      <c r="G3721" s="79"/>
      <c r="H3721" s="79"/>
    </row>
    <row r="3722" spans="1:8">
      <c r="A3722" s="79" t="str">
        <f>LeaveData[[#This Row],[ EMP ID]]&amp;LeaveData[[#This Row],[Date]]</f>
        <v/>
      </c>
      <c r="B3722" s="92"/>
      <c r="C3722" s="92"/>
      <c r="D3722" s="101"/>
      <c r="E3722" s="79"/>
      <c r="F3722" s="79"/>
      <c r="G3722" s="79"/>
      <c r="H3722" s="79"/>
    </row>
    <row r="3723" spans="1:8">
      <c r="A3723" s="79" t="str">
        <f>LeaveData[[#This Row],[ EMP ID]]&amp;LeaveData[[#This Row],[Date]]</f>
        <v/>
      </c>
      <c r="B3723" s="92"/>
      <c r="C3723" s="92"/>
      <c r="D3723" s="101"/>
      <c r="E3723" s="79"/>
      <c r="F3723" s="79"/>
      <c r="G3723" s="79"/>
      <c r="H3723" s="79"/>
    </row>
    <row r="3724" spans="1:8">
      <c r="A3724" s="79" t="str">
        <f>LeaveData[[#This Row],[ EMP ID]]&amp;LeaveData[[#This Row],[Date]]</f>
        <v/>
      </c>
      <c r="B3724" s="92"/>
      <c r="C3724" s="92"/>
      <c r="D3724" s="101"/>
      <c r="E3724" s="79"/>
      <c r="F3724" s="79"/>
      <c r="G3724" s="79"/>
      <c r="H3724" s="79"/>
    </row>
    <row r="3725" spans="1:8">
      <c r="A3725" s="79" t="str">
        <f>LeaveData[[#This Row],[ EMP ID]]&amp;LeaveData[[#This Row],[Date]]</f>
        <v/>
      </c>
      <c r="B3725" s="92"/>
      <c r="C3725" s="92"/>
      <c r="D3725" s="101"/>
      <c r="E3725" s="79"/>
      <c r="F3725" s="79"/>
      <c r="G3725" s="79"/>
      <c r="H3725" s="79"/>
    </row>
    <row r="3726" spans="1:8">
      <c r="A3726" s="79" t="str">
        <f>LeaveData[[#This Row],[ EMP ID]]&amp;LeaveData[[#This Row],[Date]]</f>
        <v/>
      </c>
      <c r="B3726" s="92"/>
      <c r="C3726" s="92"/>
      <c r="D3726" s="101"/>
      <c r="E3726" s="79"/>
      <c r="F3726" s="79"/>
      <c r="G3726" s="79"/>
      <c r="H3726" s="79"/>
    </row>
    <row r="3727" spans="1:8">
      <c r="A3727" s="79" t="str">
        <f>LeaveData[[#This Row],[ EMP ID]]&amp;LeaveData[[#This Row],[Date]]</f>
        <v/>
      </c>
      <c r="B3727" s="92"/>
      <c r="C3727" s="92"/>
      <c r="D3727" s="101"/>
      <c r="E3727" s="79"/>
      <c r="F3727" s="79"/>
      <c r="G3727" s="79"/>
      <c r="H3727" s="79"/>
    </row>
    <row r="3728" spans="1:8">
      <c r="A3728" s="79" t="str">
        <f>LeaveData[[#This Row],[ EMP ID]]&amp;LeaveData[[#This Row],[Date]]</f>
        <v/>
      </c>
      <c r="B3728" s="92"/>
      <c r="C3728" s="92"/>
      <c r="D3728" s="101"/>
      <c r="E3728" s="79"/>
      <c r="F3728" s="79"/>
      <c r="G3728" s="79"/>
      <c r="H3728" s="79"/>
    </row>
    <row r="3729" spans="1:8">
      <c r="A3729" s="79" t="str">
        <f>LeaveData[[#This Row],[ EMP ID]]&amp;LeaveData[[#This Row],[Date]]</f>
        <v/>
      </c>
      <c r="B3729" s="92"/>
      <c r="C3729" s="92"/>
      <c r="D3729" s="101"/>
      <c r="E3729" s="79"/>
      <c r="F3729" s="79"/>
      <c r="G3729" s="79"/>
      <c r="H3729" s="79"/>
    </row>
    <row r="3730" spans="1:8">
      <c r="A3730" s="79" t="str">
        <f>LeaveData[[#This Row],[ EMP ID]]&amp;LeaveData[[#This Row],[Date]]</f>
        <v/>
      </c>
      <c r="B3730" s="92"/>
      <c r="C3730" s="92"/>
      <c r="D3730" s="101"/>
      <c r="E3730" s="79"/>
      <c r="F3730" s="79"/>
      <c r="G3730" s="79"/>
      <c r="H3730" s="79"/>
    </row>
    <row r="3731" spans="1:8">
      <c r="A3731" s="79" t="str">
        <f>LeaveData[[#This Row],[ EMP ID]]&amp;LeaveData[[#This Row],[Date]]</f>
        <v/>
      </c>
      <c r="B3731" s="92"/>
      <c r="C3731" s="92"/>
      <c r="D3731" s="101"/>
      <c r="E3731" s="79"/>
      <c r="F3731" s="79"/>
      <c r="G3731" s="79"/>
      <c r="H3731" s="79"/>
    </row>
    <row r="3732" spans="1:8">
      <c r="A3732" s="79" t="str">
        <f>LeaveData[[#This Row],[ EMP ID]]&amp;LeaveData[[#This Row],[Date]]</f>
        <v/>
      </c>
      <c r="B3732" s="92"/>
      <c r="C3732" s="92"/>
      <c r="D3732" s="101"/>
      <c r="E3732" s="79"/>
      <c r="F3732" s="79"/>
      <c r="G3732" s="79"/>
      <c r="H3732" s="79"/>
    </row>
    <row r="3733" spans="1:8">
      <c r="A3733" s="79" t="str">
        <f>LeaveData[[#This Row],[ EMP ID]]&amp;LeaveData[[#This Row],[Date]]</f>
        <v/>
      </c>
      <c r="B3733" s="92"/>
      <c r="C3733" s="92"/>
      <c r="D3733" s="101"/>
      <c r="E3733" s="79"/>
      <c r="F3733" s="79"/>
      <c r="G3733" s="79"/>
      <c r="H3733" s="79"/>
    </row>
    <row r="3734" spans="1:8">
      <c r="A3734" s="79" t="str">
        <f>LeaveData[[#This Row],[ EMP ID]]&amp;LeaveData[[#This Row],[Date]]</f>
        <v/>
      </c>
      <c r="B3734" s="92"/>
      <c r="C3734" s="92"/>
      <c r="D3734" s="101"/>
      <c r="E3734" s="79"/>
      <c r="F3734" s="79"/>
      <c r="G3734" s="79"/>
      <c r="H3734" s="79"/>
    </row>
    <row r="3735" spans="1:8">
      <c r="A3735" s="79" t="str">
        <f>LeaveData[[#This Row],[ EMP ID]]&amp;LeaveData[[#This Row],[Date]]</f>
        <v/>
      </c>
      <c r="B3735" s="92"/>
      <c r="C3735" s="92"/>
      <c r="D3735" s="101"/>
      <c r="E3735" s="79"/>
      <c r="F3735" s="79"/>
      <c r="G3735" s="79"/>
      <c r="H3735" s="79"/>
    </row>
    <row r="3736" spans="1:8">
      <c r="A3736" s="79" t="str">
        <f>LeaveData[[#This Row],[ EMP ID]]&amp;LeaveData[[#This Row],[Date]]</f>
        <v/>
      </c>
      <c r="B3736" s="92"/>
      <c r="C3736" s="92"/>
      <c r="D3736" s="101"/>
      <c r="E3736" s="79"/>
      <c r="F3736" s="79"/>
      <c r="G3736" s="79"/>
      <c r="H3736" s="79"/>
    </row>
    <row r="3737" spans="1:8">
      <c r="A3737" s="79" t="str">
        <f>LeaveData[[#This Row],[ EMP ID]]&amp;LeaveData[[#This Row],[Date]]</f>
        <v/>
      </c>
      <c r="B3737" s="92"/>
      <c r="C3737" s="92"/>
      <c r="D3737" s="101"/>
      <c r="E3737" s="79"/>
      <c r="F3737" s="79"/>
      <c r="G3737" s="79"/>
      <c r="H3737" s="79"/>
    </row>
    <row r="3738" spans="1:8">
      <c r="A3738" s="79" t="str">
        <f>LeaveData[[#This Row],[ EMP ID]]&amp;LeaveData[[#This Row],[Date]]</f>
        <v/>
      </c>
      <c r="B3738" s="92"/>
      <c r="C3738" s="92"/>
      <c r="D3738" s="101"/>
      <c r="E3738" s="79"/>
      <c r="F3738" s="79"/>
      <c r="G3738" s="79"/>
      <c r="H3738" s="79"/>
    </row>
    <row r="3739" spans="1:8">
      <c r="A3739" s="79" t="str">
        <f>LeaveData[[#This Row],[ EMP ID]]&amp;LeaveData[[#This Row],[Date]]</f>
        <v/>
      </c>
      <c r="B3739" s="92"/>
      <c r="C3739" s="92"/>
      <c r="D3739" s="101"/>
      <c r="E3739" s="79"/>
      <c r="F3739" s="79"/>
      <c r="G3739" s="79"/>
      <c r="H3739" s="79"/>
    </row>
    <row r="3740" spans="1:8">
      <c r="A3740" s="79" t="str">
        <f>LeaveData[[#This Row],[ EMP ID]]&amp;LeaveData[[#This Row],[Date]]</f>
        <v/>
      </c>
      <c r="B3740" s="92"/>
      <c r="C3740" s="92"/>
      <c r="D3740" s="101"/>
      <c r="E3740" s="79"/>
      <c r="F3740" s="79"/>
      <c r="G3740" s="79"/>
      <c r="H3740" s="79"/>
    </row>
    <row r="3741" spans="1:8">
      <c r="A3741" s="79" t="str">
        <f>LeaveData[[#This Row],[ EMP ID]]&amp;LeaveData[[#This Row],[Date]]</f>
        <v/>
      </c>
      <c r="B3741" s="92"/>
      <c r="C3741" s="92"/>
      <c r="D3741" s="101"/>
      <c r="E3741" s="79"/>
      <c r="F3741" s="79"/>
      <c r="G3741" s="79"/>
      <c r="H3741" s="79"/>
    </row>
    <row r="3742" spans="1:8">
      <c r="A3742" s="79" t="str">
        <f>LeaveData[[#This Row],[ EMP ID]]&amp;LeaveData[[#This Row],[Date]]</f>
        <v/>
      </c>
      <c r="B3742" s="92"/>
      <c r="C3742" s="92"/>
      <c r="D3742" s="101"/>
      <c r="E3742" s="79"/>
      <c r="F3742" s="79"/>
      <c r="G3742" s="79"/>
      <c r="H3742" s="79"/>
    </row>
    <row r="3743" spans="1:8">
      <c r="A3743" s="79" t="str">
        <f>LeaveData[[#This Row],[ EMP ID]]&amp;LeaveData[[#This Row],[Date]]</f>
        <v/>
      </c>
      <c r="B3743" s="92"/>
      <c r="C3743" s="92"/>
      <c r="D3743" s="101"/>
      <c r="E3743" s="79"/>
      <c r="F3743" s="79"/>
      <c r="G3743" s="79"/>
      <c r="H3743" s="79"/>
    </row>
    <row r="3744" spans="1:8">
      <c r="A3744" s="79" t="str">
        <f>LeaveData[[#This Row],[ EMP ID]]&amp;LeaveData[[#This Row],[Date]]</f>
        <v/>
      </c>
      <c r="B3744" s="92"/>
      <c r="C3744" s="92"/>
      <c r="D3744" s="101"/>
      <c r="E3744" s="79"/>
      <c r="F3744" s="79"/>
      <c r="G3744" s="79"/>
      <c r="H3744" s="79"/>
    </row>
    <row r="3745" spans="1:8">
      <c r="A3745" s="79" t="str">
        <f>LeaveData[[#This Row],[ EMP ID]]&amp;LeaveData[[#This Row],[Date]]</f>
        <v/>
      </c>
      <c r="B3745" s="92"/>
      <c r="C3745" s="92"/>
      <c r="D3745" s="101"/>
      <c r="E3745" s="79"/>
      <c r="F3745" s="79"/>
      <c r="G3745" s="79"/>
      <c r="H3745" s="79"/>
    </row>
    <row r="3746" spans="1:8">
      <c r="A3746" s="79" t="str">
        <f>LeaveData[[#This Row],[ EMP ID]]&amp;LeaveData[[#This Row],[Date]]</f>
        <v/>
      </c>
      <c r="B3746" s="92"/>
      <c r="C3746" s="92"/>
      <c r="D3746" s="101"/>
      <c r="E3746" s="79"/>
      <c r="F3746" s="79"/>
      <c r="G3746" s="79"/>
      <c r="H3746" s="79"/>
    </row>
    <row r="3747" spans="1:8">
      <c r="A3747" s="79" t="str">
        <f>LeaveData[[#This Row],[ EMP ID]]&amp;LeaveData[[#This Row],[Date]]</f>
        <v/>
      </c>
      <c r="B3747" s="92"/>
      <c r="C3747" s="92"/>
      <c r="D3747" s="101"/>
      <c r="E3747" s="79"/>
      <c r="F3747" s="79"/>
      <c r="G3747" s="79"/>
      <c r="H3747" s="79"/>
    </row>
    <row r="3748" spans="1:8">
      <c r="A3748" s="79" t="str">
        <f>LeaveData[[#This Row],[ EMP ID]]&amp;LeaveData[[#This Row],[Date]]</f>
        <v/>
      </c>
      <c r="B3748" s="92"/>
      <c r="C3748" s="92"/>
      <c r="D3748" s="101"/>
      <c r="E3748" s="79"/>
      <c r="F3748" s="79"/>
      <c r="G3748" s="79"/>
      <c r="H3748" s="79"/>
    </row>
    <row r="3749" spans="1:8">
      <c r="A3749" s="79" t="str">
        <f>LeaveData[[#This Row],[ EMP ID]]&amp;LeaveData[[#This Row],[Date]]</f>
        <v/>
      </c>
      <c r="B3749" s="92"/>
      <c r="C3749" s="92"/>
      <c r="D3749" s="101"/>
      <c r="E3749" s="79"/>
      <c r="F3749" s="79"/>
      <c r="G3749" s="79"/>
      <c r="H3749" s="79"/>
    </row>
    <row r="3750" spans="1:8">
      <c r="A3750" s="79" t="str">
        <f>LeaveData[[#This Row],[ EMP ID]]&amp;LeaveData[[#This Row],[Date]]</f>
        <v/>
      </c>
      <c r="B3750" s="92"/>
      <c r="C3750" s="92"/>
      <c r="D3750" s="101"/>
      <c r="E3750" s="79"/>
      <c r="F3750" s="79"/>
      <c r="G3750" s="79"/>
      <c r="H3750" s="79"/>
    </row>
    <row r="3751" spans="1:8">
      <c r="A3751" s="79" t="str">
        <f>LeaveData[[#This Row],[ EMP ID]]&amp;LeaveData[[#This Row],[Date]]</f>
        <v/>
      </c>
      <c r="B3751" s="92"/>
      <c r="C3751" s="92"/>
      <c r="D3751" s="101"/>
      <c r="E3751" s="79"/>
      <c r="F3751" s="79"/>
      <c r="G3751" s="79"/>
      <c r="H3751" s="79"/>
    </row>
    <row r="3752" spans="1:8">
      <c r="A3752" s="79" t="str">
        <f>LeaveData[[#This Row],[ EMP ID]]&amp;LeaveData[[#This Row],[Date]]</f>
        <v/>
      </c>
      <c r="B3752" s="92"/>
      <c r="C3752" s="92"/>
      <c r="D3752" s="101"/>
      <c r="E3752" s="79"/>
      <c r="F3752" s="79"/>
      <c r="G3752" s="79"/>
      <c r="H3752" s="79"/>
    </row>
    <row r="3753" spans="1:8">
      <c r="A3753" s="79" t="str">
        <f>LeaveData[[#This Row],[ EMP ID]]&amp;LeaveData[[#This Row],[Date]]</f>
        <v/>
      </c>
      <c r="B3753" s="92"/>
      <c r="C3753" s="92"/>
      <c r="D3753" s="101"/>
      <c r="E3753" s="79"/>
      <c r="F3753" s="79"/>
      <c r="G3753" s="79"/>
      <c r="H3753" s="79"/>
    </row>
    <row r="3754" spans="1:8">
      <c r="A3754" s="79" t="str">
        <f>LeaveData[[#This Row],[ EMP ID]]&amp;LeaveData[[#This Row],[Date]]</f>
        <v/>
      </c>
      <c r="B3754" s="92"/>
      <c r="C3754" s="92"/>
      <c r="D3754" s="101"/>
      <c r="E3754" s="79"/>
      <c r="F3754" s="79"/>
      <c r="G3754" s="79"/>
      <c r="H3754" s="79"/>
    </row>
    <row r="3755" spans="1:8">
      <c r="A3755" s="79" t="str">
        <f>LeaveData[[#This Row],[ EMP ID]]&amp;LeaveData[[#This Row],[Date]]</f>
        <v/>
      </c>
      <c r="B3755" s="92"/>
      <c r="C3755" s="92"/>
      <c r="D3755" s="101"/>
      <c r="E3755" s="79"/>
      <c r="F3755" s="79"/>
      <c r="G3755" s="79"/>
      <c r="H3755" s="79"/>
    </row>
    <row r="3756" spans="1:8">
      <c r="A3756" s="79" t="str">
        <f>LeaveData[[#This Row],[ EMP ID]]&amp;LeaveData[[#This Row],[Date]]</f>
        <v/>
      </c>
      <c r="B3756" s="92"/>
      <c r="C3756" s="92"/>
      <c r="D3756" s="101"/>
      <c r="E3756" s="79"/>
      <c r="F3756" s="79"/>
      <c r="G3756" s="79"/>
      <c r="H3756" s="79"/>
    </row>
    <row r="3757" spans="1:8">
      <c r="A3757" s="79" t="str">
        <f>LeaveData[[#This Row],[ EMP ID]]&amp;LeaveData[[#This Row],[Date]]</f>
        <v/>
      </c>
      <c r="B3757" s="92"/>
      <c r="C3757" s="92"/>
      <c r="D3757" s="101"/>
      <c r="E3757" s="79"/>
      <c r="F3757" s="79"/>
      <c r="G3757" s="79"/>
      <c r="H3757" s="79"/>
    </row>
    <row r="3758" spans="1:8">
      <c r="A3758" s="79" t="str">
        <f>LeaveData[[#This Row],[ EMP ID]]&amp;LeaveData[[#This Row],[Date]]</f>
        <v/>
      </c>
      <c r="B3758" s="92"/>
      <c r="C3758" s="92"/>
      <c r="D3758" s="101"/>
      <c r="E3758" s="79"/>
      <c r="F3758" s="79"/>
      <c r="G3758" s="79"/>
      <c r="H3758" s="79"/>
    </row>
    <row r="3759" spans="1:8">
      <c r="A3759" s="79" t="str">
        <f>LeaveData[[#This Row],[ EMP ID]]&amp;LeaveData[[#This Row],[Date]]</f>
        <v/>
      </c>
      <c r="B3759" s="92"/>
      <c r="C3759" s="92"/>
      <c r="D3759" s="101"/>
      <c r="E3759" s="79"/>
      <c r="F3759" s="79"/>
      <c r="G3759" s="79"/>
      <c r="H3759" s="79"/>
    </row>
    <row r="3760" spans="1:8">
      <c r="A3760" s="79" t="str">
        <f>LeaveData[[#This Row],[ EMP ID]]&amp;LeaveData[[#This Row],[Date]]</f>
        <v/>
      </c>
      <c r="B3760" s="92"/>
      <c r="C3760" s="92"/>
      <c r="D3760" s="101"/>
      <c r="E3760" s="79"/>
      <c r="F3760" s="79"/>
      <c r="G3760" s="79"/>
      <c r="H3760" s="79"/>
    </row>
    <row r="3761" spans="1:8">
      <c r="A3761" s="79" t="str">
        <f>LeaveData[[#This Row],[ EMP ID]]&amp;LeaveData[[#This Row],[Date]]</f>
        <v/>
      </c>
      <c r="B3761" s="92"/>
      <c r="C3761" s="92"/>
      <c r="D3761" s="101"/>
      <c r="E3761" s="79"/>
      <c r="F3761" s="79"/>
      <c r="G3761" s="79"/>
      <c r="H3761" s="79"/>
    </row>
    <row r="3762" spans="1:8">
      <c r="A3762" s="79" t="str">
        <f>LeaveData[[#This Row],[ EMP ID]]&amp;LeaveData[[#This Row],[Date]]</f>
        <v/>
      </c>
      <c r="B3762" s="92"/>
      <c r="C3762" s="92"/>
      <c r="D3762" s="101"/>
      <c r="E3762" s="79"/>
      <c r="F3762" s="79"/>
      <c r="G3762" s="79"/>
      <c r="H3762" s="79"/>
    </row>
    <row r="3763" spans="1:8">
      <c r="A3763" s="79" t="str">
        <f>LeaveData[[#This Row],[ EMP ID]]&amp;LeaveData[[#This Row],[Date]]</f>
        <v/>
      </c>
      <c r="B3763" s="92"/>
      <c r="C3763" s="92"/>
      <c r="D3763" s="101"/>
      <c r="E3763" s="79"/>
      <c r="F3763" s="79"/>
      <c r="G3763" s="79"/>
      <c r="H3763" s="79"/>
    </row>
    <row r="3764" spans="1:8">
      <c r="A3764" s="79" t="str">
        <f>LeaveData[[#This Row],[ EMP ID]]&amp;LeaveData[[#This Row],[Date]]</f>
        <v/>
      </c>
      <c r="B3764" s="92"/>
      <c r="C3764" s="92"/>
      <c r="D3764" s="101"/>
      <c r="E3764" s="79"/>
      <c r="F3764" s="79"/>
      <c r="G3764" s="79"/>
      <c r="H3764" s="79"/>
    </row>
    <row r="3765" spans="1:8">
      <c r="A3765" s="79" t="str">
        <f>LeaveData[[#This Row],[ EMP ID]]&amp;LeaveData[[#This Row],[Date]]</f>
        <v/>
      </c>
      <c r="B3765" s="92"/>
      <c r="C3765" s="92"/>
      <c r="D3765" s="101"/>
      <c r="E3765" s="79"/>
      <c r="F3765" s="79"/>
      <c r="G3765" s="79"/>
      <c r="H3765" s="79"/>
    </row>
    <row r="3766" spans="1:8">
      <c r="A3766" s="79" t="str">
        <f>LeaveData[[#This Row],[ EMP ID]]&amp;LeaveData[[#This Row],[Date]]</f>
        <v/>
      </c>
      <c r="B3766" s="92"/>
      <c r="C3766" s="92"/>
      <c r="D3766" s="101"/>
      <c r="E3766" s="79"/>
      <c r="F3766" s="79"/>
      <c r="G3766" s="79"/>
      <c r="H3766" s="79"/>
    </row>
    <row r="3767" spans="1:8">
      <c r="A3767" s="79" t="str">
        <f>LeaveData[[#This Row],[ EMP ID]]&amp;LeaveData[[#This Row],[Date]]</f>
        <v/>
      </c>
      <c r="B3767" s="92"/>
      <c r="C3767" s="92"/>
      <c r="D3767" s="101"/>
      <c r="E3767" s="79"/>
      <c r="F3767" s="79"/>
      <c r="G3767" s="79"/>
      <c r="H3767" s="79"/>
    </row>
    <row r="3768" spans="1:8">
      <c r="A3768" s="79" t="str">
        <f>LeaveData[[#This Row],[ EMP ID]]&amp;LeaveData[[#This Row],[Date]]</f>
        <v/>
      </c>
      <c r="B3768" s="92"/>
      <c r="C3768" s="92"/>
      <c r="D3768" s="101"/>
      <c r="E3768" s="79"/>
      <c r="F3768" s="79"/>
      <c r="G3768" s="79"/>
      <c r="H3768" s="79"/>
    </row>
    <row r="3769" spans="1:8">
      <c r="A3769" s="79" t="str">
        <f>LeaveData[[#This Row],[ EMP ID]]&amp;LeaveData[[#This Row],[Date]]</f>
        <v/>
      </c>
      <c r="B3769" s="92"/>
      <c r="C3769" s="92"/>
      <c r="D3769" s="101"/>
      <c r="E3769" s="79"/>
      <c r="F3769" s="79"/>
      <c r="G3769" s="79"/>
      <c r="H3769" s="79"/>
    </row>
    <row r="3770" spans="1:8">
      <c r="A3770" s="79" t="str">
        <f>LeaveData[[#This Row],[ EMP ID]]&amp;LeaveData[[#This Row],[Date]]</f>
        <v/>
      </c>
      <c r="B3770" s="92"/>
      <c r="C3770" s="92"/>
      <c r="D3770" s="101"/>
      <c r="E3770" s="79"/>
      <c r="F3770" s="79"/>
      <c r="G3770" s="79"/>
      <c r="H3770" s="79"/>
    </row>
    <row r="3771" spans="1:8">
      <c r="A3771" s="79" t="str">
        <f>LeaveData[[#This Row],[ EMP ID]]&amp;LeaveData[[#This Row],[Date]]</f>
        <v/>
      </c>
      <c r="B3771" s="92"/>
      <c r="C3771" s="92"/>
      <c r="D3771" s="101"/>
      <c r="E3771" s="79"/>
      <c r="F3771" s="79"/>
      <c r="G3771" s="79"/>
      <c r="H3771" s="79"/>
    </row>
    <row r="3772" spans="1:8">
      <c r="A3772" s="79" t="str">
        <f>LeaveData[[#This Row],[ EMP ID]]&amp;LeaveData[[#This Row],[Date]]</f>
        <v/>
      </c>
      <c r="B3772" s="92"/>
      <c r="C3772" s="92"/>
      <c r="D3772" s="101"/>
      <c r="E3772" s="79"/>
      <c r="F3772" s="79"/>
      <c r="G3772" s="79"/>
      <c r="H3772" s="79"/>
    </row>
    <row r="3773" spans="1:8">
      <c r="A3773" s="79" t="str">
        <f>LeaveData[[#This Row],[ EMP ID]]&amp;LeaveData[[#This Row],[Date]]</f>
        <v/>
      </c>
      <c r="B3773" s="92"/>
      <c r="C3773" s="92"/>
      <c r="D3773" s="101"/>
      <c r="E3773" s="79"/>
      <c r="F3773" s="79"/>
      <c r="G3773" s="79"/>
      <c r="H3773" s="79"/>
    </row>
    <row r="3774" spans="1:8">
      <c r="A3774" s="79" t="str">
        <f>LeaveData[[#This Row],[ EMP ID]]&amp;LeaveData[[#This Row],[Date]]</f>
        <v/>
      </c>
      <c r="B3774" s="92"/>
      <c r="C3774" s="92"/>
      <c r="D3774" s="101"/>
      <c r="E3774" s="79"/>
      <c r="F3774" s="79"/>
      <c r="G3774" s="79"/>
      <c r="H3774" s="79"/>
    </row>
    <row r="3775" spans="1:8">
      <c r="A3775" s="79" t="str">
        <f>LeaveData[[#This Row],[ EMP ID]]&amp;LeaveData[[#This Row],[Date]]</f>
        <v/>
      </c>
      <c r="B3775" s="92"/>
      <c r="C3775" s="92"/>
      <c r="D3775" s="101"/>
      <c r="E3775" s="79"/>
      <c r="F3775" s="79"/>
      <c r="G3775" s="79"/>
      <c r="H3775" s="79"/>
    </row>
    <row r="3776" spans="1:8">
      <c r="A3776" s="79" t="str">
        <f>LeaveData[[#This Row],[ EMP ID]]&amp;LeaveData[[#This Row],[Date]]</f>
        <v/>
      </c>
      <c r="B3776" s="92"/>
      <c r="C3776" s="92"/>
      <c r="D3776" s="101"/>
      <c r="E3776" s="79"/>
      <c r="F3776" s="79"/>
      <c r="G3776" s="79"/>
      <c r="H3776" s="79"/>
    </row>
    <row r="3777" spans="1:8">
      <c r="A3777" s="79" t="str">
        <f>LeaveData[[#This Row],[ EMP ID]]&amp;LeaveData[[#This Row],[Date]]</f>
        <v/>
      </c>
      <c r="B3777" s="92"/>
      <c r="C3777" s="92"/>
      <c r="D3777" s="101"/>
      <c r="E3777" s="79"/>
      <c r="F3777" s="79"/>
      <c r="G3777" s="79"/>
      <c r="H3777" s="79"/>
    </row>
    <row r="3778" spans="1:8">
      <c r="A3778" s="79" t="str">
        <f>LeaveData[[#This Row],[ EMP ID]]&amp;LeaveData[[#This Row],[Date]]</f>
        <v/>
      </c>
      <c r="B3778" s="92"/>
      <c r="C3778" s="92"/>
      <c r="D3778" s="101"/>
      <c r="E3778" s="79"/>
      <c r="F3778" s="79"/>
      <c r="G3778" s="79"/>
      <c r="H3778" s="79"/>
    </row>
    <row r="3779" spans="1:8">
      <c r="A3779" s="79" t="str">
        <f>LeaveData[[#This Row],[ EMP ID]]&amp;LeaveData[[#This Row],[Date]]</f>
        <v/>
      </c>
      <c r="B3779" s="92"/>
      <c r="C3779" s="92"/>
      <c r="D3779" s="101"/>
      <c r="E3779" s="79"/>
      <c r="F3779" s="79"/>
      <c r="G3779" s="79"/>
      <c r="H3779" s="79"/>
    </row>
    <row r="3780" spans="1:8">
      <c r="A3780" s="79" t="str">
        <f>LeaveData[[#This Row],[ EMP ID]]&amp;LeaveData[[#This Row],[Date]]</f>
        <v/>
      </c>
      <c r="B3780" s="92"/>
      <c r="C3780" s="92"/>
      <c r="D3780" s="101"/>
      <c r="E3780" s="79"/>
      <c r="F3780" s="79"/>
      <c r="G3780" s="79"/>
      <c r="H3780" s="79"/>
    </row>
    <row r="3781" spans="1:8">
      <c r="A3781" s="79" t="str">
        <f>LeaveData[[#This Row],[ EMP ID]]&amp;LeaveData[[#This Row],[Date]]</f>
        <v/>
      </c>
      <c r="B3781" s="92"/>
      <c r="C3781" s="92"/>
      <c r="D3781" s="101"/>
      <c r="E3781" s="79"/>
      <c r="F3781" s="79"/>
      <c r="G3781" s="79"/>
      <c r="H3781" s="79"/>
    </row>
    <row r="3782" spans="1:8">
      <c r="A3782" s="79" t="str">
        <f>LeaveData[[#This Row],[ EMP ID]]&amp;LeaveData[[#This Row],[Date]]</f>
        <v/>
      </c>
      <c r="B3782" s="92"/>
      <c r="C3782" s="92"/>
      <c r="D3782" s="101"/>
      <c r="E3782" s="79"/>
      <c r="F3782" s="79"/>
      <c r="G3782" s="79"/>
      <c r="H3782" s="79"/>
    </row>
    <row r="3783" spans="1:8">
      <c r="A3783" s="79" t="str">
        <f>LeaveData[[#This Row],[ EMP ID]]&amp;LeaveData[[#This Row],[Date]]</f>
        <v/>
      </c>
      <c r="B3783" s="92"/>
      <c r="C3783" s="92"/>
      <c r="D3783" s="101"/>
      <c r="E3783" s="79"/>
      <c r="F3783" s="79"/>
      <c r="G3783" s="79"/>
      <c r="H3783" s="79"/>
    </row>
    <row r="3784" spans="1:8">
      <c r="A3784" s="79" t="str">
        <f>LeaveData[[#This Row],[ EMP ID]]&amp;LeaveData[[#This Row],[Date]]</f>
        <v/>
      </c>
      <c r="B3784" s="92"/>
      <c r="C3784" s="92"/>
      <c r="D3784" s="101"/>
      <c r="E3784" s="79"/>
      <c r="F3784" s="79"/>
      <c r="G3784" s="79"/>
      <c r="H3784" s="79"/>
    </row>
    <row r="3785" spans="1:8">
      <c r="A3785" s="79" t="str">
        <f>LeaveData[[#This Row],[ EMP ID]]&amp;LeaveData[[#This Row],[Date]]</f>
        <v/>
      </c>
      <c r="B3785" s="92"/>
      <c r="C3785" s="92"/>
      <c r="D3785" s="101"/>
      <c r="E3785" s="79"/>
      <c r="F3785" s="79"/>
      <c r="G3785" s="79"/>
      <c r="H3785" s="79"/>
    </row>
    <row r="3786" spans="1:8">
      <c r="A3786" s="79" t="str">
        <f>LeaveData[[#This Row],[ EMP ID]]&amp;LeaveData[[#This Row],[Date]]</f>
        <v/>
      </c>
      <c r="B3786" s="92"/>
      <c r="C3786" s="92"/>
      <c r="D3786" s="101"/>
      <c r="E3786" s="79"/>
      <c r="F3786" s="79"/>
      <c r="G3786" s="79"/>
      <c r="H3786" s="79"/>
    </row>
    <row r="3787" spans="1:8">
      <c r="A3787" s="79" t="str">
        <f>LeaveData[[#This Row],[ EMP ID]]&amp;LeaveData[[#This Row],[Date]]</f>
        <v/>
      </c>
      <c r="B3787" s="92"/>
      <c r="C3787" s="92"/>
      <c r="D3787" s="101"/>
      <c r="E3787" s="79"/>
      <c r="F3787" s="79"/>
      <c r="G3787" s="79"/>
      <c r="H3787" s="79"/>
    </row>
    <row r="3788" spans="1:8">
      <c r="A3788" s="79" t="str">
        <f>LeaveData[[#This Row],[ EMP ID]]&amp;LeaveData[[#This Row],[Date]]</f>
        <v/>
      </c>
      <c r="B3788" s="92"/>
      <c r="C3788" s="92"/>
      <c r="D3788" s="101"/>
      <c r="E3788" s="79"/>
      <c r="F3788" s="79"/>
      <c r="G3788" s="79"/>
      <c r="H3788" s="79"/>
    </row>
    <row r="3789" spans="1:8">
      <c r="A3789" s="79" t="str">
        <f>LeaveData[[#This Row],[ EMP ID]]&amp;LeaveData[[#This Row],[Date]]</f>
        <v/>
      </c>
      <c r="B3789" s="92"/>
      <c r="C3789" s="92"/>
      <c r="D3789" s="101"/>
      <c r="E3789" s="79"/>
      <c r="F3789" s="79"/>
      <c r="G3789" s="79"/>
      <c r="H3789" s="79"/>
    </row>
    <row r="3790" spans="1:8">
      <c r="A3790" s="79" t="str">
        <f>LeaveData[[#This Row],[ EMP ID]]&amp;LeaveData[[#This Row],[Date]]</f>
        <v/>
      </c>
      <c r="B3790" s="92"/>
      <c r="C3790" s="92"/>
      <c r="D3790" s="101"/>
      <c r="E3790" s="79"/>
      <c r="F3790" s="79"/>
      <c r="G3790" s="79"/>
      <c r="H3790" s="79"/>
    </row>
    <row r="3791" spans="1:8">
      <c r="A3791" s="79" t="str">
        <f>LeaveData[[#This Row],[ EMP ID]]&amp;LeaveData[[#This Row],[Date]]</f>
        <v/>
      </c>
      <c r="B3791" s="92"/>
      <c r="C3791" s="92"/>
      <c r="D3791" s="101"/>
      <c r="E3791" s="79"/>
      <c r="F3791" s="79"/>
      <c r="G3791" s="79"/>
      <c r="H3791" s="79"/>
    </row>
    <row r="3792" spans="1:8">
      <c r="A3792" s="79" t="str">
        <f>LeaveData[[#This Row],[ EMP ID]]&amp;LeaveData[[#This Row],[Date]]</f>
        <v/>
      </c>
      <c r="B3792" s="92"/>
      <c r="C3792" s="92"/>
      <c r="D3792" s="101"/>
      <c r="E3792" s="79"/>
      <c r="F3792" s="79"/>
      <c r="G3792" s="79"/>
      <c r="H3792" s="79"/>
    </row>
    <row r="3793" spans="1:8">
      <c r="A3793" s="79" t="str">
        <f>LeaveData[[#This Row],[ EMP ID]]&amp;LeaveData[[#This Row],[Date]]</f>
        <v/>
      </c>
      <c r="B3793" s="92"/>
      <c r="C3793" s="92"/>
      <c r="D3793" s="101"/>
      <c r="E3793" s="79"/>
      <c r="F3793" s="79"/>
      <c r="G3793" s="79"/>
      <c r="H3793" s="79"/>
    </row>
    <row r="3794" spans="1:8">
      <c r="A3794" s="79" t="str">
        <f>LeaveData[[#This Row],[ EMP ID]]&amp;LeaveData[[#This Row],[Date]]</f>
        <v/>
      </c>
      <c r="B3794" s="92"/>
      <c r="C3794" s="92"/>
      <c r="D3794" s="101"/>
      <c r="E3794" s="79"/>
      <c r="F3794" s="79"/>
      <c r="G3794" s="79"/>
      <c r="H3794" s="79"/>
    </row>
    <row r="3795" spans="1:8">
      <c r="A3795" s="79" t="str">
        <f>LeaveData[[#This Row],[ EMP ID]]&amp;LeaveData[[#This Row],[Date]]</f>
        <v/>
      </c>
      <c r="B3795" s="92"/>
      <c r="C3795" s="92"/>
      <c r="D3795" s="101"/>
      <c r="E3795" s="79"/>
      <c r="F3795" s="79"/>
      <c r="G3795" s="79"/>
      <c r="H3795" s="79"/>
    </row>
    <row r="3796" spans="1:8">
      <c r="A3796" s="79" t="str">
        <f>LeaveData[[#This Row],[ EMP ID]]&amp;LeaveData[[#This Row],[Date]]</f>
        <v/>
      </c>
      <c r="B3796" s="92"/>
      <c r="C3796" s="92"/>
      <c r="D3796" s="101"/>
      <c r="E3796" s="79"/>
      <c r="F3796" s="79"/>
      <c r="G3796" s="79"/>
      <c r="H3796" s="79"/>
    </row>
    <row r="3797" spans="1:8">
      <c r="A3797" s="79" t="str">
        <f>LeaveData[[#This Row],[ EMP ID]]&amp;LeaveData[[#This Row],[Date]]</f>
        <v/>
      </c>
      <c r="B3797" s="92"/>
      <c r="C3797" s="92"/>
      <c r="D3797" s="101"/>
      <c r="E3797" s="79"/>
      <c r="F3797" s="79"/>
      <c r="G3797" s="79"/>
      <c r="H3797" s="79"/>
    </row>
    <row r="3798" spans="1:8">
      <c r="A3798" s="79" t="str">
        <f>LeaveData[[#This Row],[ EMP ID]]&amp;LeaveData[[#This Row],[Date]]</f>
        <v/>
      </c>
      <c r="B3798" s="92"/>
      <c r="C3798" s="92"/>
      <c r="D3798" s="101"/>
      <c r="E3798" s="79"/>
      <c r="F3798" s="79"/>
      <c r="G3798" s="79"/>
      <c r="H3798" s="79"/>
    </row>
    <row r="3799" spans="1:8">
      <c r="A3799" s="79" t="str">
        <f>LeaveData[[#This Row],[ EMP ID]]&amp;LeaveData[[#This Row],[Date]]</f>
        <v/>
      </c>
      <c r="B3799" s="92"/>
      <c r="C3799" s="92"/>
      <c r="D3799" s="101"/>
      <c r="E3799" s="79"/>
      <c r="F3799" s="79"/>
      <c r="G3799" s="79"/>
      <c r="H3799" s="79"/>
    </row>
    <row r="3800" spans="1:8">
      <c r="A3800" s="79" t="str">
        <f>LeaveData[[#This Row],[ EMP ID]]&amp;LeaveData[[#This Row],[Date]]</f>
        <v/>
      </c>
      <c r="B3800" s="92"/>
      <c r="C3800" s="92"/>
      <c r="D3800" s="101"/>
      <c r="E3800" s="79"/>
      <c r="F3800" s="79"/>
      <c r="G3800" s="79"/>
      <c r="H3800" s="79"/>
    </row>
    <row r="3801" spans="1:8">
      <c r="A3801" s="79" t="str">
        <f>LeaveData[[#This Row],[ EMP ID]]&amp;LeaveData[[#This Row],[Date]]</f>
        <v/>
      </c>
      <c r="B3801" s="92"/>
      <c r="C3801" s="92"/>
      <c r="D3801" s="101"/>
      <c r="E3801" s="79"/>
      <c r="F3801" s="79"/>
      <c r="G3801" s="79"/>
      <c r="H3801" s="79"/>
    </row>
    <row r="3802" spans="1:8">
      <c r="A3802" s="79" t="str">
        <f>LeaveData[[#This Row],[ EMP ID]]&amp;LeaveData[[#This Row],[Date]]</f>
        <v/>
      </c>
      <c r="B3802" s="92"/>
      <c r="C3802" s="92"/>
      <c r="D3802" s="101"/>
      <c r="E3802" s="79"/>
      <c r="F3802" s="79"/>
      <c r="G3802" s="79"/>
      <c r="H3802" s="79"/>
    </row>
    <row r="3803" spans="1:8">
      <c r="A3803" s="79" t="str">
        <f>LeaveData[[#This Row],[ EMP ID]]&amp;LeaveData[[#This Row],[Date]]</f>
        <v/>
      </c>
      <c r="B3803" s="92"/>
      <c r="C3803" s="92"/>
      <c r="D3803" s="101"/>
      <c r="E3803" s="79"/>
      <c r="F3803" s="79"/>
      <c r="G3803" s="79"/>
      <c r="H3803" s="79"/>
    </row>
    <row r="3804" spans="1:8">
      <c r="A3804" s="79" t="str">
        <f>LeaveData[[#This Row],[ EMP ID]]&amp;LeaveData[[#This Row],[Date]]</f>
        <v/>
      </c>
      <c r="B3804" s="92"/>
      <c r="C3804" s="92"/>
      <c r="D3804" s="101"/>
      <c r="E3804" s="79"/>
      <c r="F3804" s="79"/>
      <c r="G3804" s="79"/>
      <c r="H3804" s="79"/>
    </row>
    <row r="3805" spans="1:8">
      <c r="A3805" s="79" t="str">
        <f>LeaveData[[#This Row],[ EMP ID]]&amp;LeaveData[[#This Row],[Date]]</f>
        <v/>
      </c>
      <c r="B3805" s="92"/>
      <c r="C3805" s="92"/>
      <c r="D3805" s="101"/>
      <c r="E3805" s="79"/>
      <c r="F3805" s="79"/>
      <c r="G3805" s="79"/>
      <c r="H3805" s="79"/>
    </row>
    <row r="3806" spans="1:8">
      <c r="A3806" s="79" t="str">
        <f>LeaveData[[#This Row],[ EMP ID]]&amp;LeaveData[[#This Row],[Date]]</f>
        <v/>
      </c>
      <c r="B3806" s="92"/>
      <c r="C3806" s="92"/>
      <c r="D3806" s="101"/>
      <c r="E3806" s="79"/>
      <c r="F3806" s="79"/>
      <c r="G3806" s="79"/>
      <c r="H3806" s="79"/>
    </row>
    <row r="3807" spans="1:8">
      <c r="A3807" s="79" t="str">
        <f>LeaveData[[#This Row],[ EMP ID]]&amp;LeaveData[[#This Row],[Date]]</f>
        <v/>
      </c>
      <c r="B3807" s="92"/>
      <c r="C3807" s="92"/>
      <c r="D3807" s="101"/>
      <c r="E3807" s="79"/>
      <c r="F3807" s="79"/>
      <c r="G3807" s="79"/>
      <c r="H3807" s="79"/>
    </row>
    <row r="3808" spans="1:8">
      <c r="A3808" s="79" t="str">
        <f>LeaveData[[#This Row],[ EMP ID]]&amp;LeaveData[[#This Row],[Date]]</f>
        <v/>
      </c>
      <c r="B3808" s="92"/>
      <c r="C3808" s="92"/>
      <c r="D3808" s="101"/>
      <c r="E3808" s="79"/>
      <c r="F3808" s="79"/>
      <c r="G3808" s="79"/>
      <c r="H3808" s="79"/>
    </row>
    <row r="3809" spans="1:8">
      <c r="A3809" s="79" t="str">
        <f>LeaveData[[#This Row],[ EMP ID]]&amp;LeaveData[[#This Row],[Date]]</f>
        <v/>
      </c>
      <c r="B3809" s="92"/>
      <c r="C3809" s="92"/>
      <c r="D3809" s="101"/>
      <c r="E3809" s="79"/>
      <c r="F3809" s="79"/>
      <c r="G3809" s="79"/>
      <c r="H3809" s="79"/>
    </row>
    <row r="3810" spans="1:8">
      <c r="A3810" s="79" t="str">
        <f>LeaveData[[#This Row],[ EMP ID]]&amp;LeaveData[[#This Row],[Date]]</f>
        <v/>
      </c>
      <c r="B3810" s="92"/>
      <c r="C3810" s="92"/>
      <c r="D3810" s="101"/>
      <c r="E3810" s="79"/>
      <c r="F3810" s="79"/>
      <c r="G3810" s="79"/>
      <c r="H3810" s="79"/>
    </row>
    <row r="3811" spans="1:8">
      <c r="A3811" s="79" t="str">
        <f>LeaveData[[#This Row],[ EMP ID]]&amp;LeaveData[[#This Row],[Date]]</f>
        <v/>
      </c>
      <c r="B3811" s="92"/>
      <c r="C3811" s="92"/>
      <c r="D3811" s="101"/>
      <c r="E3811" s="79"/>
      <c r="F3811" s="79"/>
      <c r="G3811" s="79"/>
      <c r="H3811" s="79"/>
    </row>
    <row r="3812" spans="1:8">
      <c r="A3812" s="79" t="str">
        <f>LeaveData[[#This Row],[ EMP ID]]&amp;LeaveData[[#This Row],[Date]]</f>
        <v/>
      </c>
      <c r="B3812" s="92"/>
      <c r="C3812" s="92"/>
      <c r="D3812" s="101"/>
      <c r="E3812" s="79"/>
      <c r="F3812" s="79"/>
      <c r="G3812" s="79"/>
      <c r="H3812" s="79"/>
    </row>
    <row r="3813" spans="1:8">
      <c r="A3813" s="79" t="str">
        <f>LeaveData[[#This Row],[ EMP ID]]&amp;LeaveData[[#This Row],[Date]]</f>
        <v/>
      </c>
      <c r="B3813" s="92"/>
      <c r="C3813" s="92"/>
      <c r="D3813" s="101"/>
      <c r="E3813" s="79"/>
      <c r="F3813" s="79"/>
      <c r="G3813" s="79"/>
      <c r="H3813" s="79"/>
    </row>
    <row r="3814" spans="1:8">
      <c r="A3814" s="79" t="str">
        <f>LeaveData[[#This Row],[ EMP ID]]&amp;LeaveData[[#This Row],[Date]]</f>
        <v/>
      </c>
      <c r="B3814" s="92"/>
      <c r="C3814" s="92"/>
      <c r="D3814" s="101"/>
      <c r="E3814" s="79"/>
      <c r="F3814" s="79"/>
      <c r="G3814" s="79"/>
      <c r="H3814" s="79"/>
    </row>
    <row r="3815" spans="1:8">
      <c r="A3815" s="79" t="str">
        <f>LeaveData[[#This Row],[ EMP ID]]&amp;LeaveData[[#This Row],[Date]]</f>
        <v/>
      </c>
      <c r="B3815" s="92"/>
      <c r="C3815" s="92"/>
      <c r="D3815" s="101"/>
      <c r="E3815" s="79"/>
      <c r="F3815" s="79"/>
      <c r="G3815" s="79"/>
      <c r="H3815" s="79"/>
    </row>
    <row r="3816" spans="1:8">
      <c r="A3816" s="79" t="str">
        <f>LeaveData[[#This Row],[ EMP ID]]&amp;LeaveData[[#This Row],[Date]]</f>
        <v/>
      </c>
      <c r="B3816" s="92"/>
      <c r="C3816" s="92"/>
      <c r="D3816" s="101"/>
      <c r="E3816" s="79"/>
      <c r="F3816" s="79"/>
      <c r="G3816" s="79"/>
      <c r="H3816" s="79"/>
    </row>
    <row r="3817" spans="1:8">
      <c r="A3817" s="79" t="str">
        <f>LeaveData[[#This Row],[ EMP ID]]&amp;LeaveData[[#This Row],[Date]]</f>
        <v/>
      </c>
      <c r="B3817" s="92"/>
      <c r="C3817" s="92"/>
      <c r="D3817" s="101"/>
      <c r="E3817" s="79"/>
      <c r="F3817" s="79"/>
      <c r="G3817" s="79"/>
      <c r="H3817" s="79"/>
    </row>
    <row r="3818" spans="1:8">
      <c r="A3818" s="79" t="str">
        <f>LeaveData[[#This Row],[ EMP ID]]&amp;LeaveData[[#This Row],[Date]]</f>
        <v/>
      </c>
      <c r="B3818" s="92"/>
      <c r="C3818" s="92"/>
      <c r="D3818" s="101"/>
      <c r="E3818" s="79"/>
      <c r="F3818" s="79"/>
      <c r="G3818" s="79"/>
      <c r="H3818" s="79"/>
    </row>
    <row r="3819" spans="1:8">
      <c r="A3819" s="79" t="str">
        <f>LeaveData[[#This Row],[ EMP ID]]&amp;LeaveData[[#This Row],[Date]]</f>
        <v/>
      </c>
      <c r="B3819" s="92"/>
      <c r="C3819" s="92"/>
      <c r="D3819" s="101"/>
      <c r="E3819" s="79"/>
      <c r="F3819" s="79"/>
      <c r="G3819" s="79"/>
      <c r="H3819" s="79"/>
    </row>
    <row r="3820" spans="1:8">
      <c r="A3820" s="79" t="str">
        <f>LeaveData[[#This Row],[ EMP ID]]&amp;LeaveData[[#This Row],[Date]]</f>
        <v/>
      </c>
      <c r="B3820" s="92"/>
      <c r="C3820" s="92"/>
      <c r="D3820" s="101"/>
      <c r="E3820" s="79"/>
      <c r="F3820" s="79"/>
      <c r="G3820" s="79"/>
      <c r="H3820" s="79"/>
    </row>
    <row r="3821" spans="1:8">
      <c r="A3821" s="79" t="str">
        <f>LeaveData[[#This Row],[ EMP ID]]&amp;LeaveData[[#This Row],[Date]]</f>
        <v/>
      </c>
      <c r="B3821" s="92"/>
      <c r="C3821" s="92"/>
      <c r="D3821" s="101"/>
      <c r="E3821" s="79"/>
      <c r="F3821" s="79"/>
      <c r="G3821" s="79"/>
      <c r="H3821" s="79"/>
    </row>
    <row r="3822" spans="1:8">
      <c r="A3822" s="79" t="str">
        <f>LeaveData[[#This Row],[ EMP ID]]&amp;LeaveData[[#This Row],[Date]]</f>
        <v/>
      </c>
      <c r="B3822" s="92"/>
      <c r="C3822" s="92"/>
      <c r="D3822" s="101"/>
      <c r="E3822" s="79"/>
      <c r="F3822" s="79"/>
      <c r="G3822" s="79"/>
      <c r="H3822" s="79"/>
    </row>
    <row r="3823" spans="1:8">
      <c r="A3823" s="79" t="str">
        <f>LeaveData[[#This Row],[ EMP ID]]&amp;LeaveData[[#This Row],[Date]]</f>
        <v/>
      </c>
      <c r="B3823" s="92"/>
      <c r="C3823" s="92"/>
      <c r="D3823" s="101"/>
      <c r="E3823" s="79"/>
      <c r="F3823" s="79"/>
      <c r="G3823" s="79"/>
      <c r="H3823" s="79"/>
    </row>
    <row r="3824" spans="1:8">
      <c r="A3824" s="79" t="str">
        <f>LeaveData[[#This Row],[ EMP ID]]&amp;LeaveData[[#This Row],[Date]]</f>
        <v/>
      </c>
      <c r="B3824" s="92"/>
      <c r="C3824" s="92"/>
      <c r="D3824" s="101"/>
      <c r="E3824" s="79"/>
      <c r="F3824" s="79"/>
      <c r="G3824" s="79"/>
      <c r="H3824" s="79"/>
    </row>
    <row r="3825" spans="1:8">
      <c r="A3825" s="79" t="str">
        <f>LeaveData[[#This Row],[ EMP ID]]&amp;LeaveData[[#This Row],[Date]]</f>
        <v/>
      </c>
      <c r="B3825" s="92"/>
      <c r="C3825" s="92"/>
      <c r="D3825" s="101"/>
      <c r="E3825" s="79"/>
      <c r="F3825" s="79"/>
      <c r="G3825" s="79"/>
      <c r="H3825" s="79"/>
    </row>
    <row r="3826" spans="1:8">
      <c r="A3826" s="79" t="str">
        <f>LeaveData[[#This Row],[ EMP ID]]&amp;LeaveData[[#This Row],[Date]]</f>
        <v/>
      </c>
      <c r="B3826" s="92"/>
      <c r="C3826" s="92"/>
      <c r="D3826" s="101"/>
      <c r="E3826" s="79"/>
      <c r="F3826" s="79"/>
      <c r="G3826" s="79"/>
      <c r="H3826" s="79"/>
    </row>
    <row r="3827" spans="1:8">
      <c r="A3827" s="79" t="str">
        <f>LeaveData[[#This Row],[ EMP ID]]&amp;LeaveData[[#This Row],[Date]]</f>
        <v/>
      </c>
      <c r="B3827" s="92"/>
      <c r="C3827" s="92"/>
      <c r="D3827" s="101"/>
      <c r="E3827" s="79"/>
      <c r="F3827" s="79"/>
      <c r="G3827" s="79"/>
      <c r="H3827" s="79"/>
    </row>
    <row r="3828" spans="1:8">
      <c r="A3828" s="79" t="str">
        <f>LeaveData[[#This Row],[ EMP ID]]&amp;LeaveData[[#This Row],[Date]]</f>
        <v/>
      </c>
      <c r="B3828" s="92"/>
      <c r="C3828" s="92"/>
      <c r="D3828" s="101"/>
      <c r="E3828" s="79"/>
      <c r="F3828" s="79"/>
      <c r="G3828" s="79"/>
      <c r="H3828" s="79"/>
    </row>
    <row r="3829" spans="1:8">
      <c r="A3829" s="79" t="str">
        <f>LeaveData[[#This Row],[ EMP ID]]&amp;LeaveData[[#This Row],[Date]]</f>
        <v/>
      </c>
      <c r="B3829" s="92"/>
      <c r="C3829" s="92"/>
      <c r="D3829" s="101"/>
      <c r="E3829" s="79"/>
      <c r="F3829" s="79"/>
      <c r="G3829" s="79"/>
      <c r="H3829" s="79"/>
    </row>
    <row r="3830" spans="1:8">
      <c r="A3830" s="79" t="str">
        <f>LeaveData[[#This Row],[ EMP ID]]&amp;LeaveData[[#This Row],[Date]]</f>
        <v/>
      </c>
      <c r="B3830" s="92"/>
      <c r="C3830" s="92"/>
      <c r="D3830" s="101"/>
      <c r="E3830" s="79"/>
      <c r="F3830" s="79"/>
      <c r="G3830" s="79"/>
      <c r="H3830" s="79"/>
    </row>
    <row r="3831" spans="1:8">
      <c r="A3831" s="79" t="str">
        <f>LeaveData[[#This Row],[ EMP ID]]&amp;LeaveData[[#This Row],[Date]]</f>
        <v/>
      </c>
      <c r="B3831" s="92"/>
      <c r="C3831" s="92"/>
      <c r="D3831" s="101"/>
      <c r="E3831" s="79"/>
      <c r="F3831" s="79"/>
      <c r="G3831" s="79"/>
      <c r="H3831" s="79"/>
    </row>
    <row r="3832" spans="1:8">
      <c r="A3832" s="79" t="str">
        <f>LeaveData[[#This Row],[ EMP ID]]&amp;LeaveData[[#This Row],[Date]]</f>
        <v/>
      </c>
      <c r="B3832" s="92"/>
      <c r="C3832" s="92"/>
      <c r="D3832" s="101"/>
      <c r="E3832" s="79"/>
      <c r="F3832" s="79"/>
      <c r="G3832" s="79"/>
      <c r="H3832" s="79"/>
    </row>
    <row r="3833" spans="1:8">
      <c r="A3833" s="79" t="str">
        <f>LeaveData[[#This Row],[ EMP ID]]&amp;LeaveData[[#This Row],[Date]]</f>
        <v/>
      </c>
      <c r="B3833" s="92"/>
      <c r="C3833" s="92"/>
      <c r="D3833" s="101"/>
      <c r="E3833" s="79"/>
      <c r="F3833" s="79"/>
      <c r="G3833" s="79"/>
      <c r="H3833" s="79"/>
    </row>
    <row r="3834" spans="1:8">
      <c r="A3834" s="79" t="str">
        <f>LeaveData[[#This Row],[ EMP ID]]&amp;LeaveData[[#This Row],[Date]]</f>
        <v/>
      </c>
      <c r="B3834" s="92"/>
      <c r="C3834" s="92"/>
      <c r="D3834" s="101"/>
      <c r="E3834" s="79"/>
      <c r="F3834" s="79"/>
      <c r="G3834" s="79"/>
      <c r="H3834" s="79"/>
    </row>
    <row r="3835" spans="1:8">
      <c r="A3835" s="79" t="str">
        <f>LeaveData[[#This Row],[ EMP ID]]&amp;LeaveData[[#This Row],[Date]]</f>
        <v/>
      </c>
      <c r="B3835" s="92"/>
      <c r="C3835" s="92"/>
      <c r="D3835" s="101"/>
      <c r="E3835" s="79"/>
      <c r="F3835" s="79"/>
      <c r="G3835" s="79"/>
      <c r="H3835" s="79"/>
    </row>
    <row r="3836" spans="1:8">
      <c r="A3836" s="79" t="str">
        <f>LeaveData[[#This Row],[ EMP ID]]&amp;LeaveData[[#This Row],[Date]]</f>
        <v/>
      </c>
      <c r="B3836" s="92"/>
      <c r="C3836" s="92"/>
      <c r="D3836" s="101"/>
      <c r="E3836" s="79"/>
      <c r="F3836" s="79"/>
      <c r="G3836" s="79"/>
      <c r="H3836" s="79"/>
    </row>
    <row r="3837" spans="1:8">
      <c r="A3837" s="79" t="str">
        <f>LeaveData[[#This Row],[ EMP ID]]&amp;LeaveData[[#This Row],[Date]]</f>
        <v/>
      </c>
      <c r="B3837" s="92"/>
      <c r="C3837" s="92"/>
      <c r="D3837" s="101"/>
      <c r="E3837" s="79"/>
      <c r="F3837" s="79"/>
      <c r="G3837" s="79"/>
      <c r="H3837" s="79"/>
    </row>
    <row r="3838" spans="1:8">
      <c r="A3838" s="79" t="str">
        <f>LeaveData[[#This Row],[ EMP ID]]&amp;LeaveData[[#This Row],[Date]]</f>
        <v/>
      </c>
      <c r="B3838" s="92"/>
      <c r="C3838" s="92"/>
      <c r="D3838" s="101"/>
      <c r="E3838" s="79"/>
      <c r="F3838" s="79"/>
      <c r="G3838" s="79"/>
      <c r="H3838" s="79"/>
    </row>
    <row r="3839" spans="1:8">
      <c r="A3839" s="79" t="str">
        <f>LeaveData[[#This Row],[ EMP ID]]&amp;LeaveData[[#This Row],[Date]]</f>
        <v/>
      </c>
      <c r="B3839" s="92"/>
      <c r="C3839" s="92"/>
      <c r="D3839" s="101"/>
      <c r="E3839" s="79"/>
      <c r="F3839" s="79"/>
      <c r="G3839" s="79"/>
      <c r="H3839" s="79"/>
    </row>
    <row r="3840" spans="1:8">
      <c r="A3840" s="79" t="str">
        <f>LeaveData[[#This Row],[ EMP ID]]&amp;LeaveData[[#This Row],[Date]]</f>
        <v/>
      </c>
      <c r="B3840" s="92"/>
      <c r="C3840" s="92"/>
      <c r="D3840" s="101"/>
      <c r="E3840" s="79"/>
      <c r="F3840" s="79"/>
      <c r="G3840" s="79"/>
      <c r="H3840" s="79"/>
    </row>
    <row r="3841" spans="1:8">
      <c r="A3841" s="79" t="str">
        <f>LeaveData[[#This Row],[ EMP ID]]&amp;LeaveData[[#This Row],[Date]]</f>
        <v/>
      </c>
      <c r="B3841" s="92"/>
      <c r="C3841" s="92"/>
      <c r="D3841" s="101"/>
      <c r="E3841" s="79"/>
      <c r="F3841" s="79"/>
      <c r="G3841" s="79"/>
      <c r="H3841" s="79"/>
    </row>
    <row r="3842" spans="1:8">
      <c r="A3842" s="79" t="str">
        <f>LeaveData[[#This Row],[ EMP ID]]&amp;LeaveData[[#This Row],[Date]]</f>
        <v/>
      </c>
      <c r="B3842" s="92"/>
      <c r="C3842" s="92"/>
      <c r="D3842" s="101"/>
      <c r="E3842" s="79"/>
      <c r="F3842" s="79"/>
      <c r="G3842" s="79"/>
      <c r="H3842" s="79"/>
    </row>
    <row r="3843" spans="1:8">
      <c r="A3843" s="79" t="str">
        <f>LeaveData[[#This Row],[ EMP ID]]&amp;LeaveData[[#This Row],[Date]]</f>
        <v/>
      </c>
      <c r="B3843" s="92"/>
      <c r="C3843" s="92"/>
      <c r="D3843" s="101"/>
      <c r="E3843" s="79"/>
      <c r="F3843" s="79"/>
      <c r="G3843" s="79"/>
      <c r="H3843" s="79"/>
    </row>
    <row r="3844" spans="1:8">
      <c r="A3844" s="79" t="str">
        <f>LeaveData[[#This Row],[ EMP ID]]&amp;LeaveData[[#This Row],[Date]]</f>
        <v/>
      </c>
      <c r="B3844" s="92"/>
      <c r="C3844" s="92"/>
      <c r="D3844" s="101"/>
      <c r="E3844" s="79"/>
      <c r="F3844" s="79"/>
      <c r="G3844" s="79"/>
      <c r="H3844" s="79"/>
    </row>
    <row r="3845" spans="1:8">
      <c r="A3845" s="79" t="str">
        <f>LeaveData[[#This Row],[ EMP ID]]&amp;LeaveData[[#This Row],[Date]]</f>
        <v/>
      </c>
      <c r="B3845" s="92"/>
      <c r="C3845" s="92"/>
      <c r="D3845" s="101"/>
      <c r="E3845" s="79"/>
      <c r="F3845" s="79"/>
      <c r="G3845" s="79"/>
      <c r="H3845" s="79"/>
    </row>
    <row r="3846" spans="1:8">
      <c r="A3846" s="79" t="str">
        <f>LeaveData[[#This Row],[ EMP ID]]&amp;LeaveData[[#This Row],[Date]]</f>
        <v/>
      </c>
      <c r="B3846" s="92"/>
      <c r="C3846" s="92"/>
      <c r="D3846" s="101"/>
      <c r="E3846" s="79"/>
      <c r="F3846" s="79"/>
      <c r="G3846" s="79"/>
      <c r="H3846" s="79"/>
    </row>
    <row r="3847" spans="1:8">
      <c r="A3847" s="79" t="str">
        <f>LeaveData[[#This Row],[ EMP ID]]&amp;LeaveData[[#This Row],[Date]]</f>
        <v/>
      </c>
      <c r="B3847" s="92"/>
      <c r="C3847" s="92"/>
      <c r="D3847" s="101"/>
      <c r="E3847" s="79"/>
      <c r="F3847" s="79"/>
      <c r="G3847" s="79"/>
      <c r="H3847" s="79"/>
    </row>
    <row r="3848" spans="1:8">
      <c r="A3848" s="79" t="str">
        <f>LeaveData[[#This Row],[ EMP ID]]&amp;LeaveData[[#This Row],[Date]]</f>
        <v/>
      </c>
      <c r="B3848" s="92"/>
      <c r="C3848" s="92"/>
      <c r="D3848" s="101"/>
      <c r="E3848" s="79"/>
      <c r="F3848" s="79"/>
      <c r="G3848" s="79"/>
      <c r="H3848" s="79"/>
    </row>
    <row r="3849" spans="1:8">
      <c r="A3849" s="79" t="str">
        <f>LeaveData[[#This Row],[ EMP ID]]&amp;LeaveData[[#This Row],[Date]]</f>
        <v/>
      </c>
      <c r="B3849" s="92"/>
      <c r="C3849" s="92"/>
      <c r="D3849" s="101"/>
      <c r="E3849" s="79"/>
      <c r="F3849" s="79"/>
      <c r="G3849" s="79"/>
      <c r="H3849" s="79"/>
    </row>
    <row r="3850" spans="1:8">
      <c r="A3850" s="79" t="str">
        <f>LeaveData[[#This Row],[ EMP ID]]&amp;LeaveData[[#This Row],[Date]]</f>
        <v/>
      </c>
      <c r="B3850" s="92"/>
      <c r="C3850" s="92"/>
      <c r="D3850" s="101"/>
      <c r="E3850" s="79"/>
      <c r="F3850" s="79"/>
      <c r="G3850" s="79"/>
      <c r="H3850" s="79"/>
    </row>
    <row r="3851" spans="1:8">
      <c r="A3851" s="79" t="str">
        <f>LeaveData[[#This Row],[ EMP ID]]&amp;LeaveData[[#This Row],[Date]]</f>
        <v/>
      </c>
      <c r="B3851" s="92"/>
      <c r="C3851" s="92"/>
      <c r="D3851" s="101"/>
      <c r="E3851" s="79"/>
      <c r="F3851" s="79"/>
      <c r="G3851" s="79"/>
      <c r="H3851" s="79"/>
    </row>
    <row r="3852" spans="1:8">
      <c r="A3852" s="79" t="str">
        <f>LeaveData[[#This Row],[ EMP ID]]&amp;LeaveData[[#This Row],[Date]]</f>
        <v/>
      </c>
      <c r="B3852" s="92"/>
      <c r="C3852" s="92"/>
      <c r="D3852" s="101"/>
      <c r="E3852" s="79"/>
      <c r="F3852" s="79"/>
      <c r="G3852" s="79"/>
      <c r="H3852" s="79"/>
    </row>
    <row r="3853" spans="1:8">
      <c r="A3853" s="79" t="str">
        <f>LeaveData[[#This Row],[ EMP ID]]&amp;LeaveData[[#This Row],[Date]]</f>
        <v/>
      </c>
      <c r="B3853" s="92"/>
      <c r="C3853" s="92"/>
      <c r="D3853" s="101"/>
      <c r="E3853" s="79"/>
      <c r="F3853" s="79"/>
      <c r="G3853" s="79"/>
      <c r="H3853" s="79"/>
    </row>
    <row r="3854" spans="1:8">
      <c r="A3854" s="79" t="str">
        <f>LeaveData[[#This Row],[ EMP ID]]&amp;LeaveData[[#This Row],[Date]]</f>
        <v/>
      </c>
      <c r="B3854" s="92"/>
      <c r="C3854" s="92"/>
      <c r="D3854" s="101"/>
      <c r="E3854" s="79"/>
      <c r="F3854" s="79"/>
      <c r="G3854" s="79"/>
      <c r="H3854" s="79"/>
    </row>
    <row r="3855" spans="1:8">
      <c r="A3855" s="79" t="str">
        <f>LeaveData[[#This Row],[ EMP ID]]&amp;LeaveData[[#This Row],[Date]]</f>
        <v/>
      </c>
      <c r="B3855" s="92"/>
      <c r="C3855" s="92"/>
      <c r="D3855" s="101"/>
      <c r="E3855" s="79"/>
      <c r="F3855" s="79"/>
      <c r="G3855" s="79"/>
      <c r="H3855" s="79"/>
    </row>
    <row r="3856" spans="1:8">
      <c r="A3856" s="79" t="str">
        <f>LeaveData[[#This Row],[ EMP ID]]&amp;LeaveData[[#This Row],[Date]]</f>
        <v/>
      </c>
      <c r="B3856" s="92"/>
      <c r="C3856" s="92"/>
      <c r="D3856" s="101"/>
      <c r="E3856" s="79"/>
      <c r="F3856" s="79"/>
      <c r="G3856" s="79"/>
      <c r="H3856" s="79"/>
    </row>
    <row r="3857" spans="1:8">
      <c r="A3857" s="79" t="str">
        <f>LeaveData[[#This Row],[ EMP ID]]&amp;LeaveData[[#This Row],[Date]]</f>
        <v/>
      </c>
      <c r="B3857" s="92"/>
      <c r="C3857" s="92"/>
      <c r="D3857" s="101"/>
      <c r="E3857" s="79"/>
      <c r="F3857" s="79"/>
      <c r="G3857" s="79"/>
      <c r="H3857" s="79"/>
    </row>
    <row r="3858" spans="1:8">
      <c r="A3858" s="79" t="str">
        <f>LeaveData[[#This Row],[ EMP ID]]&amp;LeaveData[[#This Row],[Date]]</f>
        <v/>
      </c>
      <c r="B3858" s="92"/>
      <c r="C3858" s="92"/>
      <c r="D3858" s="101"/>
      <c r="E3858" s="79"/>
      <c r="F3858" s="79"/>
      <c r="G3858" s="79"/>
      <c r="H3858" s="79"/>
    </row>
    <row r="3859" spans="1:8">
      <c r="A3859" s="79" t="str">
        <f>LeaveData[[#This Row],[ EMP ID]]&amp;LeaveData[[#This Row],[Date]]</f>
        <v/>
      </c>
      <c r="B3859" s="92"/>
      <c r="C3859" s="92"/>
      <c r="D3859" s="101"/>
      <c r="E3859" s="79"/>
      <c r="F3859" s="79"/>
      <c r="G3859" s="79"/>
      <c r="H3859" s="79"/>
    </row>
    <row r="3860" spans="1:8">
      <c r="A3860" s="79" t="str">
        <f>LeaveData[[#This Row],[ EMP ID]]&amp;LeaveData[[#This Row],[Date]]</f>
        <v/>
      </c>
      <c r="B3860" s="92"/>
      <c r="C3860" s="92"/>
      <c r="D3860" s="101"/>
      <c r="E3860" s="79"/>
      <c r="F3860" s="79"/>
      <c r="G3860" s="79"/>
      <c r="H3860" s="79"/>
    </row>
    <row r="3861" spans="1:8">
      <c r="A3861" s="79" t="str">
        <f>LeaveData[[#This Row],[ EMP ID]]&amp;LeaveData[[#This Row],[Date]]</f>
        <v/>
      </c>
      <c r="B3861" s="92"/>
      <c r="C3861" s="92"/>
      <c r="D3861" s="101"/>
      <c r="E3861" s="79"/>
      <c r="F3861" s="79"/>
      <c r="G3861" s="79"/>
      <c r="H3861" s="79"/>
    </row>
    <row r="3862" spans="1:8">
      <c r="A3862" s="79" t="str">
        <f>LeaveData[[#This Row],[ EMP ID]]&amp;LeaveData[[#This Row],[Date]]</f>
        <v/>
      </c>
      <c r="B3862" s="92"/>
      <c r="C3862" s="92"/>
      <c r="D3862" s="101"/>
      <c r="E3862" s="79"/>
      <c r="F3862" s="79"/>
      <c r="G3862" s="79"/>
      <c r="H3862" s="79"/>
    </row>
    <row r="3863" spans="1:8">
      <c r="A3863" s="79" t="str">
        <f>LeaveData[[#This Row],[ EMP ID]]&amp;LeaveData[[#This Row],[Date]]</f>
        <v/>
      </c>
      <c r="B3863" s="92"/>
      <c r="C3863" s="92"/>
      <c r="D3863" s="101"/>
      <c r="E3863" s="79"/>
      <c r="F3863" s="79"/>
      <c r="G3863" s="79"/>
      <c r="H3863" s="79"/>
    </row>
    <row r="3864" spans="1:8">
      <c r="A3864" s="79" t="str">
        <f>LeaveData[[#This Row],[ EMP ID]]&amp;LeaveData[[#This Row],[Date]]</f>
        <v/>
      </c>
      <c r="B3864" s="92"/>
      <c r="C3864" s="92"/>
      <c r="D3864" s="101"/>
      <c r="E3864" s="79"/>
      <c r="F3864" s="79"/>
      <c r="G3864" s="79"/>
      <c r="H3864" s="79"/>
    </row>
    <row r="3865" spans="1:8">
      <c r="A3865" s="79" t="str">
        <f>LeaveData[[#This Row],[ EMP ID]]&amp;LeaveData[[#This Row],[Date]]</f>
        <v/>
      </c>
      <c r="B3865" s="92"/>
      <c r="C3865" s="92"/>
      <c r="D3865" s="101"/>
      <c r="E3865" s="79"/>
      <c r="F3865" s="79"/>
      <c r="G3865" s="79"/>
      <c r="H3865" s="79"/>
    </row>
    <row r="3866" spans="1:8">
      <c r="A3866" s="79" t="str">
        <f>LeaveData[[#This Row],[ EMP ID]]&amp;LeaveData[[#This Row],[Date]]</f>
        <v/>
      </c>
      <c r="B3866" s="92"/>
      <c r="C3866" s="92"/>
      <c r="D3866" s="101"/>
      <c r="E3866" s="79"/>
      <c r="F3866" s="79"/>
      <c r="G3866" s="79"/>
      <c r="H3866" s="79"/>
    </row>
    <row r="3867" spans="1:8">
      <c r="A3867" s="79" t="str">
        <f>LeaveData[[#This Row],[ EMP ID]]&amp;LeaveData[[#This Row],[Date]]</f>
        <v/>
      </c>
      <c r="B3867" s="92"/>
      <c r="C3867" s="92"/>
      <c r="D3867" s="101"/>
      <c r="E3867" s="79"/>
      <c r="F3867" s="79"/>
      <c r="G3867" s="79"/>
      <c r="H3867" s="79"/>
    </row>
    <row r="3868" spans="1:8">
      <c r="A3868" s="79" t="str">
        <f>LeaveData[[#This Row],[ EMP ID]]&amp;LeaveData[[#This Row],[Date]]</f>
        <v/>
      </c>
      <c r="B3868" s="92"/>
      <c r="C3868" s="92"/>
      <c r="D3868" s="101"/>
      <c r="E3868" s="79"/>
      <c r="F3868" s="79"/>
      <c r="G3868" s="79"/>
      <c r="H3868" s="79"/>
    </row>
    <row r="3869" spans="1:8">
      <c r="A3869" s="79" t="str">
        <f>LeaveData[[#This Row],[ EMP ID]]&amp;LeaveData[[#This Row],[Date]]</f>
        <v/>
      </c>
      <c r="B3869" s="92"/>
      <c r="C3869" s="92"/>
      <c r="D3869" s="101"/>
      <c r="E3869" s="79"/>
      <c r="F3869" s="79"/>
      <c r="G3869" s="79"/>
      <c r="H3869" s="79"/>
    </row>
    <row r="3870" spans="1:8">
      <c r="A3870" s="79" t="str">
        <f>LeaveData[[#This Row],[ EMP ID]]&amp;LeaveData[[#This Row],[Date]]</f>
        <v/>
      </c>
      <c r="B3870" s="92"/>
      <c r="C3870" s="92"/>
      <c r="D3870" s="101"/>
      <c r="E3870" s="79"/>
      <c r="F3870" s="79"/>
      <c r="G3870" s="79"/>
      <c r="H3870" s="79"/>
    </row>
    <row r="3871" spans="1:8">
      <c r="A3871" s="79" t="str">
        <f>LeaveData[[#This Row],[ EMP ID]]&amp;LeaveData[[#This Row],[Date]]</f>
        <v/>
      </c>
      <c r="B3871" s="92"/>
      <c r="C3871" s="92"/>
      <c r="D3871" s="101"/>
      <c r="E3871" s="79"/>
      <c r="F3871" s="79"/>
      <c r="G3871" s="79"/>
      <c r="H3871" s="79"/>
    </row>
    <row r="3872" spans="1:8">
      <c r="A3872" s="79" t="str">
        <f>LeaveData[[#This Row],[ EMP ID]]&amp;LeaveData[[#This Row],[Date]]</f>
        <v/>
      </c>
      <c r="B3872" s="92"/>
      <c r="C3872" s="92"/>
      <c r="D3872" s="101"/>
      <c r="E3872" s="79"/>
      <c r="F3872" s="79"/>
      <c r="G3872" s="79"/>
      <c r="H3872" s="79"/>
    </row>
    <row r="3873" spans="1:8">
      <c r="A3873" s="79" t="str">
        <f>LeaveData[[#This Row],[ EMP ID]]&amp;LeaveData[[#This Row],[Date]]</f>
        <v/>
      </c>
      <c r="B3873" s="92"/>
      <c r="C3873" s="92"/>
      <c r="D3873" s="101"/>
      <c r="E3873" s="79"/>
      <c r="F3873" s="79"/>
      <c r="G3873" s="79"/>
      <c r="H3873" s="79"/>
    </row>
    <row r="3874" spans="1:8">
      <c r="A3874" s="79" t="str">
        <f>LeaveData[[#This Row],[ EMP ID]]&amp;LeaveData[[#This Row],[Date]]</f>
        <v/>
      </c>
      <c r="B3874" s="92"/>
      <c r="C3874" s="92"/>
      <c r="D3874" s="101"/>
      <c r="E3874" s="79"/>
      <c r="F3874" s="79"/>
      <c r="G3874" s="79"/>
      <c r="H3874" s="79"/>
    </row>
    <row r="3875" spans="1:8">
      <c r="A3875" s="79" t="str">
        <f>LeaveData[[#This Row],[ EMP ID]]&amp;LeaveData[[#This Row],[Date]]</f>
        <v/>
      </c>
      <c r="B3875" s="92"/>
      <c r="C3875" s="92"/>
      <c r="D3875" s="101"/>
      <c r="E3875" s="79"/>
      <c r="F3875" s="79"/>
      <c r="G3875" s="79"/>
      <c r="H3875" s="79"/>
    </row>
    <row r="3876" spans="1:8">
      <c r="A3876" s="79" t="str">
        <f>LeaveData[[#This Row],[ EMP ID]]&amp;LeaveData[[#This Row],[Date]]</f>
        <v/>
      </c>
      <c r="B3876" s="92"/>
      <c r="C3876" s="92"/>
      <c r="D3876" s="101"/>
      <c r="E3876" s="79"/>
      <c r="F3876" s="79"/>
      <c r="G3876" s="79"/>
      <c r="H3876" s="79"/>
    </row>
    <row r="3877" spans="1:8">
      <c r="A3877" s="79" t="str">
        <f>LeaveData[[#This Row],[ EMP ID]]&amp;LeaveData[[#This Row],[Date]]</f>
        <v/>
      </c>
      <c r="B3877" s="92"/>
      <c r="C3877" s="92"/>
      <c r="D3877" s="101"/>
      <c r="E3877" s="79"/>
      <c r="F3877" s="79"/>
      <c r="G3877" s="79"/>
      <c r="H3877" s="79"/>
    </row>
    <row r="3878" spans="1:8">
      <c r="A3878" s="79" t="str">
        <f>LeaveData[[#This Row],[ EMP ID]]&amp;LeaveData[[#This Row],[Date]]</f>
        <v/>
      </c>
      <c r="B3878" s="92"/>
      <c r="C3878" s="92"/>
      <c r="D3878" s="101"/>
      <c r="E3878" s="79"/>
      <c r="F3878" s="79"/>
      <c r="G3878" s="79"/>
      <c r="H3878" s="79"/>
    </row>
    <row r="3879" spans="1:8">
      <c r="A3879" s="79" t="str">
        <f>LeaveData[[#This Row],[ EMP ID]]&amp;LeaveData[[#This Row],[Date]]</f>
        <v/>
      </c>
      <c r="B3879" s="92"/>
      <c r="C3879" s="92"/>
      <c r="D3879" s="101"/>
      <c r="E3879" s="79"/>
      <c r="F3879" s="79"/>
      <c r="G3879" s="79"/>
      <c r="H3879" s="79"/>
    </row>
    <row r="3880" spans="1:8">
      <c r="A3880" s="79" t="str">
        <f>LeaveData[[#This Row],[ EMP ID]]&amp;LeaveData[[#This Row],[Date]]</f>
        <v/>
      </c>
      <c r="B3880" s="92"/>
      <c r="C3880" s="92"/>
      <c r="D3880" s="101"/>
      <c r="E3880" s="79"/>
      <c r="F3880" s="79"/>
      <c r="G3880" s="79"/>
      <c r="H3880" s="79"/>
    </row>
    <row r="3881" spans="1:8">
      <c r="A3881" s="79" t="str">
        <f>LeaveData[[#This Row],[ EMP ID]]&amp;LeaveData[[#This Row],[Date]]</f>
        <v/>
      </c>
      <c r="B3881" s="92"/>
      <c r="C3881" s="92"/>
      <c r="D3881" s="101"/>
      <c r="E3881" s="79"/>
      <c r="F3881" s="79"/>
      <c r="G3881" s="79"/>
      <c r="H3881" s="79"/>
    </row>
    <row r="3882" spans="1:8">
      <c r="A3882" s="79" t="str">
        <f>LeaveData[[#This Row],[ EMP ID]]&amp;LeaveData[[#This Row],[Date]]</f>
        <v/>
      </c>
      <c r="B3882" s="92"/>
      <c r="C3882" s="92"/>
      <c r="D3882" s="101"/>
      <c r="E3882" s="79"/>
      <c r="F3882" s="79"/>
      <c r="G3882" s="79"/>
      <c r="H3882" s="79"/>
    </row>
    <row r="3883" spans="1:8">
      <c r="A3883" s="79" t="str">
        <f>LeaveData[[#This Row],[ EMP ID]]&amp;LeaveData[[#This Row],[Date]]</f>
        <v/>
      </c>
      <c r="B3883" s="92"/>
      <c r="C3883" s="92"/>
      <c r="D3883" s="101"/>
      <c r="E3883" s="79"/>
      <c r="F3883" s="79"/>
      <c r="G3883" s="79"/>
      <c r="H3883" s="79"/>
    </row>
    <row r="3884" spans="1:8">
      <c r="A3884" s="79" t="str">
        <f>LeaveData[[#This Row],[ EMP ID]]&amp;LeaveData[[#This Row],[Date]]</f>
        <v/>
      </c>
      <c r="B3884" s="92"/>
      <c r="C3884" s="92"/>
      <c r="D3884" s="101"/>
      <c r="E3884" s="79"/>
      <c r="F3884" s="79"/>
      <c r="G3884" s="79"/>
      <c r="H3884" s="79"/>
    </row>
    <row r="3885" spans="1:8">
      <c r="A3885" s="79" t="str">
        <f>LeaveData[[#This Row],[ EMP ID]]&amp;LeaveData[[#This Row],[Date]]</f>
        <v/>
      </c>
      <c r="B3885" s="92"/>
      <c r="C3885" s="92"/>
      <c r="D3885" s="101"/>
      <c r="E3885" s="79"/>
      <c r="F3885" s="79"/>
      <c r="G3885" s="79"/>
      <c r="H3885" s="79"/>
    </row>
    <row r="3886" spans="1:8">
      <c r="A3886" s="79" t="str">
        <f>LeaveData[[#This Row],[ EMP ID]]&amp;LeaveData[[#This Row],[Date]]</f>
        <v/>
      </c>
      <c r="B3886" s="92"/>
      <c r="C3886" s="92"/>
      <c r="D3886" s="101"/>
      <c r="E3886" s="79"/>
      <c r="F3886" s="79"/>
      <c r="G3886" s="79"/>
      <c r="H3886" s="79"/>
    </row>
    <row r="3887" spans="1:8">
      <c r="A3887" s="79" t="str">
        <f>LeaveData[[#This Row],[ EMP ID]]&amp;LeaveData[[#This Row],[Date]]</f>
        <v/>
      </c>
      <c r="B3887" s="92"/>
      <c r="C3887" s="92"/>
      <c r="D3887" s="101"/>
      <c r="E3887" s="79"/>
      <c r="F3887" s="79"/>
      <c r="G3887" s="79"/>
      <c r="H3887" s="79"/>
    </row>
    <row r="3888" spans="1:8">
      <c r="A3888" s="79" t="str">
        <f>LeaveData[[#This Row],[ EMP ID]]&amp;LeaveData[[#This Row],[Date]]</f>
        <v/>
      </c>
      <c r="B3888" s="92"/>
      <c r="C3888" s="92"/>
      <c r="D3888" s="101"/>
      <c r="E3888" s="79"/>
      <c r="F3888" s="79"/>
      <c r="G3888" s="79"/>
      <c r="H3888" s="79"/>
    </row>
    <row r="3889" spans="1:8">
      <c r="A3889" s="79" t="str">
        <f>LeaveData[[#This Row],[ EMP ID]]&amp;LeaveData[[#This Row],[Date]]</f>
        <v/>
      </c>
      <c r="B3889" s="92"/>
      <c r="C3889" s="92"/>
      <c r="D3889" s="101"/>
      <c r="E3889" s="79"/>
      <c r="F3889" s="79"/>
      <c r="G3889" s="79"/>
      <c r="H3889" s="79"/>
    </row>
    <row r="3890" spans="1:8">
      <c r="A3890" s="79" t="str">
        <f>LeaveData[[#This Row],[ EMP ID]]&amp;LeaveData[[#This Row],[Date]]</f>
        <v/>
      </c>
      <c r="B3890" s="92"/>
      <c r="C3890" s="92"/>
      <c r="D3890" s="101"/>
      <c r="E3890" s="79"/>
      <c r="F3890" s="79"/>
      <c r="G3890" s="79"/>
      <c r="H3890" s="79"/>
    </row>
    <row r="3891" spans="1:8">
      <c r="A3891" s="79" t="str">
        <f>LeaveData[[#This Row],[ EMP ID]]&amp;LeaveData[[#This Row],[Date]]</f>
        <v/>
      </c>
      <c r="B3891" s="92"/>
      <c r="C3891" s="92"/>
      <c r="D3891" s="101"/>
      <c r="E3891" s="79"/>
      <c r="F3891" s="79"/>
      <c r="G3891" s="79"/>
      <c r="H3891" s="79"/>
    </row>
    <row r="3892" spans="1:8">
      <c r="A3892" s="79" t="str">
        <f>LeaveData[[#This Row],[ EMP ID]]&amp;LeaveData[[#This Row],[Date]]</f>
        <v/>
      </c>
      <c r="B3892" s="92"/>
      <c r="C3892" s="92"/>
      <c r="D3892" s="101"/>
      <c r="E3892" s="79"/>
      <c r="F3892" s="79"/>
      <c r="G3892" s="79"/>
      <c r="H3892" s="79"/>
    </row>
    <row r="3893" spans="1:8">
      <c r="A3893" s="79" t="str">
        <f>LeaveData[[#This Row],[ EMP ID]]&amp;LeaveData[[#This Row],[Date]]</f>
        <v/>
      </c>
      <c r="B3893" s="92"/>
      <c r="C3893" s="92"/>
      <c r="D3893" s="101"/>
      <c r="E3893" s="79"/>
      <c r="F3893" s="79"/>
      <c r="G3893" s="79"/>
      <c r="H3893" s="79"/>
    </row>
    <row r="3894" spans="1:8">
      <c r="A3894" s="79" t="str">
        <f>LeaveData[[#This Row],[ EMP ID]]&amp;LeaveData[[#This Row],[Date]]</f>
        <v/>
      </c>
      <c r="B3894" s="92"/>
      <c r="C3894" s="92"/>
      <c r="D3894" s="101"/>
      <c r="E3894" s="79"/>
      <c r="F3894" s="79"/>
      <c r="G3894" s="79"/>
      <c r="H3894" s="79"/>
    </row>
    <row r="3895" spans="1:8">
      <c r="A3895" s="79" t="str">
        <f>LeaveData[[#This Row],[ EMP ID]]&amp;LeaveData[[#This Row],[Date]]</f>
        <v/>
      </c>
      <c r="B3895" s="92"/>
      <c r="C3895" s="92"/>
      <c r="D3895" s="101"/>
      <c r="E3895" s="79"/>
      <c r="F3895" s="79"/>
      <c r="G3895" s="79"/>
      <c r="H3895" s="79"/>
    </row>
    <row r="3896" spans="1:8">
      <c r="A3896" s="79" t="str">
        <f>LeaveData[[#This Row],[ EMP ID]]&amp;LeaveData[[#This Row],[Date]]</f>
        <v/>
      </c>
      <c r="B3896" s="92"/>
      <c r="C3896" s="92"/>
      <c r="D3896" s="101"/>
      <c r="E3896" s="79"/>
      <c r="F3896" s="79"/>
      <c r="G3896" s="79"/>
      <c r="H3896" s="79"/>
    </row>
    <row r="3897" spans="1:8">
      <c r="A3897" s="79" t="str">
        <f>LeaveData[[#This Row],[ EMP ID]]&amp;LeaveData[[#This Row],[Date]]</f>
        <v/>
      </c>
      <c r="B3897" s="92"/>
      <c r="C3897" s="92"/>
      <c r="D3897" s="101"/>
      <c r="E3897" s="79"/>
      <c r="F3897" s="79"/>
      <c r="G3897" s="79"/>
      <c r="H3897" s="79"/>
    </row>
    <row r="3898" spans="1:8">
      <c r="A3898" s="79" t="str">
        <f>LeaveData[[#This Row],[ EMP ID]]&amp;LeaveData[[#This Row],[Date]]</f>
        <v/>
      </c>
      <c r="B3898" s="92"/>
      <c r="C3898" s="92"/>
      <c r="D3898" s="101"/>
      <c r="E3898" s="79"/>
      <c r="F3898" s="79"/>
      <c r="G3898" s="79"/>
      <c r="H3898" s="79"/>
    </row>
    <row r="3899" spans="1:8">
      <c r="A3899" s="79" t="str">
        <f>LeaveData[[#This Row],[ EMP ID]]&amp;LeaveData[[#This Row],[Date]]</f>
        <v/>
      </c>
      <c r="B3899" s="92"/>
      <c r="C3899" s="92"/>
      <c r="D3899" s="101"/>
      <c r="E3899" s="79"/>
      <c r="F3899" s="79"/>
      <c r="G3899" s="79"/>
      <c r="H3899" s="79"/>
    </row>
    <row r="3900" spans="1:8">
      <c r="A3900" s="79" t="str">
        <f>LeaveData[[#This Row],[ EMP ID]]&amp;LeaveData[[#This Row],[Date]]</f>
        <v/>
      </c>
      <c r="B3900" s="92"/>
      <c r="C3900" s="92"/>
      <c r="D3900" s="101"/>
      <c r="E3900" s="79"/>
      <c r="F3900" s="79"/>
      <c r="G3900" s="79"/>
      <c r="H3900" s="79"/>
    </row>
    <row r="3901" spans="1:8">
      <c r="A3901" s="79" t="str">
        <f>LeaveData[[#This Row],[ EMP ID]]&amp;LeaveData[[#This Row],[Date]]</f>
        <v/>
      </c>
      <c r="B3901" s="92"/>
      <c r="C3901" s="92"/>
      <c r="D3901" s="101"/>
      <c r="E3901" s="79"/>
      <c r="F3901" s="79"/>
      <c r="G3901" s="79"/>
      <c r="H3901" s="79"/>
    </row>
    <row r="3902" spans="1:8">
      <c r="A3902" s="79" t="str">
        <f>LeaveData[[#This Row],[ EMP ID]]&amp;LeaveData[[#This Row],[Date]]</f>
        <v/>
      </c>
      <c r="B3902" s="92"/>
      <c r="C3902" s="92"/>
      <c r="D3902" s="101"/>
      <c r="E3902" s="79"/>
      <c r="F3902" s="79"/>
      <c r="G3902" s="79"/>
      <c r="H3902" s="79"/>
    </row>
    <row r="3903" spans="1:8">
      <c r="A3903" s="79" t="str">
        <f>LeaveData[[#This Row],[ EMP ID]]&amp;LeaveData[[#This Row],[Date]]</f>
        <v/>
      </c>
      <c r="B3903" s="92"/>
      <c r="C3903" s="92"/>
      <c r="D3903" s="101"/>
      <c r="E3903" s="79"/>
      <c r="F3903" s="79"/>
      <c r="G3903" s="79"/>
      <c r="H3903" s="79"/>
    </row>
    <row r="3904" spans="1:8">
      <c r="A3904" s="79" t="str">
        <f>LeaveData[[#This Row],[ EMP ID]]&amp;LeaveData[[#This Row],[Date]]</f>
        <v/>
      </c>
      <c r="B3904" s="92"/>
      <c r="C3904" s="92"/>
      <c r="D3904" s="101"/>
      <c r="E3904" s="79"/>
      <c r="F3904" s="79"/>
      <c r="G3904" s="79"/>
      <c r="H3904" s="79"/>
    </row>
    <row r="3905" spans="1:8">
      <c r="A3905" s="79" t="str">
        <f>LeaveData[[#This Row],[ EMP ID]]&amp;LeaveData[[#This Row],[Date]]</f>
        <v/>
      </c>
      <c r="B3905" s="92"/>
      <c r="C3905" s="92"/>
      <c r="D3905" s="101"/>
      <c r="E3905" s="79"/>
      <c r="F3905" s="79"/>
      <c r="G3905" s="79"/>
      <c r="H3905" s="79"/>
    </row>
    <row r="3906" spans="1:8">
      <c r="A3906" s="79" t="str">
        <f>LeaveData[[#This Row],[ EMP ID]]&amp;LeaveData[[#This Row],[Date]]</f>
        <v/>
      </c>
      <c r="B3906" s="92"/>
      <c r="C3906" s="92"/>
      <c r="D3906" s="101"/>
      <c r="E3906" s="79"/>
      <c r="F3906" s="79"/>
      <c r="G3906" s="79"/>
      <c r="H3906" s="79"/>
    </row>
    <row r="3907" spans="1:8">
      <c r="A3907" s="79" t="str">
        <f>LeaveData[[#This Row],[ EMP ID]]&amp;LeaveData[[#This Row],[Date]]</f>
        <v/>
      </c>
      <c r="B3907" s="92"/>
      <c r="C3907" s="92"/>
      <c r="D3907" s="101"/>
      <c r="E3907" s="79"/>
      <c r="F3907" s="79"/>
      <c r="G3907" s="79"/>
      <c r="H3907" s="79"/>
    </row>
    <row r="3908" spans="1:8">
      <c r="A3908" s="79" t="str">
        <f>LeaveData[[#This Row],[ EMP ID]]&amp;LeaveData[[#This Row],[Date]]</f>
        <v/>
      </c>
      <c r="B3908" s="92"/>
      <c r="C3908" s="92"/>
      <c r="D3908" s="101"/>
      <c r="E3908" s="79"/>
      <c r="F3908" s="79"/>
      <c r="G3908" s="79"/>
      <c r="H3908" s="79"/>
    </row>
    <row r="3909" spans="1:8">
      <c r="A3909" s="79" t="str">
        <f>LeaveData[[#This Row],[ EMP ID]]&amp;LeaveData[[#This Row],[Date]]</f>
        <v/>
      </c>
      <c r="B3909" s="92"/>
      <c r="C3909" s="92"/>
      <c r="D3909" s="101"/>
      <c r="E3909" s="79"/>
      <c r="F3909" s="79"/>
      <c r="G3909" s="79"/>
      <c r="H3909" s="79"/>
    </row>
    <row r="3910" spans="1:8">
      <c r="A3910" s="79" t="str">
        <f>LeaveData[[#This Row],[ EMP ID]]&amp;LeaveData[[#This Row],[Date]]</f>
        <v/>
      </c>
      <c r="B3910" s="92"/>
      <c r="C3910" s="92"/>
      <c r="D3910" s="101"/>
      <c r="E3910" s="79"/>
      <c r="F3910" s="79"/>
      <c r="G3910" s="79"/>
      <c r="H3910" s="79"/>
    </row>
    <row r="3911" spans="1:8">
      <c r="A3911" s="79" t="str">
        <f>LeaveData[[#This Row],[ EMP ID]]&amp;LeaveData[[#This Row],[Date]]</f>
        <v/>
      </c>
      <c r="B3911" s="92"/>
      <c r="C3911" s="92"/>
      <c r="D3911" s="101"/>
      <c r="E3911" s="79"/>
      <c r="F3911" s="79"/>
      <c r="G3911" s="79"/>
      <c r="H3911" s="79"/>
    </row>
    <row r="3912" spans="1:8">
      <c r="A3912" s="79" t="str">
        <f>LeaveData[[#This Row],[ EMP ID]]&amp;LeaveData[[#This Row],[Date]]</f>
        <v/>
      </c>
      <c r="B3912" s="92"/>
      <c r="C3912" s="92"/>
      <c r="D3912" s="101"/>
      <c r="E3912" s="79"/>
      <c r="F3912" s="79"/>
      <c r="G3912" s="79"/>
      <c r="H3912" s="79"/>
    </row>
    <row r="3913" spans="1:8">
      <c r="A3913" s="79" t="str">
        <f>LeaveData[[#This Row],[ EMP ID]]&amp;LeaveData[[#This Row],[Date]]</f>
        <v/>
      </c>
      <c r="B3913" s="92"/>
      <c r="C3913" s="92"/>
      <c r="D3913" s="101"/>
      <c r="E3913" s="79"/>
      <c r="F3913" s="79"/>
      <c r="G3913" s="79"/>
      <c r="H3913" s="79"/>
    </row>
    <row r="3914" spans="1:8">
      <c r="A3914" s="79" t="str">
        <f>LeaveData[[#This Row],[ EMP ID]]&amp;LeaveData[[#This Row],[Date]]</f>
        <v/>
      </c>
      <c r="B3914" s="92"/>
      <c r="C3914" s="92"/>
      <c r="D3914" s="101"/>
      <c r="E3914" s="79"/>
      <c r="F3914" s="79"/>
      <c r="G3914" s="79"/>
      <c r="H3914" s="79"/>
    </row>
    <row r="3915" spans="1:8">
      <c r="A3915" s="79" t="str">
        <f>LeaveData[[#This Row],[ EMP ID]]&amp;LeaveData[[#This Row],[Date]]</f>
        <v/>
      </c>
      <c r="B3915" s="92"/>
      <c r="C3915" s="92"/>
      <c r="D3915" s="101"/>
      <c r="E3915" s="79"/>
      <c r="F3915" s="79"/>
      <c r="G3915" s="79"/>
      <c r="H3915" s="79"/>
    </row>
    <row r="3916" spans="1:8">
      <c r="A3916" s="79" t="str">
        <f>LeaveData[[#This Row],[ EMP ID]]&amp;LeaveData[[#This Row],[Date]]</f>
        <v/>
      </c>
      <c r="B3916" s="92"/>
      <c r="C3916" s="92"/>
      <c r="D3916" s="101"/>
      <c r="E3916" s="79"/>
      <c r="F3916" s="79"/>
      <c r="G3916" s="79"/>
      <c r="H3916" s="79"/>
    </row>
    <row r="3917" spans="1:8">
      <c r="A3917" s="79" t="str">
        <f>LeaveData[[#This Row],[ EMP ID]]&amp;LeaveData[[#This Row],[Date]]</f>
        <v/>
      </c>
      <c r="B3917" s="92"/>
      <c r="C3917" s="92"/>
      <c r="D3917" s="101"/>
      <c r="E3917" s="79"/>
      <c r="F3917" s="79"/>
      <c r="G3917" s="79"/>
      <c r="H3917" s="79"/>
    </row>
    <row r="3918" spans="1:8">
      <c r="A3918" s="79" t="str">
        <f>LeaveData[[#This Row],[ EMP ID]]&amp;LeaveData[[#This Row],[Date]]</f>
        <v/>
      </c>
      <c r="B3918" s="92"/>
      <c r="C3918" s="92"/>
      <c r="D3918" s="101"/>
      <c r="E3918" s="79"/>
      <c r="F3918" s="79"/>
      <c r="G3918" s="79"/>
      <c r="H3918" s="79"/>
    </row>
    <row r="3919" spans="1:8">
      <c r="A3919" s="79" t="str">
        <f>LeaveData[[#This Row],[ EMP ID]]&amp;LeaveData[[#This Row],[Date]]</f>
        <v/>
      </c>
      <c r="B3919" s="92"/>
      <c r="C3919" s="92"/>
      <c r="D3919" s="101"/>
      <c r="E3919" s="79"/>
      <c r="F3919" s="79"/>
      <c r="G3919" s="79"/>
      <c r="H3919" s="79"/>
    </row>
    <row r="3920" spans="1:8">
      <c r="A3920" s="79" t="str">
        <f>LeaveData[[#This Row],[ EMP ID]]&amp;LeaveData[[#This Row],[Date]]</f>
        <v/>
      </c>
      <c r="B3920" s="92"/>
      <c r="C3920" s="92"/>
      <c r="D3920" s="101"/>
      <c r="E3920" s="79"/>
      <c r="F3920" s="79"/>
      <c r="G3920" s="79"/>
      <c r="H3920" s="79"/>
    </row>
    <row r="3921" spans="1:8">
      <c r="A3921" s="79" t="str">
        <f>LeaveData[[#This Row],[ EMP ID]]&amp;LeaveData[[#This Row],[Date]]</f>
        <v/>
      </c>
      <c r="B3921" s="92"/>
      <c r="C3921" s="92"/>
      <c r="D3921" s="101"/>
      <c r="E3921" s="79"/>
      <c r="F3921" s="79"/>
      <c r="G3921" s="79"/>
      <c r="H3921" s="79"/>
    </row>
    <row r="3922" spans="1:8">
      <c r="A3922" s="79" t="str">
        <f>LeaveData[[#This Row],[ EMP ID]]&amp;LeaveData[[#This Row],[Date]]</f>
        <v/>
      </c>
      <c r="B3922" s="92"/>
      <c r="C3922" s="92"/>
      <c r="D3922" s="101"/>
      <c r="E3922" s="79"/>
      <c r="F3922" s="79"/>
      <c r="G3922" s="79"/>
      <c r="H3922" s="79"/>
    </row>
    <row r="3923" spans="1:8">
      <c r="A3923" s="79" t="str">
        <f>LeaveData[[#This Row],[ EMP ID]]&amp;LeaveData[[#This Row],[Date]]</f>
        <v/>
      </c>
      <c r="B3923" s="92"/>
      <c r="C3923" s="92"/>
      <c r="D3923" s="101"/>
      <c r="E3923" s="79"/>
      <c r="F3923" s="79"/>
      <c r="G3923" s="79"/>
      <c r="H3923" s="79"/>
    </row>
    <row r="3924" spans="1:8">
      <c r="A3924" s="79" t="str">
        <f>LeaveData[[#This Row],[ EMP ID]]&amp;LeaveData[[#This Row],[Date]]</f>
        <v/>
      </c>
      <c r="B3924" s="92"/>
      <c r="C3924" s="92"/>
      <c r="D3924" s="101"/>
      <c r="E3924" s="79"/>
      <c r="F3924" s="79"/>
      <c r="G3924" s="79"/>
      <c r="H3924" s="79"/>
    </row>
    <row r="3925" spans="1:8">
      <c r="A3925" s="79" t="str">
        <f>LeaveData[[#This Row],[ EMP ID]]&amp;LeaveData[[#This Row],[Date]]</f>
        <v/>
      </c>
      <c r="B3925" s="92"/>
      <c r="C3925" s="92"/>
      <c r="D3925" s="101"/>
      <c r="E3925" s="79"/>
      <c r="F3925" s="79"/>
      <c r="G3925" s="79"/>
      <c r="H3925" s="79"/>
    </row>
    <row r="3926" spans="1:8">
      <c r="A3926" s="79" t="str">
        <f>LeaveData[[#This Row],[ EMP ID]]&amp;LeaveData[[#This Row],[Date]]</f>
        <v/>
      </c>
      <c r="B3926" s="92"/>
      <c r="C3926" s="92"/>
      <c r="D3926" s="101"/>
      <c r="E3926" s="79"/>
      <c r="F3926" s="79"/>
      <c r="G3926" s="79"/>
      <c r="H3926" s="79"/>
    </row>
    <row r="3927" spans="1:8">
      <c r="A3927" s="79" t="str">
        <f>LeaveData[[#This Row],[ EMP ID]]&amp;LeaveData[[#This Row],[Date]]</f>
        <v/>
      </c>
      <c r="B3927" s="92"/>
      <c r="C3927" s="92"/>
      <c r="D3927" s="101"/>
      <c r="E3927" s="79"/>
      <c r="F3927" s="79"/>
      <c r="G3927" s="79"/>
      <c r="H3927" s="79"/>
    </row>
    <row r="3928" spans="1:8">
      <c r="A3928" s="79" t="str">
        <f>LeaveData[[#This Row],[ EMP ID]]&amp;LeaveData[[#This Row],[Date]]</f>
        <v/>
      </c>
      <c r="B3928" s="92"/>
      <c r="C3928" s="92"/>
      <c r="D3928" s="101"/>
      <c r="E3928" s="79"/>
      <c r="F3928" s="79"/>
      <c r="G3928" s="79"/>
      <c r="H3928" s="79"/>
    </row>
    <row r="3929" spans="1:8">
      <c r="A3929" s="79" t="str">
        <f>LeaveData[[#This Row],[ EMP ID]]&amp;LeaveData[[#This Row],[Date]]</f>
        <v/>
      </c>
      <c r="B3929" s="92"/>
      <c r="C3929" s="92"/>
      <c r="D3929" s="101"/>
      <c r="E3929" s="79"/>
      <c r="F3929" s="79"/>
      <c r="G3929" s="79"/>
      <c r="H3929" s="79"/>
    </row>
    <row r="3930" spans="1:8">
      <c r="A3930" s="79" t="str">
        <f>LeaveData[[#This Row],[ EMP ID]]&amp;LeaveData[[#This Row],[Date]]</f>
        <v/>
      </c>
      <c r="B3930" s="92"/>
      <c r="C3930" s="92"/>
      <c r="D3930" s="101"/>
      <c r="E3930" s="79"/>
      <c r="F3930" s="79"/>
      <c r="G3930" s="79"/>
      <c r="H3930" s="79"/>
    </row>
    <row r="3931" spans="1:8">
      <c r="A3931" s="79" t="str">
        <f>LeaveData[[#This Row],[ EMP ID]]&amp;LeaveData[[#This Row],[Date]]</f>
        <v/>
      </c>
      <c r="B3931" s="92"/>
      <c r="C3931" s="92"/>
      <c r="D3931" s="101"/>
      <c r="E3931" s="79"/>
      <c r="F3931" s="79"/>
      <c r="G3931" s="79"/>
      <c r="H3931" s="79"/>
    </row>
    <row r="3932" spans="1:8">
      <c r="A3932" s="79" t="str">
        <f>LeaveData[[#This Row],[ EMP ID]]&amp;LeaveData[[#This Row],[Date]]</f>
        <v/>
      </c>
      <c r="B3932" s="92"/>
      <c r="C3932" s="92"/>
      <c r="D3932" s="101"/>
      <c r="E3932" s="79"/>
      <c r="F3932" s="79"/>
      <c r="G3932" s="79"/>
      <c r="H3932" s="79"/>
    </row>
    <row r="3933" spans="1:8">
      <c r="A3933" s="79" t="str">
        <f>LeaveData[[#This Row],[ EMP ID]]&amp;LeaveData[[#This Row],[Date]]</f>
        <v/>
      </c>
      <c r="B3933" s="92"/>
      <c r="C3933" s="92"/>
      <c r="D3933" s="101"/>
      <c r="E3933" s="79"/>
      <c r="F3933" s="79"/>
      <c r="G3933" s="79"/>
      <c r="H3933" s="79"/>
    </row>
    <row r="3934" spans="1:8">
      <c r="A3934" s="79" t="str">
        <f>LeaveData[[#This Row],[ EMP ID]]&amp;LeaveData[[#This Row],[Date]]</f>
        <v/>
      </c>
      <c r="B3934" s="92"/>
      <c r="C3934" s="92"/>
      <c r="D3934" s="101"/>
      <c r="E3934" s="79"/>
      <c r="F3934" s="79"/>
      <c r="G3934" s="79"/>
      <c r="H3934" s="79"/>
    </row>
    <row r="3935" spans="1:8">
      <c r="A3935" s="79" t="str">
        <f>LeaveData[[#This Row],[ EMP ID]]&amp;LeaveData[[#This Row],[Date]]</f>
        <v/>
      </c>
      <c r="B3935" s="92"/>
      <c r="C3935" s="92"/>
      <c r="D3935" s="101"/>
      <c r="E3935" s="79"/>
      <c r="F3935" s="79"/>
      <c r="G3935" s="79"/>
      <c r="H3935" s="79"/>
    </row>
    <row r="3936" spans="1:8">
      <c r="A3936" s="79" t="str">
        <f>LeaveData[[#This Row],[ EMP ID]]&amp;LeaveData[[#This Row],[Date]]</f>
        <v/>
      </c>
      <c r="B3936" s="92"/>
      <c r="C3936" s="92"/>
      <c r="D3936" s="101"/>
      <c r="E3936" s="79"/>
      <c r="F3936" s="79"/>
      <c r="G3936" s="79"/>
      <c r="H3936" s="79"/>
    </row>
    <row r="3937" spans="1:8">
      <c r="A3937" s="79" t="str">
        <f>LeaveData[[#This Row],[ EMP ID]]&amp;LeaveData[[#This Row],[Date]]</f>
        <v/>
      </c>
      <c r="B3937" s="92"/>
      <c r="C3937" s="92"/>
      <c r="D3937" s="101"/>
      <c r="E3937" s="79"/>
      <c r="F3937" s="79"/>
      <c r="G3937" s="79"/>
      <c r="H3937" s="79"/>
    </row>
    <row r="3938" spans="1:8">
      <c r="A3938" s="79" t="str">
        <f>LeaveData[[#This Row],[ EMP ID]]&amp;LeaveData[[#This Row],[Date]]</f>
        <v/>
      </c>
      <c r="B3938" s="92"/>
      <c r="C3938" s="92"/>
      <c r="D3938" s="101"/>
      <c r="E3938" s="79"/>
      <c r="F3938" s="79"/>
      <c r="G3938" s="79"/>
      <c r="H3938" s="79"/>
    </row>
    <row r="3939" spans="1:8">
      <c r="A3939" s="79" t="str">
        <f>LeaveData[[#This Row],[ EMP ID]]&amp;LeaveData[[#This Row],[Date]]</f>
        <v/>
      </c>
      <c r="B3939" s="92"/>
      <c r="C3939" s="92"/>
      <c r="D3939" s="101"/>
      <c r="E3939" s="79"/>
      <c r="F3939" s="79"/>
      <c r="G3939" s="79"/>
      <c r="H3939" s="79"/>
    </row>
    <row r="3940" spans="1:8">
      <c r="A3940" s="79" t="str">
        <f>LeaveData[[#This Row],[ EMP ID]]&amp;LeaveData[[#This Row],[Date]]</f>
        <v/>
      </c>
      <c r="B3940" s="92"/>
      <c r="C3940" s="92"/>
      <c r="D3940" s="101"/>
      <c r="E3940" s="79"/>
      <c r="F3940" s="79"/>
      <c r="G3940" s="79"/>
      <c r="H3940" s="79"/>
    </row>
    <row r="3941" spans="1:8">
      <c r="A3941" s="79" t="str">
        <f>LeaveData[[#This Row],[ EMP ID]]&amp;LeaveData[[#This Row],[Date]]</f>
        <v/>
      </c>
      <c r="B3941" s="92"/>
      <c r="C3941" s="92"/>
      <c r="D3941" s="101"/>
      <c r="E3941" s="79"/>
      <c r="F3941" s="79"/>
      <c r="G3941" s="79"/>
      <c r="H3941" s="79"/>
    </row>
    <row r="3942" spans="1:8">
      <c r="A3942" s="79" t="str">
        <f>LeaveData[[#This Row],[ EMP ID]]&amp;LeaveData[[#This Row],[Date]]</f>
        <v/>
      </c>
      <c r="B3942" s="92"/>
      <c r="C3942" s="92"/>
      <c r="D3942" s="101"/>
      <c r="E3942" s="79"/>
      <c r="F3942" s="79"/>
      <c r="G3942" s="79"/>
      <c r="H3942" s="79"/>
    </row>
    <row r="3943" spans="1:8">
      <c r="A3943" s="79" t="str">
        <f>LeaveData[[#This Row],[ EMP ID]]&amp;LeaveData[[#This Row],[Date]]</f>
        <v/>
      </c>
      <c r="B3943" s="92"/>
      <c r="C3943" s="92"/>
      <c r="D3943" s="101"/>
      <c r="E3943" s="79"/>
      <c r="F3943" s="79"/>
      <c r="G3943" s="79"/>
      <c r="H3943" s="79"/>
    </row>
    <row r="3944" spans="1:8">
      <c r="A3944" s="79" t="str">
        <f>LeaveData[[#This Row],[ EMP ID]]&amp;LeaveData[[#This Row],[Date]]</f>
        <v/>
      </c>
      <c r="B3944" s="92"/>
      <c r="C3944" s="92"/>
      <c r="D3944" s="101"/>
      <c r="E3944" s="79"/>
      <c r="F3944" s="79"/>
      <c r="G3944" s="79"/>
      <c r="H3944" s="79"/>
    </row>
    <row r="3945" spans="1:8">
      <c r="A3945" s="79" t="str">
        <f>LeaveData[[#This Row],[ EMP ID]]&amp;LeaveData[[#This Row],[Date]]</f>
        <v/>
      </c>
      <c r="B3945" s="92"/>
      <c r="C3945" s="92"/>
      <c r="D3945" s="101"/>
      <c r="E3945" s="79"/>
      <c r="F3945" s="79"/>
      <c r="G3945" s="79"/>
      <c r="H3945" s="79"/>
    </row>
    <row r="3946" spans="1:8">
      <c r="A3946" s="79" t="str">
        <f>LeaveData[[#This Row],[ EMP ID]]&amp;LeaveData[[#This Row],[Date]]</f>
        <v/>
      </c>
      <c r="B3946" s="92"/>
      <c r="C3946" s="92"/>
      <c r="D3946" s="101"/>
      <c r="E3946" s="79"/>
      <c r="F3946" s="79"/>
      <c r="G3946" s="79"/>
      <c r="H3946" s="79"/>
    </row>
    <row r="3947" spans="1:8">
      <c r="A3947" s="79" t="str">
        <f>LeaveData[[#This Row],[ EMP ID]]&amp;LeaveData[[#This Row],[Date]]</f>
        <v/>
      </c>
      <c r="B3947" s="92"/>
      <c r="C3947" s="92"/>
      <c r="D3947" s="101"/>
      <c r="E3947" s="79"/>
      <c r="F3947" s="79"/>
      <c r="G3947" s="79"/>
      <c r="H3947" s="79"/>
    </row>
    <row r="3948" spans="1:8">
      <c r="A3948" s="79" t="str">
        <f>LeaveData[[#This Row],[ EMP ID]]&amp;LeaveData[[#This Row],[Date]]</f>
        <v/>
      </c>
      <c r="B3948" s="92"/>
      <c r="C3948" s="92"/>
      <c r="D3948" s="101"/>
      <c r="E3948" s="79"/>
      <c r="F3948" s="79"/>
      <c r="G3948" s="79"/>
      <c r="H3948" s="79"/>
    </row>
    <row r="3949" spans="1:8">
      <c r="A3949" s="79" t="str">
        <f>LeaveData[[#This Row],[ EMP ID]]&amp;LeaveData[[#This Row],[Date]]</f>
        <v/>
      </c>
      <c r="B3949" s="92"/>
      <c r="C3949" s="92"/>
      <c r="D3949" s="101"/>
      <c r="E3949" s="79"/>
      <c r="F3949" s="79"/>
      <c r="G3949" s="79"/>
      <c r="H3949" s="79"/>
    </row>
    <row r="3950" spans="1:8">
      <c r="A3950" s="79" t="str">
        <f>LeaveData[[#This Row],[ EMP ID]]&amp;LeaveData[[#This Row],[Date]]</f>
        <v/>
      </c>
      <c r="B3950" s="92"/>
      <c r="C3950" s="92"/>
      <c r="D3950" s="101"/>
      <c r="E3950" s="79"/>
      <c r="F3950" s="79"/>
      <c r="G3950" s="79"/>
      <c r="H3950" s="79"/>
    </row>
    <row r="3951" spans="1:8">
      <c r="A3951" s="79" t="str">
        <f>LeaveData[[#This Row],[ EMP ID]]&amp;LeaveData[[#This Row],[Date]]</f>
        <v/>
      </c>
      <c r="B3951" s="92"/>
      <c r="C3951" s="92"/>
      <c r="D3951" s="101"/>
      <c r="E3951" s="79"/>
      <c r="F3951" s="79"/>
      <c r="G3951" s="79"/>
      <c r="H3951" s="79"/>
    </row>
    <row r="3952" spans="1:8">
      <c r="A3952" s="79" t="str">
        <f>LeaveData[[#This Row],[ EMP ID]]&amp;LeaveData[[#This Row],[Date]]</f>
        <v/>
      </c>
      <c r="B3952" s="92"/>
      <c r="C3952" s="92"/>
      <c r="D3952" s="101"/>
      <c r="E3952" s="79"/>
      <c r="F3952" s="79"/>
      <c r="G3952" s="79"/>
      <c r="H3952" s="79"/>
    </row>
    <row r="3953" spans="1:8">
      <c r="A3953" s="79" t="str">
        <f>LeaveData[[#This Row],[ EMP ID]]&amp;LeaveData[[#This Row],[Date]]</f>
        <v/>
      </c>
      <c r="B3953" s="92"/>
      <c r="C3953" s="92"/>
      <c r="D3953" s="101"/>
      <c r="E3953" s="79"/>
      <c r="F3953" s="79"/>
      <c r="G3953" s="79"/>
      <c r="H3953" s="79"/>
    </row>
    <row r="3954" spans="1:8">
      <c r="A3954" s="79" t="str">
        <f>LeaveData[[#This Row],[ EMP ID]]&amp;LeaveData[[#This Row],[Date]]</f>
        <v/>
      </c>
      <c r="B3954" s="92"/>
      <c r="C3954" s="92"/>
      <c r="D3954" s="101"/>
      <c r="E3954" s="79"/>
      <c r="F3954" s="79"/>
      <c r="G3954" s="79"/>
      <c r="H3954" s="79"/>
    </row>
    <row r="3955" spans="1:8">
      <c r="A3955" s="79" t="str">
        <f>LeaveData[[#This Row],[ EMP ID]]&amp;LeaveData[[#This Row],[Date]]</f>
        <v/>
      </c>
      <c r="B3955" s="92"/>
      <c r="C3955" s="92"/>
      <c r="D3955" s="101"/>
      <c r="E3955" s="79"/>
      <c r="F3955" s="79"/>
      <c r="G3955" s="79"/>
      <c r="H3955" s="79"/>
    </row>
    <row r="3956" spans="1:8">
      <c r="A3956" s="79" t="str">
        <f>LeaveData[[#This Row],[ EMP ID]]&amp;LeaveData[[#This Row],[Date]]</f>
        <v/>
      </c>
      <c r="B3956" s="92"/>
      <c r="C3956" s="92"/>
      <c r="D3956" s="101"/>
      <c r="E3956" s="79"/>
      <c r="F3956" s="79"/>
      <c r="G3956" s="79"/>
      <c r="H3956" s="79"/>
    </row>
    <row r="3957" spans="1:8">
      <c r="A3957" s="79" t="str">
        <f>LeaveData[[#This Row],[ EMP ID]]&amp;LeaveData[[#This Row],[Date]]</f>
        <v/>
      </c>
      <c r="B3957" s="92"/>
      <c r="C3957" s="92"/>
      <c r="D3957" s="101"/>
      <c r="E3957" s="79"/>
      <c r="F3957" s="79"/>
      <c r="G3957" s="79"/>
      <c r="H3957" s="79"/>
    </row>
    <row r="3958" spans="1:8">
      <c r="A3958" s="79" t="str">
        <f>LeaveData[[#This Row],[ EMP ID]]&amp;LeaveData[[#This Row],[Date]]</f>
        <v/>
      </c>
      <c r="B3958" s="92"/>
      <c r="C3958" s="92"/>
      <c r="D3958" s="101"/>
      <c r="E3958" s="79"/>
      <c r="F3958" s="79"/>
      <c r="G3958" s="79"/>
      <c r="H3958" s="79"/>
    </row>
    <row r="3959" spans="1:8">
      <c r="A3959" s="79" t="str">
        <f>LeaveData[[#This Row],[ EMP ID]]&amp;LeaveData[[#This Row],[Date]]</f>
        <v/>
      </c>
      <c r="B3959" s="92"/>
      <c r="C3959" s="92"/>
      <c r="D3959" s="101"/>
      <c r="E3959" s="79"/>
      <c r="F3959" s="79"/>
      <c r="G3959" s="79"/>
      <c r="H3959" s="79"/>
    </row>
    <row r="3960" spans="1:8">
      <c r="A3960" s="79" t="str">
        <f>LeaveData[[#This Row],[ EMP ID]]&amp;LeaveData[[#This Row],[Date]]</f>
        <v/>
      </c>
      <c r="B3960" s="92"/>
      <c r="C3960" s="92"/>
      <c r="D3960" s="101"/>
      <c r="E3960" s="79"/>
      <c r="F3960" s="79"/>
      <c r="G3960" s="79"/>
      <c r="H3960" s="79"/>
    </row>
    <row r="3961" spans="1:8">
      <c r="A3961" s="79" t="str">
        <f>LeaveData[[#This Row],[ EMP ID]]&amp;LeaveData[[#This Row],[Date]]</f>
        <v/>
      </c>
      <c r="B3961" s="92"/>
      <c r="C3961" s="92"/>
      <c r="D3961" s="101"/>
      <c r="E3961" s="79"/>
      <c r="F3961" s="79"/>
      <c r="G3961" s="79"/>
      <c r="H3961" s="79"/>
    </row>
    <row r="3962" spans="1:8">
      <c r="A3962" s="79" t="str">
        <f>LeaveData[[#This Row],[ EMP ID]]&amp;LeaveData[[#This Row],[Date]]</f>
        <v/>
      </c>
      <c r="B3962" s="92"/>
      <c r="C3962" s="92"/>
      <c r="D3962" s="101"/>
      <c r="E3962" s="79"/>
      <c r="F3962" s="79"/>
      <c r="G3962" s="79"/>
      <c r="H3962" s="79"/>
    </row>
    <row r="3963" spans="1:8">
      <c r="A3963" s="79" t="str">
        <f>LeaveData[[#This Row],[ EMP ID]]&amp;LeaveData[[#This Row],[Date]]</f>
        <v/>
      </c>
      <c r="B3963" s="92"/>
      <c r="C3963" s="92"/>
      <c r="D3963" s="101"/>
      <c r="E3963" s="79"/>
      <c r="F3963" s="79"/>
      <c r="G3963" s="79"/>
      <c r="H3963" s="79"/>
    </row>
    <row r="3964" spans="1:8">
      <c r="A3964" s="79" t="str">
        <f>LeaveData[[#This Row],[ EMP ID]]&amp;LeaveData[[#This Row],[Date]]</f>
        <v/>
      </c>
      <c r="B3964" s="92"/>
      <c r="C3964" s="92"/>
      <c r="D3964" s="101"/>
      <c r="E3964" s="79"/>
      <c r="F3964" s="79"/>
      <c r="G3964" s="79"/>
      <c r="H3964" s="79"/>
    </row>
    <row r="3965" spans="1:8">
      <c r="A3965" s="79" t="str">
        <f>LeaveData[[#This Row],[ EMP ID]]&amp;LeaveData[[#This Row],[Date]]</f>
        <v/>
      </c>
      <c r="B3965" s="92"/>
      <c r="C3965" s="92"/>
      <c r="D3965" s="101"/>
      <c r="E3965" s="79"/>
      <c r="F3965" s="79"/>
      <c r="G3965" s="79"/>
      <c r="H3965" s="79"/>
    </row>
    <row r="3966" spans="1:8">
      <c r="A3966" s="79" t="str">
        <f>LeaveData[[#This Row],[ EMP ID]]&amp;LeaveData[[#This Row],[Date]]</f>
        <v/>
      </c>
      <c r="B3966" s="92"/>
      <c r="C3966" s="92"/>
      <c r="D3966" s="101"/>
      <c r="E3966" s="79"/>
      <c r="F3966" s="79"/>
      <c r="G3966" s="79"/>
      <c r="H3966" s="79"/>
    </row>
    <row r="3967" spans="1:8">
      <c r="A3967" s="79" t="str">
        <f>LeaveData[[#This Row],[ EMP ID]]&amp;LeaveData[[#This Row],[Date]]</f>
        <v/>
      </c>
      <c r="B3967" s="92"/>
      <c r="C3967" s="92"/>
      <c r="D3967" s="101"/>
      <c r="E3967" s="79"/>
      <c r="F3967" s="79"/>
      <c r="G3967" s="79"/>
      <c r="H3967" s="79"/>
    </row>
    <row r="3968" spans="1:8">
      <c r="A3968" s="79" t="str">
        <f>LeaveData[[#This Row],[ EMP ID]]&amp;LeaveData[[#This Row],[Date]]</f>
        <v/>
      </c>
      <c r="B3968" s="92"/>
      <c r="C3968" s="92"/>
      <c r="D3968" s="101"/>
      <c r="E3968" s="79"/>
      <c r="F3968" s="79"/>
      <c r="G3968" s="79"/>
      <c r="H3968" s="79"/>
    </row>
    <row r="3969" spans="1:8">
      <c r="A3969" s="79" t="str">
        <f>LeaveData[[#This Row],[ EMP ID]]&amp;LeaveData[[#This Row],[Date]]</f>
        <v/>
      </c>
      <c r="B3969" s="92"/>
      <c r="C3969" s="92"/>
      <c r="D3969" s="101"/>
      <c r="E3969" s="79"/>
      <c r="F3969" s="79"/>
      <c r="G3969" s="79"/>
      <c r="H3969" s="79"/>
    </row>
    <row r="3970" spans="1:8">
      <c r="A3970" s="79" t="str">
        <f>LeaveData[[#This Row],[ EMP ID]]&amp;LeaveData[[#This Row],[Date]]</f>
        <v/>
      </c>
      <c r="B3970" s="92"/>
      <c r="C3970" s="92"/>
      <c r="D3970" s="101"/>
      <c r="E3970" s="79"/>
      <c r="F3970" s="79"/>
      <c r="G3970" s="79"/>
      <c r="H3970" s="79"/>
    </row>
    <row r="3971" spans="1:8">
      <c r="A3971" s="79" t="str">
        <f>LeaveData[[#This Row],[ EMP ID]]&amp;LeaveData[[#This Row],[Date]]</f>
        <v/>
      </c>
      <c r="B3971" s="92"/>
      <c r="C3971" s="92"/>
      <c r="D3971" s="101"/>
      <c r="E3971" s="79"/>
      <c r="F3971" s="79"/>
      <c r="G3971" s="79"/>
      <c r="H3971" s="79"/>
    </row>
    <row r="3972" spans="1:8">
      <c r="A3972" s="79" t="str">
        <f>LeaveData[[#This Row],[ EMP ID]]&amp;LeaveData[[#This Row],[Date]]</f>
        <v/>
      </c>
      <c r="B3972" s="92"/>
      <c r="C3972" s="92"/>
      <c r="D3972" s="101"/>
      <c r="E3972" s="79"/>
      <c r="F3972" s="79"/>
      <c r="G3972" s="79"/>
      <c r="H3972" s="79"/>
    </row>
    <row r="3973" spans="1:8">
      <c r="A3973" s="79" t="str">
        <f>LeaveData[[#This Row],[ EMP ID]]&amp;LeaveData[[#This Row],[Date]]</f>
        <v/>
      </c>
      <c r="B3973" s="92"/>
      <c r="C3973" s="92"/>
      <c r="D3973" s="101"/>
      <c r="E3973" s="79"/>
      <c r="F3973" s="79"/>
      <c r="G3973" s="79"/>
      <c r="H3973" s="79"/>
    </row>
    <row r="3974" spans="1:8">
      <c r="A3974" s="79" t="str">
        <f>LeaveData[[#This Row],[ EMP ID]]&amp;LeaveData[[#This Row],[Date]]</f>
        <v/>
      </c>
      <c r="B3974" s="92"/>
      <c r="C3974" s="92"/>
      <c r="D3974" s="101"/>
      <c r="E3974" s="79"/>
      <c r="F3974" s="79"/>
      <c r="G3974" s="79"/>
      <c r="H3974" s="79"/>
    </row>
    <row r="3975" spans="1:8">
      <c r="A3975" s="79" t="str">
        <f>LeaveData[[#This Row],[ EMP ID]]&amp;LeaveData[[#This Row],[Date]]</f>
        <v/>
      </c>
      <c r="B3975" s="92"/>
      <c r="C3975" s="92"/>
      <c r="D3975" s="101"/>
      <c r="E3975" s="79"/>
      <c r="F3975" s="79"/>
      <c r="G3975" s="79"/>
      <c r="H3975" s="79"/>
    </row>
    <row r="3976" spans="1:8">
      <c r="A3976" s="79" t="str">
        <f>LeaveData[[#This Row],[ EMP ID]]&amp;LeaveData[[#This Row],[Date]]</f>
        <v/>
      </c>
      <c r="B3976" s="92"/>
      <c r="C3976" s="92"/>
      <c r="D3976" s="101"/>
      <c r="E3976" s="79"/>
      <c r="F3976" s="79"/>
      <c r="G3976" s="79"/>
      <c r="H3976" s="79"/>
    </row>
    <row r="3977" spans="1:8">
      <c r="A3977" s="79" t="str">
        <f>LeaveData[[#This Row],[ EMP ID]]&amp;LeaveData[[#This Row],[Date]]</f>
        <v/>
      </c>
      <c r="B3977" s="92"/>
      <c r="C3977" s="92"/>
      <c r="D3977" s="101"/>
      <c r="E3977" s="79"/>
      <c r="F3977" s="79"/>
      <c r="G3977" s="79"/>
      <c r="H3977" s="79"/>
    </row>
    <row r="3978" spans="1:8">
      <c r="A3978" s="79" t="str">
        <f>LeaveData[[#This Row],[ EMP ID]]&amp;LeaveData[[#This Row],[Date]]</f>
        <v/>
      </c>
      <c r="B3978" s="92"/>
      <c r="C3978" s="92"/>
      <c r="D3978" s="101"/>
      <c r="E3978" s="79"/>
      <c r="F3978" s="79"/>
      <c r="G3978" s="79"/>
      <c r="H3978" s="79"/>
    </row>
    <row r="3979" spans="1:8">
      <c r="A3979" s="79" t="str">
        <f>LeaveData[[#This Row],[ EMP ID]]&amp;LeaveData[[#This Row],[Date]]</f>
        <v/>
      </c>
      <c r="B3979" s="92"/>
      <c r="C3979" s="92"/>
      <c r="D3979" s="101"/>
      <c r="E3979" s="79"/>
      <c r="F3979" s="79"/>
      <c r="G3979" s="79"/>
      <c r="H3979" s="79"/>
    </row>
    <row r="3980" spans="1:8">
      <c r="A3980" s="79" t="str">
        <f>LeaveData[[#This Row],[ EMP ID]]&amp;LeaveData[[#This Row],[Date]]</f>
        <v/>
      </c>
      <c r="B3980" s="92"/>
      <c r="C3980" s="92"/>
      <c r="D3980" s="101"/>
      <c r="E3980" s="79"/>
      <c r="F3980" s="79"/>
      <c r="G3980" s="79"/>
      <c r="H3980" s="79"/>
    </row>
    <row r="3981" spans="1:8">
      <c r="A3981" s="79" t="str">
        <f>LeaveData[[#This Row],[ EMP ID]]&amp;LeaveData[[#This Row],[Date]]</f>
        <v/>
      </c>
      <c r="B3981" s="92"/>
      <c r="C3981" s="92"/>
      <c r="D3981" s="101"/>
      <c r="E3981" s="79"/>
      <c r="F3981" s="79"/>
      <c r="G3981" s="79"/>
      <c r="H3981" s="79"/>
    </row>
    <row r="3982" spans="1:8">
      <c r="A3982" s="79" t="str">
        <f>LeaveData[[#This Row],[ EMP ID]]&amp;LeaveData[[#This Row],[Date]]</f>
        <v/>
      </c>
      <c r="B3982" s="92"/>
      <c r="C3982" s="92"/>
      <c r="D3982" s="101"/>
      <c r="E3982" s="79"/>
      <c r="F3982" s="79"/>
      <c r="G3982" s="79"/>
      <c r="H3982" s="79"/>
    </row>
    <row r="3983" spans="1:8">
      <c r="A3983" s="79" t="str">
        <f>LeaveData[[#This Row],[ EMP ID]]&amp;LeaveData[[#This Row],[Date]]</f>
        <v/>
      </c>
      <c r="B3983" s="92"/>
      <c r="C3983" s="92"/>
      <c r="D3983" s="101"/>
      <c r="E3983" s="79"/>
      <c r="F3983" s="79"/>
      <c r="G3983" s="79"/>
      <c r="H3983" s="79"/>
    </row>
    <row r="3984" spans="1:8">
      <c r="A3984" s="79" t="str">
        <f>LeaveData[[#This Row],[ EMP ID]]&amp;LeaveData[[#This Row],[Date]]</f>
        <v/>
      </c>
      <c r="B3984" s="92"/>
      <c r="C3984" s="92"/>
      <c r="D3984" s="101"/>
      <c r="E3984" s="79"/>
      <c r="F3984" s="79"/>
      <c r="G3984" s="79"/>
      <c r="H3984" s="79"/>
    </row>
    <row r="3985" spans="1:8">
      <c r="A3985" s="79" t="str">
        <f>LeaveData[[#This Row],[ EMP ID]]&amp;LeaveData[[#This Row],[Date]]</f>
        <v/>
      </c>
      <c r="B3985" s="92"/>
      <c r="C3985" s="92"/>
      <c r="D3985" s="101"/>
      <c r="E3985" s="79"/>
      <c r="F3985" s="79"/>
      <c r="G3985" s="79"/>
      <c r="H3985" s="79"/>
    </row>
    <row r="3986" spans="1:8">
      <c r="A3986" s="79" t="str">
        <f>LeaveData[[#This Row],[ EMP ID]]&amp;LeaveData[[#This Row],[Date]]</f>
        <v/>
      </c>
      <c r="B3986" s="92"/>
      <c r="C3986" s="92"/>
      <c r="D3986" s="101"/>
      <c r="E3986" s="79"/>
      <c r="F3986" s="79"/>
      <c r="G3986" s="79"/>
      <c r="H3986" s="79"/>
    </row>
    <row r="3987" spans="1:8">
      <c r="A3987" s="79" t="str">
        <f>LeaveData[[#This Row],[ EMP ID]]&amp;LeaveData[[#This Row],[Date]]</f>
        <v/>
      </c>
      <c r="B3987" s="92"/>
      <c r="C3987" s="92"/>
      <c r="D3987" s="101"/>
      <c r="E3987" s="79"/>
      <c r="F3987" s="79"/>
      <c r="G3987" s="79"/>
      <c r="H3987" s="79"/>
    </row>
    <row r="3988" spans="1:8">
      <c r="A3988" s="79" t="str">
        <f>LeaveData[[#This Row],[ EMP ID]]&amp;LeaveData[[#This Row],[Date]]</f>
        <v/>
      </c>
      <c r="B3988" s="92"/>
      <c r="C3988" s="92"/>
      <c r="D3988" s="101"/>
      <c r="E3988" s="79"/>
      <c r="F3988" s="79"/>
      <c r="G3988" s="79"/>
      <c r="H3988" s="79"/>
    </row>
    <row r="3989" spans="1:8">
      <c r="A3989" s="79" t="str">
        <f>LeaveData[[#This Row],[ EMP ID]]&amp;LeaveData[[#This Row],[Date]]</f>
        <v/>
      </c>
      <c r="B3989" s="92"/>
      <c r="C3989" s="92"/>
      <c r="D3989" s="101"/>
      <c r="E3989" s="79"/>
      <c r="F3989" s="79"/>
      <c r="G3989" s="79"/>
      <c r="H3989" s="79"/>
    </row>
    <row r="3990" spans="1:8">
      <c r="A3990" s="79" t="str">
        <f>LeaveData[[#This Row],[ EMP ID]]&amp;LeaveData[[#This Row],[Date]]</f>
        <v/>
      </c>
      <c r="B3990" s="92"/>
      <c r="C3990" s="92"/>
      <c r="D3990" s="101"/>
      <c r="E3990" s="79"/>
      <c r="F3990" s="79"/>
      <c r="G3990" s="79"/>
      <c r="H3990" s="79"/>
    </row>
    <row r="3991" spans="1:8">
      <c r="A3991" s="79" t="str">
        <f>LeaveData[[#This Row],[ EMP ID]]&amp;LeaveData[[#This Row],[Date]]</f>
        <v/>
      </c>
      <c r="B3991" s="92"/>
      <c r="C3991" s="92"/>
      <c r="D3991" s="101"/>
      <c r="E3991" s="79"/>
      <c r="F3991" s="79"/>
      <c r="G3991" s="79"/>
      <c r="H3991" s="79"/>
    </row>
    <row r="3992" spans="1:8">
      <c r="A3992" s="79" t="str">
        <f>LeaveData[[#This Row],[ EMP ID]]&amp;LeaveData[[#This Row],[Date]]</f>
        <v/>
      </c>
      <c r="B3992" s="92"/>
      <c r="C3992" s="92"/>
      <c r="D3992" s="101"/>
      <c r="E3992" s="79"/>
      <c r="F3992" s="79"/>
      <c r="G3992" s="79"/>
      <c r="H3992" s="79"/>
    </row>
    <row r="3993" spans="1:8">
      <c r="A3993" s="79" t="str">
        <f>LeaveData[[#This Row],[ EMP ID]]&amp;LeaveData[[#This Row],[Date]]</f>
        <v/>
      </c>
      <c r="B3993" s="92"/>
      <c r="C3993" s="92"/>
      <c r="D3993" s="101"/>
      <c r="E3993" s="79"/>
      <c r="F3993" s="79"/>
      <c r="G3993" s="79"/>
      <c r="H3993" s="79"/>
    </row>
    <row r="3994" spans="1:8">
      <c r="A3994" s="79" t="str">
        <f>LeaveData[[#This Row],[ EMP ID]]&amp;LeaveData[[#This Row],[Date]]</f>
        <v/>
      </c>
      <c r="B3994" s="92"/>
      <c r="C3994" s="92"/>
      <c r="D3994" s="101"/>
      <c r="E3994" s="79"/>
      <c r="F3994" s="79"/>
      <c r="G3994" s="79"/>
      <c r="H3994" s="79"/>
    </row>
    <row r="3995" spans="1:8">
      <c r="A3995" s="79" t="str">
        <f>LeaveData[[#This Row],[ EMP ID]]&amp;LeaveData[[#This Row],[Date]]</f>
        <v/>
      </c>
      <c r="B3995" s="92"/>
      <c r="C3995" s="92"/>
      <c r="D3995" s="101"/>
      <c r="E3995" s="79"/>
      <c r="F3995" s="79"/>
      <c r="G3995" s="79"/>
      <c r="H3995" s="79"/>
    </row>
    <row r="3996" spans="1:8">
      <c r="A3996" s="79" t="str">
        <f>LeaveData[[#This Row],[ EMP ID]]&amp;LeaveData[[#This Row],[Date]]</f>
        <v/>
      </c>
      <c r="B3996" s="92"/>
      <c r="C3996" s="92"/>
      <c r="D3996" s="101"/>
      <c r="E3996" s="79"/>
      <c r="F3996" s="79"/>
      <c r="G3996" s="79"/>
      <c r="H3996" s="79"/>
    </row>
    <row r="3997" spans="1:8">
      <c r="A3997" s="79" t="str">
        <f>LeaveData[[#This Row],[ EMP ID]]&amp;LeaveData[[#This Row],[Date]]</f>
        <v/>
      </c>
      <c r="B3997" s="92"/>
      <c r="C3997" s="92"/>
      <c r="D3997" s="101"/>
      <c r="E3997" s="79"/>
      <c r="F3997" s="79"/>
      <c r="G3997" s="79"/>
      <c r="H3997" s="79"/>
    </row>
    <row r="3998" spans="1:8">
      <c r="A3998" s="79" t="str">
        <f>LeaveData[[#This Row],[ EMP ID]]&amp;LeaveData[[#This Row],[Date]]</f>
        <v/>
      </c>
      <c r="B3998" s="92"/>
      <c r="C3998" s="92"/>
      <c r="D3998" s="101"/>
      <c r="E3998" s="79"/>
      <c r="F3998" s="79"/>
      <c r="G3998" s="79"/>
      <c r="H3998" s="79"/>
    </row>
    <row r="3999" spans="1:8">
      <c r="A3999" s="79" t="str">
        <f>LeaveData[[#This Row],[ EMP ID]]&amp;LeaveData[[#This Row],[Date]]</f>
        <v/>
      </c>
      <c r="B3999" s="92"/>
      <c r="C3999" s="92"/>
      <c r="D3999" s="101"/>
      <c r="E3999" s="79"/>
      <c r="F3999" s="79"/>
      <c r="G3999" s="79"/>
      <c r="H3999" s="79"/>
    </row>
    <row r="4000" spans="1:8">
      <c r="A4000" s="79" t="str">
        <f>LeaveData[[#This Row],[ EMP ID]]&amp;LeaveData[[#This Row],[Date]]</f>
        <v/>
      </c>
      <c r="B4000" s="92"/>
      <c r="C4000" s="92"/>
      <c r="D4000" s="101"/>
      <c r="E4000" s="79"/>
      <c r="F4000" s="79"/>
      <c r="G4000" s="79"/>
      <c r="H4000" s="79"/>
    </row>
    <row r="4001" spans="1:8">
      <c r="A4001" s="79" t="str">
        <f>LeaveData[[#This Row],[ EMP ID]]&amp;LeaveData[[#This Row],[Date]]</f>
        <v/>
      </c>
      <c r="B4001" s="92"/>
      <c r="C4001" s="92"/>
      <c r="D4001" s="101"/>
      <c r="E4001" s="79"/>
      <c r="F4001" s="79"/>
      <c r="G4001" s="79"/>
      <c r="H4001" s="79"/>
    </row>
    <row r="4002" spans="1:8">
      <c r="A4002" s="79" t="str">
        <f>LeaveData[[#This Row],[ EMP ID]]&amp;LeaveData[[#This Row],[Date]]</f>
        <v/>
      </c>
      <c r="B4002" s="92"/>
      <c r="C4002" s="92"/>
      <c r="D4002" s="101"/>
      <c r="E4002" s="79"/>
      <c r="F4002" s="79"/>
      <c r="G4002" s="79"/>
      <c r="H4002" s="79"/>
    </row>
    <row r="4003" spans="1:8">
      <c r="A4003" s="79" t="str">
        <f>LeaveData[[#This Row],[ EMP ID]]&amp;LeaveData[[#This Row],[Date]]</f>
        <v/>
      </c>
      <c r="B4003" s="92"/>
      <c r="C4003" s="92"/>
      <c r="D4003" s="101"/>
      <c r="E4003" s="79"/>
      <c r="F4003" s="79"/>
      <c r="G4003" s="79"/>
      <c r="H4003" s="79"/>
    </row>
    <row r="4004" spans="1:8">
      <c r="A4004" s="79" t="str">
        <f>LeaveData[[#This Row],[ EMP ID]]&amp;LeaveData[[#This Row],[Date]]</f>
        <v/>
      </c>
      <c r="B4004" s="92"/>
      <c r="C4004" s="92"/>
      <c r="D4004" s="101"/>
      <c r="E4004" s="79"/>
      <c r="F4004" s="79"/>
      <c r="G4004" s="79"/>
      <c r="H4004" s="79"/>
    </row>
    <row r="4005" spans="1:8">
      <c r="A4005" s="79" t="str">
        <f>LeaveData[[#This Row],[ EMP ID]]&amp;LeaveData[[#This Row],[Date]]</f>
        <v/>
      </c>
      <c r="B4005" s="92"/>
      <c r="C4005" s="92"/>
      <c r="D4005" s="101"/>
      <c r="E4005" s="79"/>
      <c r="F4005" s="79"/>
      <c r="G4005" s="79"/>
      <c r="H4005" s="79"/>
    </row>
    <row r="4006" spans="1:8">
      <c r="A4006" s="79" t="str">
        <f>LeaveData[[#This Row],[ EMP ID]]&amp;LeaveData[[#This Row],[Date]]</f>
        <v/>
      </c>
      <c r="B4006" s="92"/>
      <c r="C4006" s="92"/>
      <c r="D4006" s="101"/>
      <c r="E4006" s="79"/>
      <c r="F4006" s="79"/>
      <c r="G4006" s="79"/>
      <c r="H4006" s="79"/>
    </row>
    <row r="4007" spans="1:8">
      <c r="A4007" s="79" t="str">
        <f>LeaveData[[#This Row],[ EMP ID]]&amp;LeaveData[[#This Row],[Date]]</f>
        <v/>
      </c>
      <c r="B4007" s="92"/>
      <c r="C4007" s="92"/>
      <c r="D4007" s="101"/>
      <c r="E4007" s="79"/>
      <c r="F4007" s="79"/>
      <c r="G4007" s="79"/>
      <c r="H4007" s="79"/>
    </row>
    <row r="4008" spans="1:8">
      <c r="A4008" s="79" t="str">
        <f>LeaveData[[#This Row],[ EMP ID]]&amp;LeaveData[[#This Row],[Date]]</f>
        <v/>
      </c>
      <c r="B4008" s="92"/>
      <c r="C4008" s="92"/>
      <c r="D4008" s="101"/>
      <c r="E4008" s="79"/>
      <c r="F4008" s="79"/>
      <c r="G4008" s="79"/>
      <c r="H4008" s="79"/>
    </row>
    <row r="4009" spans="1:8">
      <c r="A4009" s="79" t="str">
        <f>LeaveData[[#This Row],[ EMP ID]]&amp;LeaveData[[#This Row],[Date]]</f>
        <v/>
      </c>
      <c r="B4009" s="92"/>
      <c r="C4009" s="92"/>
      <c r="D4009" s="101"/>
      <c r="E4009" s="79"/>
      <c r="F4009" s="79"/>
      <c r="G4009" s="79"/>
      <c r="H4009" s="79"/>
    </row>
    <row r="4010" spans="1:8">
      <c r="A4010" s="79" t="str">
        <f>LeaveData[[#This Row],[ EMP ID]]&amp;LeaveData[[#This Row],[Date]]</f>
        <v/>
      </c>
      <c r="B4010" s="92"/>
      <c r="C4010" s="92"/>
      <c r="D4010" s="101"/>
      <c r="E4010" s="79"/>
      <c r="F4010" s="79"/>
      <c r="G4010" s="79"/>
      <c r="H4010" s="79"/>
    </row>
    <row r="4011" spans="1:8">
      <c r="A4011" s="79" t="str">
        <f>LeaveData[[#This Row],[ EMP ID]]&amp;LeaveData[[#This Row],[Date]]</f>
        <v/>
      </c>
      <c r="B4011" s="92"/>
      <c r="C4011" s="92"/>
      <c r="D4011" s="101"/>
      <c r="E4011" s="79"/>
      <c r="F4011" s="79"/>
      <c r="G4011" s="79"/>
      <c r="H4011" s="79"/>
    </row>
    <row r="4012" spans="1:8">
      <c r="A4012" s="79" t="str">
        <f>LeaveData[[#This Row],[ EMP ID]]&amp;LeaveData[[#This Row],[Date]]</f>
        <v/>
      </c>
      <c r="B4012" s="92"/>
      <c r="C4012" s="92"/>
      <c r="D4012" s="101"/>
      <c r="E4012" s="79"/>
      <c r="F4012" s="79"/>
      <c r="G4012" s="79"/>
      <c r="H4012" s="79"/>
    </row>
    <row r="4013" spans="1:8">
      <c r="A4013" s="79" t="str">
        <f>LeaveData[[#This Row],[ EMP ID]]&amp;LeaveData[[#This Row],[Date]]</f>
        <v/>
      </c>
      <c r="B4013" s="92"/>
      <c r="C4013" s="92"/>
      <c r="D4013" s="101"/>
      <c r="E4013" s="79"/>
      <c r="F4013" s="79"/>
      <c r="G4013" s="79"/>
      <c r="H4013" s="79"/>
    </row>
    <row r="4014" spans="1:8">
      <c r="A4014" s="79" t="str">
        <f>LeaveData[[#This Row],[ EMP ID]]&amp;LeaveData[[#This Row],[Date]]</f>
        <v/>
      </c>
      <c r="B4014" s="92"/>
      <c r="C4014" s="92"/>
      <c r="D4014" s="101"/>
      <c r="E4014" s="79"/>
      <c r="F4014" s="79"/>
      <c r="G4014" s="79"/>
      <c r="H4014" s="79"/>
    </row>
    <row r="4015" spans="1:8">
      <c r="A4015" s="79" t="str">
        <f>LeaveData[[#This Row],[ EMP ID]]&amp;LeaveData[[#This Row],[Date]]</f>
        <v/>
      </c>
      <c r="B4015" s="92"/>
      <c r="C4015" s="92"/>
      <c r="D4015" s="101"/>
      <c r="E4015" s="79"/>
      <c r="F4015" s="79"/>
      <c r="G4015" s="79"/>
      <c r="H4015" s="79"/>
    </row>
    <row r="4016" spans="1:8">
      <c r="A4016" s="79" t="str">
        <f>LeaveData[[#This Row],[ EMP ID]]&amp;LeaveData[[#This Row],[Date]]</f>
        <v/>
      </c>
      <c r="B4016" s="92"/>
      <c r="C4016" s="92"/>
      <c r="D4016" s="101"/>
      <c r="E4016" s="79"/>
      <c r="F4016" s="79"/>
      <c r="G4016" s="79"/>
      <c r="H4016" s="79"/>
    </row>
    <row r="4017" spans="1:8">
      <c r="A4017" s="79" t="str">
        <f>LeaveData[[#This Row],[ EMP ID]]&amp;LeaveData[[#This Row],[Date]]</f>
        <v/>
      </c>
      <c r="B4017" s="92"/>
      <c r="C4017" s="92"/>
      <c r="D4017" s="101"/>
      <c r="E4017" s="79"/>
      <c r="F4017" s="79"/>
      <c r="G4017" s="79"/>
      <c r="H4017" s="79"/>
    </row>
    <row r="4018" spans="1:8">
      <c r="A4018" s="79" t="str">
        <f>LeaveData[[#This Row],[ EMP ID]]&amp;LeaveData[[#This Row],[Date]]</f>
        <v/>
      </c>
      <c r="B4018" s="92"/>
      <c r="C4018" s="92"/>
      <c r="D4018" s="101"/>
      <c r="E4018" s="79"/>
      <c r="F4018" s="79"/>
      <c r="G4018" s="79"/>
      <c r="H4018" s="79"/>
    </row>
    <row r="4019" spans="1:8">
      <c r="A4019" s="79" t="str">
        <f>LeaveData[[#This Row],[ EMP ID]]&amp;LeaveData[[#This Row],[Date]]</f>
        <v/>
      </c>
      <c r="B4019" s="92"/>
      <c r="C4019" s="92"/>
      <c r="D4019" s="101"/>
      <c r="E4019" s="79"/>
      <c r="F4019" s="79"/>
      <c r="G4019" s="79"/>
      <c r="H4019" s="79"/>
    </row>
    <row r="4020" spans="1:8">
      <c r="A4020" s="79" t="str">
        <f>LeaveData[[#This Row],[ EMP ID]]&amp;LeaveData[[#This Row],[Date]]</f>
        <v/>
      </c>
      <c r="B4020" s="92"/>
      <c r="C4020" s="92"/>
      <c r="D4020" s="101"/>
      <c r="E4020" s="79"/>
      <c r="F4020" s="79"/>
      <c r="G4020" s="79"/>
      <c r="H4020" s="79"/>
    </row>
    <row r="4021" spans="1:8">
      <c r="A4021" s="79" t="str">
        <f>LeaveData[[#This Row],[ EMP ID]]&amp;LeaveData[[#This Row],[Date]]</f>
        <v/>
      </c>
      <c r="B4021" s="92"/>
      <c r="C4021" s="92"/>
      <c r="D4021" s="101"/>
      <c r="E4021" s="79"/>
      <c r="F4021" s="79"/>
      <c r="G4021" s="79"/>
      <c r="H4021" s="79"/>
    </row>
    <row r="4022" spans="1:8">
      <c r="A4022" s="79" t="str">
        <f>LeaveData[[#This Row],[ EMP ID]]&amp;LeaveData[[#This Row],[Date]]</f>
        <v/>
      </c>
      <c r="B4022" s="92"/>
      <c r="C4022" s="92"/>
      <c r="D4022" s="101"/>
      <c r="E4022" s="79"/>
      <c r="F4022" s="79"/>
      <c r="G4022" s="79"/>
      <c r="H4022" s="79"/>
    </row>
    <row r="4023" spans="1:8">
      <c r="A4023" s="79" t="str">
        <f>LeaveData[[#This Row],[ EMP ID]]&amp;LeaveData[[#This Row],[Date]]</f>
        <v/>
      </c>
      <c r="B4023" s="92"/>
      <c r="C4023" s="92"/>
      <c r="D4023" s="101"/>
      <c r="E4023" s="79"/>
      <c r="F4023" s="79"/>
      <c r="G4023" s="79"/>
      <c r="H4023" s="79"/>
    </row>
    <row r="4024" spans="1:8">
      <c r="A4024" s="79" t="str">
        <f>LeaveData[[#This Row],[ EMP ID]]&amp;LeaveData[[#This Row],[Date]]</f>
        <v/>
      </c>
      <c r="B4024" s="92"/>
      <c r="C4024" s="92"/>
      <c r="D4024" s="101"/>
      <c r="E4024" s="79"/>
      <c r="F4024" s="79"/>
      <c r="G4024" s="79"/>
      <c r="H4024" s="79"/>
    </row>
    <row r="4025" spans="1:8">
      <c r="A4025" s="79" t="str">
        <f>LeaveData[[#This Row],[ EMP ID]]&amp;LeaveData[[#This Row],[Date]]</f>
        <v/>
      </c>
      <c r="B4025" s="92"/>
      <c r="C4025" s="92"/>
      <c r="D4025" s="101"/>
      <c r="E4025" s="79"/>
      <c r="F4025" s="79"/>
      <c r="G4025" s="79"/>
      <c r="H4025" s="79"/>
    </row>
    <row r="4026" spans="1:8">
      <c r="A4026" s="79" t="str">
        <f>LeaveData[[#This Row],[ EMP ID]]&amp;LeaveData[[#This Row],[Date]]</f>
        <v/>
      </c>
      <c r="B4026" s="92"/>
      <c r="C4026" s="92"/>
      <c r="D4026" s="101"/>
      <c r="E4026" s="79"/>
      <c r="F4026" s="79"/>
      <c r="G4026" s="79"/>
      <c r="H4026" s="79"/>
    </row>
    <row r="4027" spans="1:8">
      <c r="A4027" s="79" t="str">
        <f>LeaveData[[#This Row],[ EMP ID]]&amp;LeaveData[[#This Row],[Date]]</f>
        <v/>
      </c>
      <c r="B4027" s="92"/>
      <c r="C4027" s="92"/>
      <c r="D4027" s="101"/>
      <c r="E4027" s="79"/>
      <c r="F4027" s="79"/>
      <c r="G4027" s="79"/>
      <c r="H4027" s="79"/>
    </row>
    <row r="4028" spans="1:8">
      <c r="A4028" s="79" t="str">
        <f>LeaveData[[#This Row],[ EMP ID]]&amp;LeaveData[[#This Row],[Date]]</f>
        <v/>
      </c>
      <c r="B4028" s="92"/>
      <c r="C4028" s="92"/>
      <c r="D4028" s="101"/>
      <c r="E4028" s="79"/>
      <c r="F4028" s="79"/>
      <c r="G4028" s="79"/>
      <c r="H4028" s="79"/>
    </row>
    <row r="4029" spans="1:8">
      <c r="A4029" s="79" t="str">
        <f>LeaveData[[#This Row],[ EMP ID]]&amp;LeaveData[[#This Row],[Date]]</f>
        <v/>
      </c>
      <c r="B4029" s="92"/>
      <c r="C4029" s="92"/>
      <c r="D4029" s="101"/>
      <c r="E4029" s="79"/>
      <c r="F4029" s="79"/>
      <c r="G4029" s="79"/>
      <c r="H4029" s="79"/>
    </row>
    <row r="4030" spans="1:8">
      <c r="A4030" s="79" t="str">
        <f>LeaveData[[#This Row],[ EMP ID]]&amp;LeaveData[[#This Row],[Date]]</f>
        <v/>
      </c>
      <c r="B4030" s="92"/>
      <c r="C4030" s="92"/>
      <c r="D4030" s="101"/>
      <c r="E4030" s="79"/>
      <c r="F4030" s="79"/>
      <c r="G4030" s="79"/>
      <c r="H4030" s="79"/>
    </row>
    <row r="4031" spans="1:8">
      <c r="A4031" s="79" t="str">
        <f>LeaveData[[#This Row],[ EMP ID]]&amp;LeaveData[[#This Row],[Date]]</f>
        <v/>
      </c>
      <c r="B4031" s="92"/>
      <c r="C4031" s="92"/>
      <c r="D4031" s="101"/>
      <c r="E4031" s="79"/>
      <c r="F4031" s="79"/>
      <c r="G4031" s="79"/>
      <c r="H4031" s="79"/>
    </row>
    <row r="4032" spans="1:8">
      <c r="A4032" s="79" t="str">
        <f>LeaveData[[#This Row],[ EMP ID]]&amp;LeaveData[[#This Row],[Date]]</f>
        <v/>
      </c>
      <c r="B4032" s="92"/>
      <c r="C4032" s="92"/>
      <c r="D4032" s="101"/>
      <c r="E4032" s="79"/>
      <c r="F4032" s="79"/>
      <c r="G4032" s="79"/>
      <c r="H4032" s="79"/>
    </row>
    <row r="4033" spans="1:8">
      <c r="A4033" s="79" t="str">
        <f>LeaveData[[#This Row],[ EMP ID]]&amp;LeaveData[[#This Row],[Date]]</f>
        <v/>
      </c>
      <c r="B4033" s="92"/>
      <c r="C4033" s="92"/>
      <c r="D4033" s="101"/>
      <c r="E4033" s="79"/>
      <c r="F4033" s="79"/>
      <c r="G4033" s="79"/>
      <c r="H4033" s="79"/>
    </row>
    <row r="4034" spans="1:8">
      <c r="A4034" s="79" t="str">
        <f>LeaveData[[#This Row],[ EMP ID]]&amp;LeaveData[[#This Row],[Date]]</f>
        <v/>
      </c>
      <c r="B4034" s="92"/>
      <c r="C4034" s="92"/>
      <c r="D4034" s="101"/>
      <c r="E4034" s="79"/>
      <c r="F4034" s="79"/>
      <c r="G4034" s="79"/>
      <c r="H4034" s="79"/>
    </row>
    <row r="4035" spans="1:8">
      <c r="A4035" s="79" t="str">
        <f>LeaveData[[#This Row],[ EMP ID]]&amp;LeaveData[[#This Row],[Date]]</f>
        <v/>
      </c>
      <c r="B4035" s="92"/>
      <c r="C4035" s="92"/>
      <c r="D4035" s="101"/>
      <c r="E4035" s="79"/>
      <c r="F4035" s="79"/>
      <c r="G4035" s="79"/>
      <c r="H4035" s="79"/>
    </row>
    <row r="4036" spans="1:8">
      <c r="A4036" s="79" t="str">
        <f>LeaveData[[#This Row],[ EMP ID]]&amp;LeaveData[[#This Row],[Date]]</f>
        <v/>
      </c>
      <c r="B4036" s="92"/>
      <c r="C4036" s="92"/>
      <c r="D4036" s="101"/>
      <c r="E4036" s="79"/>
      <c r="F4036" s="79"/>
      <c r="G4036" s="79"/>
      <c r="H4036" s="79"/>
    </row>
    <row r="4037" spans="1:8">
      <c r="A4037" s="79" t="str">
        <f>LeaveData[[#This Row],[ EMP ID]]&amp;LeaveData[[#This Row],[Date]]</f>
        <v/>
      </c>
      <c r="B4037" s="92"/>
      <c r="C4037" s="92"/>
      <c r="D4037" s="101"/>
      <c r="E4037" s="79"/>
      <c r="F4037" s="79"/>
      <c r="G4037" s="79"/>
      <c r="H4037" s="79"/>
    </row>
    <row r="4038" spans="1:8">
      <c r="A4038" s="79" t="str">
        <f>LeaveData[[#This Row],[ EMP ID]]&amp;LeaveData[[#This Row],[Date]]</f>
        <v/>
      </c>
      <c r="B4038" s="92"/>
      <c r="C4038" s="92"/>
      <c r="D4038" s="101"/>
      <c r="E4038" s="79"/>
      <c r="F4038" s="79"/>
      <c r="G4038" s="79"/>
      <c r="H4038" s="79"/>
    </row>
    <row r="4039" spans="1:8">
      <c r="A4039" s="79" t="str">
        <f>LeaveData[[#This Row],[ EMP ID]]&amp;LeaveData[[#This Row],[Date]]</f>
        <v/>
      </c>
      <c r="B4039" s="92"/>
      <c r="C4039" s="92"/>
      <c r="D4039" s="101"/>
      <c r="E4039" s="79"/>
      <c r="F4039" s="79"/>
      <c r="G4039" s="79"/>
      <c r="H4039" s="79"/>
    </row>
    <row r="4040" spans="1:8">
      <c r="A4040" s="79" t="str">
        <f>LeaveData[[#This Row],[ EMP ID]]&amp;LeaveData[[#This Row],[Date]]</f>
        <v/>
      </c>
      <c r="B4040" s="92"/>
      <c r="C4040" s="92"/>
      <c r="D4040" s="101"/>
      <c r="E4040" s="79"/>
      <c r="F4040" s="79"/>
      <c r="G4040" s="79"/>
      <c r="H4040" s="79"/>
    </row>
    <row r="4041" spans="1:8">
      <c r="A4041" s="79" t="str">
        <f>LeaveData[[#This Row],[ EMP ID]]&amp;LeaveData[[#This Row],[Date]]</f>
        <v/>
      </c>
      <c r="B4041" s="92"/>
      <c r="C4041" s="92"/>
      <c r="D4041" s="101"/>
      <c r="E4041" s="79"/>
      <c r="F4041" s="79"/>
      <c r="G4041" s="79"/>
      <c r="H4041" s="79"/>
    </row>
    <row r="4042" spans="1:8">
      <c r="A4042" s="79" t="str">
        <f>LeaveData[[#This Row],[ EMP ID]]&amp;LeaveData[[#This Row],[Date]]</f>
        <v/>
      </c>
      <c r="B4042" s="92"/>
      <c r="C4042" s="92"/>
      <c r="D4042" s="101"/>
      <c r="E4042" s="79"/>
      <c r="F4042" s="79"/>
      <c r="G4042" s="79"/>
      <c r="H4042" s="79"/>
    </row>
    <row r="4043" spans="1:8">
      <c r="A4043" s="79" t="str">
        <f>LeaveData[[#This Row],[ EMP ID]]&amp;LeaveData[[#This Row],[Date]]</f>
        <v/>
      </c>
      <c r="B4043" s="92"/>
      <c r="C4043" s="92"/>
      <c r="D4043" s="101"/>
      <c r="E4043" s="79"/>
      <c r="F4043" s="79"/>
      <c r="G4043" s="79"/>
      <c r="H4043" s="79"/>
    </row>
    <row r="4044" spans="1:8">
      <c r="A4044" s="79" t="str">
        <f>LeaveData[[#This Row],[ EMP ID]]&amp;LeaveData[[#This Row],[Date]]</f>
        <v/>
      </c>
      <c r="B4044" s="92"/>
      <c r="C4044" s="92"/>
      <c r="D4044" s="101"/>
      <c r="E4044" s="79"/>
      <c r="F4044" s="79"/>
      <c r="G4044" s="79"/>
      <c r="H4044" s="79"/>
    </row>
    <row r="4045" spans="1:8">
      <c r="A4045" s="79" t="str">
        <f>LeaveData[[#This Row],[ EMP ID]]&amp;LeaveData[[#This Row],[Date]]</f>
        <v/>
      </c>
      <c r="B4045" s="92"/>
      <c r="C4045" s="92"/>
      <c r="D4045" s="101"/>
      <c r="E4045" s="79"/>
      <c r="F4045" s="79"/>
      <c r="G4045" s="79"/>
      <c r="H4045" s="79"/>
    </row>
    <row r="4046" spans="1:8">
      <c r="A4046" s="79" t="str">
        <f>LeaveData[[#This Row],[ EMP ID]]&amp;LeaveData[[#This Row],[Date]]</f>
        <v/>
      </c>
      <c r="B4046" s="92"/>
      <c r="C4046" s="92"/>
      <c r="D4046" s="101"/>
      <c r="E4046" s="79"/>
      <c r="F4046" s="79"/>
      <c r="G4046" s="79"/>
      <c r="H4046" s="79"/>
    </row>
    <row r="4047" spans="1:8">
      <c r="A4047" s="79" t="str">
        <f>LeaveData[[#This Row],[ EMP ID]]&amp;LeaveData[[#This Row],[Date]]</f>
        <v/>
      </c>
      <c r="B4047" s="92"/>
      <c r="C4047" s="92"/>
      <c r="D4047" s="101"/>
      <c r="E4047" s="79"/>
      <c r="F4047" s="79"/>
      <c r="G4047" s="79"/>
      <c r="H4047" s="79"/>
    </row>
    <row r="4048" spans="1:8">
      <c r="A4048" s="79" t="str">
        <f>LeaveData[[#This Row],[ EMP ID]]&amp;LeaveData[[#This Row],[Date]]</f>
        <v/>
      </c>
      <c r="B4048" s="92"/>
      <c r="C4048" s="92"/>
      <c r="D4048" s="101"/>
      <c r="E4048" s="79"/>
      <c r="F4048" s="79"/>
      <c r="G4048" s="79"/>
      <c r="H4048" s="79"/>
    </row>
    <row r="4049" spans="1:8">
      <c r="A4049" s="79" t="str">
        <f>LeaveData[[#This Row],[ EMP ID]]&amp;LeaveData[[#This Row],[Date]]</f>
        <v/>
      </c>
      <c r="B4049" s="92"/>
      <c r="C4049" s="92"/>
      <c r="D4049" s="101"/>
      <c r="E4049" s="79"/>
      <c r="F4049" s="79"/>
      <c r="G4049" s="79"/>
      <c r="H4049" s="79"/>
    </row>
    <row r="4050" spans="1:8">
      <c r="A4050" s="79" t="str">
        <f>LeaveData[[#This Row],[ EMP ID]]&amp;LeaveData[[#This Row],[Date]]</f>
        <v/>
      </c>
      <c r="B4050" s="92"/>
      <c r="C4050" s="92"/>
      <c r="D4050" s="101"/>
      <c r="E4050" s="79"/>
      <c r="F4050" s="79"/>
      <c r="G4050" s="79"/>
      <c r="H4050" s="79"/>
    </row>
    <row r="4051" spans="1:8">
      <c r="A4051" s="79" t="str">
        <f>LeaveData[[#This Row],[ EMP ID]]&amp;LeaveData[[#This Row],[Date]]</f>
        <v/>
      </c>
      <c r="B4051" s="92"/>
      <c r="C4051" s="92"/>
      <c r="D4051" s="101"/>
      <c r="E4051" s="79"/>
      <c r="F4051" s="79"/>
      <c r="G4051" s="79"/>
      <c r="H4051" s="79"/>
    </row>
    <row r="4052" spans="1:8">
      <c r="A4052" s="79" t="str">
        <f>LeaveData[[#This Row],[ EMP ID]]&amp;LeaveData[[#This Row],[Date]]</f>
        <v/>
      </c>
      <c r="B4052" s="92"/>
      <c r="C4052" s="92"/>
      <c r="D4052" s="101"/>
      <c r="E4052" s="79"/>
      <c r="F4052" s="79"/>
      <c r="G4052" s="79"/>
      <c r="H4052" s="79"/>
    </row>
    <row r="4053" spans="1:8">
      <c r="A4053" s="79" t="str">
        <f>LeaveData[[#This Row],[ EMP ID]]&amp;LeaveData[[#This Row],[Date]]</f>
        <v/>
      </c>
      <c r="B4053" s="92"/>
      <c r="C4053" s="92"/>
      <c r="D4053" s="101"/>
      <c r="E4053" s="79"/>
      <c r="F4053" s="79"/>
      <c r="G4053" s="79"/>
      <c r="H4053" s="79"/>
    </row>
    <row r="4054" spans="1:8">
      <c r="A4054" s="79" t="str">
        <f>LeaveData[[#This Row],[ EMP ID]]&amp;LeaveData[[#This Row],[Date]]</f>
        <v/>
      </c>
      <c r="B4054" s="92"/>
      <c r="C4054" s="92"/>
      <c r="D4054" s="101"/>
      <c r="E4054" s="79"/>
      <c r="F4054" s="79"/>
      <c r="G4054" s="79"/>
      <c r="H4054" s="79"/>
    </row>
    <row r="4055" spans="1:8">
      <c r="A4055" s="79" t="str">
        <f>LeaveData[[#This Row],[ EMP ID]]&amp;LeaveData[[#This Row],[Date]]</f>
        <v/>
      </c>
      <c r="B4055" s="92"/>
      <c r="C4055" s="92"/>
      <c r="D4055" s="101"/>
      <c r="E4055" s="79"/>
      <c r="F4055" s="79"/>
      <c r="G4055" s="79"/>
      <c r="H4055" s="79"/>
    </row>
    <row r="4056" spans="1:8">
      <c r="A4056" s="79" t="str">
        <f>LeaveData[[#This Row],[ EMP ID]]&amp;LeaveData[[#This Row],[Date]]</f>
        <v/>
      </c>
      <c r="B4056" s="92"/>
      <c r="C4056" s="92"/>
      <c r="D4056" s="101"/>
      <c r="E4056" s="79"/>
      <c r="F4056" s="79"/>
      <c r="G4056" s="79"/>
      <c r="H4056" s="79"/>
    </row>
    <row r="4057" spans="1:8">
      <c r="A4057" s="79" t="str">
        <f>LeaveData[[#This Row],[ EMP ID]]&amp;LeaveData[[#This Row],[Date]]</f>
        <v/>
      </c>
      <c r="B4057" s="92"/>
      <c r="C4057" s="92"/>
      <c r="D4057" s="101"/>
      <c r="E4057" s="79"/>
      <c r="F4057" s="79"/>
      <c r="G4057" s="79"/>
      <c r="H4057" s="79"/>
    </row>
    <row r="4058" spans="1:8">
      <c r="A4058" s="79" t="str">
        <f>LeaveData[[#This Row],[ EMP ID]]&amp;LeaveData[[#This Row],[Date]]</f>
        <v/>
      </c>
      <c r="B4058" s="92"/>
      <c r="C4058" s="92"/>
      <c r="D4058" s="101"/>
      <c r="E4058" s="79"/>
      <c r="F4058" s="79"/>
      <c r="G4058" s="79"/>
      <c r="H4058" s="79"/>
    </row>
    <row r="4059" spans="1:8">
      <c r="A4059" s="79" t="str">
        <f>LeaveData[[#This Row],[ EMP ID]]&amp;LeaveData[[#This Row],[Date]]</f>
        <v/>
      </c>
      <c r="B4059" s="92"/>
      <c r="C4059" s="92"/>
      <c r="D4059" s="101"/>
      <c r="E4059" s="79"/>
      <c r="F4059" s="79"/>
      <c r="G4059" s="79"/>
      <c r="H4059" s="79"/>
    </row>
    <row r="4060" spans="1:8">
      <c r="A4060" s="79" t="str">
        <f>LeaveData[[#This Row],[ EMP ID]]&amp;LeaveData[[#This Row],[Date]]</f>
        <v/>
      </c>
      <c r="B4060" s="92"/>
      <c r="C4060" s="92"/>
      <c r="D4060" s="101"/>
      <c r="E4060" s="79"/>
      <c r="F4060" s="79"/>
      <c r="G4060" s="79"/>
      <c r="H4060" s="79"/>
    </row>
    <row r="4061" spans="1:8">
      <c r="A4061" s="79" t="str">
        <f>LeaveData[[#This Row],[ EMP ID]]&amp;LeaveData[[#This Row],[Date]]</f>
        <v/>
      </c>
      <c r="B4061" s="92"/>
      <c r="C4061" s="92"/>
      <c r="D4061" s="101"/>
      <c r="E4061" s="79"/>
      <c r="F4061" s="79"/>
      <c r="G4061" s="79"/>
      <c r="H4061" s="79"/>
    </row>
    <row r="4062" spans="1:8">
      <c r="A4062" s="79" t="str">
        <f>LeaveData[[#This Row],[ EMP ID]]&amp;LeaveData[[#This Row],[Date]]</f>
        <v/>
      </c>
      <c r="B4062" s="92"/>
      <c r="C4062" s="92"/>
      <c r="D4062" s="101"/>
      <c r="E4062" s="79"/>
      <c r="F4062" s="79"/>
      <c r="G4062" s="79"/>
      <c r="H4062" s="79"/>
    </row>
    <row r="4063" spans="1:8">
      <c r="A4063" s="79" t="str">
        <f>LeaveData[[#This Row],[ EMP ID]]&amp;LeaveData[[#This Row],[Date]]</f>
        <v/>
      </c>
      <c r="B4063" s="92"/>
      <c r="C4063" s="92"/>
      <c r="D4063" s="101"/>
      <c r="E4063" s="79"/>
      <c r="F4063" s="79"/>
      <c r="G4063" s="79"/>
      <c r="H4063" s="79"/>
    </row>
    <row r="4064" spans="1:8">
      <c r="A4064" s="79" t="str">
        <f>LeaveData[[#This Row],[ EMP ID]]&amp;LeaveData[[#This Row],[Date]]</f>
        <v/>
      </c>
      <c r="B4064" s="92"/>
      <c r="C4064" s="92"/>
      <c r="D4064" s="101"/>
      <c r="E4064" s="79"/>
      <c r="F4064" s="79"/>
      <c r="G4064" s="79"/>
      <c r="H4064" s="79"/>
    </row>
    <row r="4065" spans="1:8">
      <c r="A4065" s="79" t="str">
        <f>LeaveData[[#This Row],[ EMP ID]]&amp;LeaveData[[#This Row],[Date]]</f>
        <v/>
      </c>
      <c r="B4065" s="92"/>
      <c r="C4065" s="92"/>
      <c r="D4065" s="101"/>
      <c r="E4065" s="79"/>
      <c r="F4065" s="79"/>
      <c r="G4065" s="79"/>
      <c r="H4065" s="79"/>
    </row>
    <row r="4066" spans="1:8">
      <c r="A4066" s="79" t="str">
        <f>LeaveData[[#This Row],[ EMP ID]]&amp;LeaveData[[#This Row],[Date]]</f>
        <v/>
      </c>
      <c r="B4066" s="92"/>
      <c r="C4066" s="92"/>
      <c r="D4066" s="101"/>
      <c r="E4066" s="79"/>
      <c r="F4066" s="79"/>
      <c r="G4066" s="79"/>
      <c r="H4066" s="79"/>
    </row>
    <row r="4067" spans="1:8">
      <c r="A4067" s="79" t="str">
        <f>LeaveData[[#This Row],[ EMP ID]]&amp;LeaveData[[#This Row],[Date]]</f>
        <v/>
      </c>
      <c r="B4067" s="92"/>
      <c r="C4067" s="92"/>
      <c r="D4067" s="101"/>
      <c r="E4067" s="79"/>
      <c r="F4067" s="79"/>
      <c r="G4067" s="79"/>
      <c r="H4067" s="79"/>
    </row>
    <row r="4068" spans="1:8">
      <c r="A4068" s="79" t="str">
        <f>LeaveData[[#This Row],[ EMP ID]]&amp;LeaveData[[#This Row],[Date]]</f>
        <v/>
      </c>
      <c r="B4068" s="92"/>
      <c r="C4068" s="92"/>
      <c r="D4068" s="101"/>
      <c r="E4068" s="79"/>
      <c r="F4068" s="79"/>
      <c r="G4068" s="79"/>
      <c r="H4068" s="79"/>
    </row>
    <row r="4069" spans="1:8">
      <c r="A4069" s="79" t="str">
        <f>LeaveData[[#This Row],[ EMP ID]]&amp;LeaveData[[#This Row],[Date]]</f>
        <v/>
      </c>
      <c r="B4069" s="92"/>
      <c r="C4069" s="92"/>
      <c r="D4069" s="101"/>
      <c r="E4069" s="79"/>
      <c r="F4069" s="79"/>
      <c r="G4069" s="79"/>
      <c r="H4069" s="79"/>
    </row>
    <row r="4070" spans="1:8">
      <c r="A4070" s="79" t="str">
        <f>LeaveData[[#This Row],[ EMP ID]]&amp;LeaveData[[#This Row],[Date]]</f>
        <v/>
      </c>
      <c r="B4070" s="92"/>
      <c r="C4070" s="92"/>
      <c r="D4070" s="101"/>
      <c r="E4070" s="79"/>
      <c r="F4070" s="79"/>
      <c r="G4070" s="79"/>
      <c r="H4070" s="79"/>
    </row>
    <row r="4071" spans="1:8">
      <c r="A4071" s="79" t="str">
        <f>LeaveData[[#This Row],[ EMP ID]]&amp;LeaveData[[#This Row],[Date]]</f>
        <v/>
      </c>
      <c r="B4071" s="92"/>
      <c r="C4071" s="92"/>
      <c r="D4071" s="101"/>
      <c r="E4071" s="79"/>
      <c r="F4071" s="79"/>
      <c r="G4071" s="79"/>
      <c r="H4071" s="79"/>
    </row>
    <row r="4072" spans="1:8">
      <c r="A4072" s="79" t="str">
        <f>LeaveData[[#This Row],[ EMP ID]]&amp;LeaveData[[#This Row],[Date]]</f>
        <v/>
      </c>
      <c r="B4072" s="92"/>
      <c r="C4072" s="92"/>
      <c r="D4072" s="101"/>
      <c r="E4072" s="79"/>
      <c r="F4072" s="79"/>
      <c r="G4072" s="79"/>
      <c r="H4072" s="79"/>
    </row>
    <row r="4073" spans="1:8">
      <c r="A4073" s="79" t="str">
        <f>LeaveData[[#This Row],[ EMP ID]]&amp;LeaveData[[#This Row],[Date]]</f>
        <v/>
      </c>
      <c r="B4073" s="92"/>
      <c r="C4073" s="92"/>
      <c r="D4073" s="101"/>
      <c r="E4073" s="79"/>
      <c r="F4073" s="79"/>
      <c r="G4073" s="79"/>
      <c r="H4073" s="79"/>
    </row>
    <row r="4074" spans="1:8">
      <c r="A4074" s="79" t="str">
        <f>LeaveData[[#This Row],[ EMP ID]]&amp;LeaveData[[#This Row],[Date]]</f>
        <v/>
      </c>
      <c r="B4074" s="92"/>
      <c r="C4074" s="92"/>
      <c r="D4074" s="101"/>
      <c r="E4074" s="79"/>
      <c r="F4074" s="79"/>
      <c r="G4074" s="79"/>
      <c r="H4074" s="79"/>
    </row>
    <row r="4075" spans="1:8">
      <c r="A4075" s="79" t="str">
        <f>LeaveData[[#This Row],[ EMP ID]]&amp;LeaveData[[#This Row],[Date]]</f>
        <v/>
      </c>
      <c r="B4075" s="92"/>
      <c r="C4075" s="92"/>
      <c r="D4075" s="101"/>
      <c r="E4075" s="79"/>
      <c r="F4075" s="79"/>
      <c r="G4075" s="79"/>
      <c r="H4075" s="79"/>
    </row>
    <row r="4076" spans="1:8">
      <c r="A4076" s="79" t="str">
        <f>LeaveData[[#This Row],[ EMP ID]]&amp;LeaveData[[#This Row],[Date]]</f>
        <v/>
      </c>
      <c r="B4076" s="92"/>
      <c r="C4076" s="92"/>
      <c r="D4076" s="101"/>
      <c r="E4076" s="79"/>
      <c r="F4076" s="79"/>
      <c r="G4076" s="79"/>
      <c r="H4076" s="79"/>
    </row>
    <row r="4077" spans="1:8">
      <c r="A4077" s="79" t="str">
        <f>LeaveData[[#This Row],[ EMP ID]]&amp;LeaveData[[#This Row],[Date]]</f>
        <v/>
      </c>
      <c r="B4077" s="92"/>
      <c r="C4077" s="92"/>
      <c r="D4077" s="101"/>
      <c r="E4077" s="79"/>
      <c r="F4077" s="79"/>
      <c r="G4077" s="79"/>
      <c r="H4077" s="79"/>
    </row>
    <row r="4078" spans="1:8">
      <c r="A4078" s="79" t="str">
        <f>LeaveData[[#This Row],[ EMP ID]]&amp;LeaveData[[#This Row],[Date]]</f>
        <v/>
      </c>
      <c r="B4078" s="92"/>
      <c r="C4078" s="92"/>
      <c r="D4078" s="101"/>
      <c r="E4078" s="79"/>
      <c r="F4078" s="79"/>
      <c r="G4078" s="79"/>
      <c r="H4078" s="79"/>
    </row>
    <row r="4079" spans="1:8">
      <c r="A4079" s="79" t="str">
        <f>LeaveData[[#This Row],[ EMP ID]]&amp;LeaveData[[#This Row],[Date]]</f>
        <v/>
      </c>
      <c r="B4079" s="92"/>
      <c r="C4079" s="92"/>
      <c r="D4079" s="101"/>
      <c r="E4079" s="79"/>
      <c r="F4079" s="79"/>
      <c r="G4079" s="79"/>
      <c r="H4079" s="79"/>
    </row>
    <row r="4080" spans="1:8">
      <c r="A4080" s="79" t="str">
        <f>LeaveData[[#This Row],[ EMP ID]]&amp;LeaveData[[#This Row],[Date]]</f>
        <v/>
      </c>
      <c r="B4080" s="92"/>
      <c r="C4080" s="92"/>
      <c r="D4080" s="101"/>
      <c r="E4080" s="79"/>
      <c r="F4080" s="79"/>
      <c r="G4080" s="79"/>
      <c r="H4080" s="79"/>
    </row>
    <row r="4081" spans="1:8">
      <c r="A4081" s="79" t="str">
        <f>LeaveData[[#This Row],[ EMP ID]]&amp;LeaveData[[#This Row],[Date]]</f>
        <v/>
      </c>
      <c r="B4081" s="92"/>
      <c r="C4081" s="92"/>
      <c r="D4081" s="101"/>
      <c r="E4081" s="79"/>
      <c r="F4081" s="79"/>
      <c r="G4081" s="79"/>
      <c r="H4081" s="79"/>
    </row>
    <row r="4082" spans="1:8">
      <c r="A4082" s="79" t="str">
        <f>LeaveData[[#This Row],[ EMP ID]]&amp;LeaveData[[#This Row],[Date]]</f>
        <v/>
      </c>
      <c r="B4082" s="92"/>
      <c r="C4082" s="92"/>
      <c r="D4082" s="101"/>
      <c r="E4082" s="79"/>
      <c r="F4082" s="79"/>
      <c r="G4082" s="79"/>
      <c r="H4082" s="79"/>
    </row>
    <row r="4083" spans="1:8">
      <c r="A4083" s="79" t="str">
        <f>LeaveData[[#This Row],[ EMP ID]]&amp;LeaveData[[#This Row],[Date]]</f>
        <v/>
      </c>
      <c r="B4083" s="92"/>
      <c r="C4083" s="92"/>
      <c r="D4083" s="101"/>
      <c r="E4083" s="79"/>
      <c r="F4083" s="79"/>
      <c r="G4083" s="79"/>
      <c r="H4083" s="79"/>
    </row>
    <row r="4084" spans="1:8">
      <c r="A4084" s="79" t="str">
        <f>LeaveData[[#This Row],[ EMP ID]]&amp;LeaveData[[#This Row],[Date]]</f>
        <v/>
      </c>
      <c r="B4084" s="92"/>
      <c r="C4084" s="92"/>
      <c r="D4084" s="101"/>
      <c r="E4084" s="79"/>
      <c r="F4084" s="79"/>
      <c r="G4084" s="79"/>
      <c r="H4084" s="79"/>
    </row>
    <row r="4085" spans="1:8">
      <c r="A4085" s="79" t="str">
        <f>LeaveData[[#This Row],[ EMP ID]]&amp;LeaveData[[#This Row],[Date]]</f>
        <v/>
      </c>
      <c r="B4085" s="92"/>
      <c r="C4085" s="92"/>
      <c r="D4085" s="101"/>
      <c r="E4085" s="79"/>
      <c r="F4085" s="79"/>
      <c r="G4085" s="79"/>
      <c r="H4085" s="79"/>
    </row>
    <row r="4086" spans="1:8">
      <c r="A4086" s="79" t="str">
        <f>LeaveData[[#This Row],[ EMP ID]]&amp;LeaveData[[#This Row],[Date]]</f>
        <v/>
      </c>
      <c r="B4086" s="92"/>
      <c r="C4086" s="92"/>
      <c r="D4086" s="101"/>
      <c r="E4086" s="79"/>
      <c r="F4086" s="79"/>
      <c r="G4086" s="79"/>
      <c r="H4086" s="79"/>
    </row>
    <row r="4087" spans="1:8">
      <c r="A4087" s="79" t="str">
        <f>LeaveData[[#This Row],[ EMP ID]]&amp;LeaveData[[#This Row],[Date]]</f>
        <v/>
      </c>
      <c r="B4087" s="92"/>
      <c r="C4087" s="92"/>
      <c r="D4087" s="101"/>
      <c r="E4087" s="79"/>
      <c r="F4087" s="79"/>
      <c r="G4087" s="79"/>
      <c r="H4087" s="79"/>
    </row>
    <row r="4088" spans="1:8">
      <c r="A4088" s="79" t="str">
        <f>LeaveData[[#This Row],[ EMP ID]]&amp;LeaveData[[#This Row],[Date]]</f>
        <v/>
      </c>
      <c r="B4088" s="92"/>
      <c r="C4088" s="92"/>
      <c r="D4088" s="101"/>
      <c r="E4088" s="79"/>
      <c r="F4088" s="79"/>
      <c r="G4088" s="79"/>
      <c r="H4088" s="79"/>
    </row>
    <row r="4089" spans="1:8">
      <c r="A4089" s="79" t="str">
        <f>LeaveData[[#This Row],[ EMP ID]]&amp;LeaveData[[#This Row],[Date]]</f>
        <v/>
      </c>
      <c r="B4089" s="92"/>
      <c r="C4089" s="92"/>
      <c r="D4089" s="101"/>
      <c r="E4089" s="79"/>
      <c r="F4089" s="79"/>
      <c r="G4089" s="79"/>
      <c r="H4089" s="79"/>
    </row>
    <row r="4090" spans="1:8">
      <c r="A4090" s="79" t="str">
        <f>LeaveData[[#This Row],[ EMP ID]]&amp;LeaveData[[#This Row],[Date]]</f>
        <v/>
      </c>
      <c r="B4090" s="92"/>
      <c r="C4090" s="92"/>
      <c r="D4090" s="101"/>
      <c r="E4090" s="79"/>
      <c r="F4090" s="79"/>
      <c r="G4090" s="79"/>
      <c r="H4090" s="79"/>
    </row>
    <row r="4091" spans="1:8">
      <c r="A4091" s="79" t="str">
        <f>LeaveData[[#This Row],[ EMP ID]]&amp;LeaveData[[#This Row],[Date]]</f>
        <v/>
      </c>
      <c r="B4091" s="92"/>
      <c r="C4091" s="92"/>
      <c r="D4091" s="101"/>
      <c r="E4091" s="79"/>
      <c r="F4091" s="79"/>
      <c r="G4091" s="79"/>
      <c r="H4091" s="79"/>
    </row>
    <row r="4092" spans="1:8">
      <c r="A4092" s="79" t="str">
        <f>LeaveData[[#This Row],[ EMP ID]]&amp;LeaveData[[#This Row],[Date]]</f>
        <v/>
      </c>
      <c r="B4092" s="92"/>
      <c r="C4092" s="92"/>
      <c r="D4092" s="101"/>
      <c r="E4092" s="79"/>
      <c r="F4092" s="79"/>
      <c r="G4092" s="79"/>
      <c r="H4092" s="79"/>
    </row>
    <row r="4093" spans="1:8">
      <c r="A4093" s="79" t="str">
        <f>LeaveData[[#This Row],[ EMP ID]]&amp;LeaveData[[#This Row],[Date]]</f>
        <v/>
      </c>
      <c r="B4093" s="92"/>
      <c r="C4093" s="92"/>
      <c r="D4093" s="101"/>
      <c r="E4093" s="79"/>
      <c r="F4093" s="79"/>
      <c r="G4093" s="79"/>
      <c r="H4093" s="79"/>
    </row>
    <row r="4094" spans="1:8">
      <c r="A4094" s="79" t="str">
        <f>LeaveData[[#This Row],[ EMP ID]]&amp;LeaveData[[#This Row],[Date]]</f>
        <v/>
      </c>
      <c r="B4094" s="92"/>
      <c r="C4094" s="92"/>
      <c r="D4094" s="101"/>
      <c r="E4094" s="79"/>
      <c r="F4094" s="79"/>
      <c r="G4094" s="79"/>
      <c r="H4094" s="79"/>
    </row>
    <row r="4095" spans="1:8">
      <c r="A4095" s="79" t="str">
        <f>LeaveData[[#This Row],[ EMP ID]]&amp;LeaveData[[#This Row],[Date]]</f>
        <v/>
      </c>
      <c r="B4095" s="92"/>
      <c r="C4095" s="92"/>
      <c r="D4095" s="101"/>
      <c r="E4095" s="79"/>
      <c r="F4095" s="79"/>
      <c r="G4095" s="79"/>
      <c r="H4095" s="79"/>
    </row>
    <row r="4096" spans="1:8">
      <c r="A4096" s="79" t="str">
        <f>LeaveData[[#This Row],[ EMP ID]]&amp;LeaveData[[#This Row],[Date]]</f>
        <v/>
      </c>
      <c r="B4096" s="92"/>
      <c r="C4096" s="92"/>
      <c r="D4096" s="101"/>
      <c r="E4096" s="79"/>
      <c r="F4096" s="79"/>
      <c r="G4096" s="79"/>
      <c r="H4096" s="79"/>
    </row>
    <row r="4097" spans="1:8">
      <c r="A4097" s="79" t="str">
        <f>LeaveData[[#This Row],[ EMP ID]]&amp;LeaveData[[#This Row],[Date]]</f>
        <v/>
      </c>
      <c r="B4097" s="92"/>
      <c r="C4097" s="92"/>
      <c r="D4097" s="101"/>
      <c r="E4097" s="79"/>
      <c r="F4097" s="79"/>
      <c r="G4097" s="79"/>
      <c r="H4097" s="79"/>
    </row>
    <row r="4098" spans="1:8">
      <c r="A4098" s="79" t="str">
        <f>LeaveData[[#This Row],[ EMP ID]]&amp;LeaveData[[#This Row],[Date]]</f>
        <v/>
      </c>
      <c r="B4098" s="92"/>
      <c r="C4098" s="92"/>
      <c r="D4098" s="101"/>
      <c r="E4098" s="79"/>
      <c r="F4098" s="79"/>
      <c r="G4098" s="79"/>
      <c r="H4098" s="79"/>
    </row>
    <row r="4099" spans="1:8">
      <c r="A4099" s="79" t="str">
        <f>LeaveData[[#This Row],[ EMP ID]]&amp;LeaveData[[#This Row],[Date]]</f>
        <v/>
      </c>
      <c r="B4099" s="92"/>
      <c r="C4099" s="92"/>
      <c r="D4099" s="101"/>
      <c r="E4099" s="79"/>
      <c r="F4099" s="79"/>
      <c r="G4099" s="79"/>
      <c r="H4099" s="79"/>
    </row>
    <row r="4100" spans="1:8">
      <c r="A4100" s="79" t="str">
        <f>LeaveData[[#This Row],[ EMP ID]]&amp;LeaveData[[#This Row],[Date]]</f>
        <v/>
      </c>
      <c r="B4100" s="92"/>
      <c r="C4100" s="92"/>
      <c r="D4100" s="101"/>
      <c r="E4100" s="79"/>
      <c r="F4100" s="79"/>
      <c r="G4100" s="79"/>
      <c r="H4100" s="79"/>
    </row>
    <row r="4101" spans="1:8">
      <c r="A4101" s="79" t="str">
        <f>LeaveData[[#This Row],[ EMP ID]]&amp;LeaveData[[#This Row],[Date]]</f>
        <v/>
      </c>
      <c r="B4101" s="92"/>
      <c r="C4101" s="92"/>
      <c r="D4101" s="101"/>
      <c r="E4101" s="79"/>
      <c r="F4101" s="79"/>
      <c r="G4101" s="79"/>
      <c r="H4101" s="79"/>
    </row>
    <row r="4102" spans="1:8">
      <c r="A4102" s="79" t="str">
        <f>LeaveData[[#This Row],[ EMP ID]]&amp;LeaveData[[#This Row],[Date]]</f>
        <v/>
      </c>
      <c r="B4102" s="92"/>
      <c r="C4102" s="92"/>
      <c r="D4102" s="101"/>
      <c r="E4102" s="79"/>
      <c r="F4102" s="79"/>
      <c r="G4102" s="79"/>
      <c r="H4102" s="79"/>
    </row>
    <row r="4103" spans="1:8">
      <c r="A4103" s="79" t="str">
        <f>LeaveData[[#This Row],[ EMP ID]]&amp;LeaveData[[#This Row],[Date]]</f>
        <v/>
      </c>
      <c r="B4103" s="92"/>
      <c r="C4103" s="92"/>
      <c r="D4103" s="101"/>
      <c r="E4103" s="79"/>
      <c r="F4103" s="79"/>
      <c r="G4103" s="79"/>
      <c r="H4103" s="79"/>
    </row>
    <row r="4104" spans="1:8">
      <c r="A4104" s="79" t="str">
        <f>LeaveData[[#This Row],[ EMP ID]]&amp;LeaveData[[#This Row],[Date]]</f>
        <v/>
      </c>
      <c r="B4104" s="92"/>
      <c r="C4104" s="92"/>
      <c r="D4104" s="101"/>
      <c r="E4104" s="79"/>
      <c r="F4104" s="79"/>
      <c r="G4104" s="79"/>
      <c r="H4104" s="79"/>
    </row>
    <row r="4105" spans="1:8">
      <c r="A4105" s="79" t="str">
        <f>LeaveData[[#This Row],[ EMP ID]]&amp;LeaveData[[#This Row],[Date]]</f>
        <v/>
      </c>
      <c r="B4105" s="92"/>
      <c r="C4105" s="92"/>
      <c r="D4105" s="101"/>
      <c r="E4105" s="79"/>
      <c r="F4105" s="79"/>
      <c r="G4105" s="79"/>
      <c r="H4105" s="79"/>
    </row>
    <row r="4106" spans="1:8">
      <c r="A4106" s="79" t="str">
        <f>LeaveData[[#This Row],[ EMP ID]]&amp;LeaveData[[#This Row],[Date]]</f>
        <v/>
      </c>
      <c r="B4106" s="92"/>
      <c r="C4106" s="92"/>
      <c r="D4106" s="101"/>
      <c r="E4106" s="79"/>
      <c r="F4106" s="79"/>
      <c r="G4106" s="79"/>
      <c r="H4106" s="79"/>
    </row>
    <row r="4107" spans="1:8">
      <c r="A4107" s="79" t="str">
        <f>LeaveData[[#This Row],[ EMP ID]]&amp;LeaveData[[#This Row],[Date]]</f>
        <v/>
      </c>
      <c r="B4107" s="92"/>
      <c r="C4107" s="92"/>
      <c r="D4107" s="101"/>
      <c r="E4107" s="79"/>
      <c r="F4107" s="79"/>
      <c r="G4107" s="79"/>
      <c r="H4107" s="79"/>
    </row>
    <row r="4108" spans="1:8">
      <c r="A4108" s="79" t="str">
        <f>LeaveData[[#This Row],[ EMP ID]]&amp;LeaveData[[#This Row],[Date]]</f>
        <v/>
      </c>
      <c r="B4108" s="92"/>
      <c r="C4108" s="92"/>
      <c r="D4108" s="101"/>
      <c r="E4108" s="79"/>
      <c r="F4108" s="79"/>
      <c r="G4108" s="79"/>
      <c r="H4108" s="79"/>
    </row>
    <row r="4109" spans="1:8">
      <c r="A4109" s="79" t="str">
        <f>LeaveData[[#This Row],[ EMP ID]]&amp;LeaveData[[#This Row],[Date]]</f>
        <v/>
      </c>
      <c r="B4109" s="92"/>
      <c r="C4109" s="92"/>
      <c r="D4109" s="101"/>
      <c r="E4109" s="79"/>
      <c r="F4109" s="79"/>
      <c r="G4109" s="79"/>
      <c r="H4109" s="79"/>
    </row>
    <row r="4110" spans="1:8">
      <c r="A4110" s="79" t="str">
        <f>LeaveData[[#This Row],[ EMP ID]]&amp;LeaveData[[#This Row],[Date]]</f>
        <v/>
      </c>
      <c r="B4110" s="92"/>
      <c r="C4110" s="92"/>
      <c r="D4110" s="101"/>
      <c r="E4110" s="79"/>
      <c r="F4110" s="79"/>
      <c r="G4110" s="79"/>
      <c r="H4110" s="79"/>
    </row>
    <row r="4111" spans="1:8">
      <c r="A4111" s="79" t="str">
        <f>LeaveData[[#This Row],[ EMP ID]]&amp;LeaveData[[#This Row],[Date]]</f>
        <v/>
      </c>
      <c r="B4111" s="92"/>
      <c r="C4111" s="92"/>
      <c r="D4111" s="101"/>
      <c r="E4111" s="79"/>
      <c r="F4111" s="79"/>
      <c r="G4111" s="79"/>
      <c r="H4111" s="79"/>
    </row>
    <row r="4112" spans="1:8">
      <c r="A4112" s="79" t="str">
        <f>LeaveData[[#This Row],[ EMP ID]]&amp;LeaveData[[#This Row],[Date]]</f>
        <v/>
      </c>
      <c r="B4112" s="92"/>
      <c r="C4112" s="92"/>
      <c r="D4112" s="101"/>
      <c r="E4112" s="79"/>
      <c r="F4112" s="79"/>
      <c r="G4112" s="79"/>
      <c r="H4112" s="79"/>
    </row>
    <row r="4113" spans="1:8">
      <c r="A4113" s="79" t="str">
        <f>LeaveData[[#This Row],[ EMP ID]]&amp;LeaveData[[#This Row],[Date]]</f>
        <v/>
      </c>
      <c r="B4113" s="92"/>
      <c r="C4113" s="92"/>
      <c r="D4113" s="101"/>
      <c r="E4113" s="79"/>
      <c r="F4113" s="79"/>
      <c r="G4113" s="79"/>
      <c r="H4113" s="79"/>
    </row>
    <row r="4114" spans="1:8">
      <c r="A4114" s="79" t="str">
        <f>LeaveData[[#This Row],[ EMP ID]]&amp;LeaveData[[#This Row],[Date]]</f>
        <v/>
      </c>
      <c r="B4114" s="92"/>
      <c r="C4114" s="92"/>
      <c r="D4114" s="101"/>
      <c r="E4114" s="79"/>
      <c r="F4114" s="79"/>
      <c r="G4114" s="79"/>
      <c r="H4114" s="79"/>
    </row>
    <row r="4115" spans="1:8">
      <c r="A4115" s="79" t="str">
        <f>LeaveData[[#This Row],[ EMP ID]]&amp;LeaveData[[#This Row],[Date]]</f>
        <v/>
      </c>
      <c r="B4115" s="92"/>
      <c r="C4115" s="92"/>
      <c r="D4115" s="101"/>
      <c r="E4115" s="79"/>
      <c r="F4115" s="79"/>
      <c r="G4115" s="79"/>
      <c r="H4115" s="79"/>
    </row>
    <row r="4116" spans="1:8">
      <c r="A4116" s="79" t="str">
        <f>LeaveData[[#This Row],[ EMP ID]]&amp;LeaveData[[#This Row],[Date]]</f>
        <v/>
      </c>
      <c r="B4116" s="92"/>
      <c r="C4116" s="92"/>
      <c r="D4116" s="101"/>
      <c r="E4116" s="79"/>
      <c r="F4116" s="79"/>
      <c r="G4116" s="79"/>
      <c r="H4116" s="79"/>
    </row>
    <row r="4117" spans="1:8">
      <c r="A4117" s="79" t="str">
        <f>LeaveData[[#This Row],[ EMP ID]]&amp;LeaveData[[#This Row],[Date]]</f>
        <v/>
      </c>
      <c r="B4117" s="92"/>
      <c r="C4117" s="92"/>
      <c r="D4117" s="101"/>
      <c r="E4117" s="79"/>
      <c r="F4117" s="79"/>
      <c r="G4117" s="79"/>
      <c r="H4117" s="79"/>
    </row>
    <row r="4118" spans="1:8">
      <c r="A4118" s="79" t="str">
        <f>LeaveData[[#This Row],[ EMP ID]]&amp;LeaveData[[#This Row],[Date]]</f>
        <v/>
      </c>
      <c r="B4118" s="92"/>
      <c r="C4118" s="92"/>
      <c r="D4118" s="101"/>
      <c r="E4118" s="79"/>
      <c r="F4118" s="79"/>
      <c r="G4118" s="79"/>
      <c r="H4118" s="79"/>
    </row>
    <row r="4119" spans="1:8">
      <c r="A4119" s="79" t="str">
        <f>LeaveData[[#This Row],[ EMP ID]]&amp;LeaveData[[#This Row],[Date]]</f>
        <v/>
      </c>
      <c r="B4119" s="92"/>
      <c r="C4119" s="92"/>
      <c r="D4119" s="101"/>
      <c r="E4119" s="79"/>
      <c r="F4119" s="79"/>
      <c r="G4119" s="79"/>
      <c r="H4119" s="79"/>
    </row>
    <row r="4120" spans="1:8">
      <c r="A4120" s="79" t="str">
        <f>LeaveData[[#This Row],[ EMP ID]]&amp;LeaveData[[#This Row],[Date]]</f>
        <v/>
      </c>
      <c r="B4120" s="92"/>
      <c r="C4120" s="92"/>
      <c r="D4120" s="101"/>
      <c r="E4120" s="79"/>
      <c r="F4120" s="79"/>
      <c r="G4120" s="79"/>
      <c r="H4120" s="79"/>
    </row>
    <row r="4121" spans="1:8">
      <c r="A4121" s="79" t="str">
        <f>LeaveData[[#This Row],[ EMP ID]]&amp;LeaveData[[#This Row],[Date]]</f>
        <v/>
      </c>
      <c r="B4121" s="92"/>
      <c r="C4121" s="92"/>
      <c r="D4121" s="101"/>
      <c r="E4121" s="79"/>
      <c r="F4121" s="79"/>
      <c r="G4121" s="79"/>
      <c r="H4121" s="79"/>
    </row>
    <row r="4122" spans="1:8">
      <c r="A4122" s="79" t="str">
        <f>LeaveData[[#This Row],[ EMP ID]]&amp;LeaveData[[#This Row],[Date]]</f>
        <v/>
      </c>
      <c r="B4122" s="92"/>
      <c r="C4122" s="92"/>
      <c r="D4122" s="101"/>
      <c r="E4122" s="79"/>
      <c r="F4122" s="79"/>
      <c r="G4122" s="79"/>
      <c r="H4122" s="79"/>
    </row>
    <row r="4123" spans="1:8">
      <c r="A4123" s="79" t="str">
        <f>LeaveData[[#This Row],[ EMP ID]]&amp;LeaveData[[#This Row],[Date]]</f>
        <v/>
      </c>
      <c r="B4123" s="92"/>
      <c r="C4123" s="92"/>
      <c r="D4123" s="101"/>
      <c r="E4123" s="79"/>
      <c r="F4123" s="79"/>
      <c r="G4123" s="79"/>
      <c r="H4123" s="79"/>
    </row>
    <row r="4124" spans="1:8">
      <c r="A4124" s="79" t="str">
        <f>LeaveData[[#This Row],[ EMP ID]]&amp;LeaveData[[#This Row],[Date]]</f>
        <v/>
      </c>
      <c r="B4124" s="92"/>
      <c r="C4124" s="92"/>
      <c r="D4124" s="101"/>
      <c r="E4124" s="79"/>
      <c r="F4124" s="79"/>
      <c r="G4124" s="79"/>
      <c r="H4124" s="79"/>
    </row>
    <row r="4125" spans="1:8">
      <c r="A4125" s="79" t="str">
        <f>LeaveData[[#This Row],[ EMP ID]]&amp;LeaveData[[#This Row],[Date]]</f>
        <v/>
      </c>
      <c r="B4125" s="92"/>
      <c r="C4125" s="92"/>
      <c r="D4125" s="101"/>
      <c r="E4125" s="79"/>
      <c r="F4125" s="79"/>
      <c r="G4125" s="79"/>
      <c r="H4125" s="79"/>
    </row>
    <row r="4126" spans="1:8">
      <c r="A4126" s="79" t="str">
        <f>LeaveData[[#This Row],[ EMP ID]]&amp;LeaveData[[#This Row],[Date]]</f>
        <v/>
      </c>
      <c r="B4126" s="92"/>
      <c r="C4126" s="92"/>
      <c r="D4126" s="101"/>
      <c r="E4126" s="79"/>
      <c r="F4126" s="79"/>
      <c r="G4126" s="79"/>
      <c r="H4126" s="79"/>
    </row>
    <row r="4127" spans="1:8">
      <c r="A4127" s="79" t="str">
        <f>LeaveData[[#This Row],[ EMP ID]]&amp;LeaveData[[#This Row],[Date]]</f>
        <v/>
      </c>
      <c r="B4127" s="92"/>
      <c r="C4127" s="92"/>
      <c r="D4127" s="101"/>
      <c r="E4127" s="79"/>
      <c r="F4127" s="79"/>
      <c r="G4127" s="79"/>
      <c r="H4127" s="79"/>
    </row>
    <row r="4128" spans="1:8">
      <c r="A4128" s="79" t="str">
        <f>LeaveData[[#This Row],[ EMP ID]]&amp;LeaveData[[#This Row],[Date]]</f>
        <v/>
      </c>
      <c r="B4128" s="92"/>
      <c r="C4128" s="92"/>
      <c r="D4128" s="101"/>
      <c r="E4128" s="79"/>
      <c r="F4128" s="79"/>
      <c r="G4128" s="79"/>
      <c r="H4128" s="79"/>
    </row>
    <row r="4129" spans="1:8">
      <c r="A4129" s="79" t="str">
        <f>LeaveData[[#This Row],[ EMP ID]]&amp;LeaveData[[#This Row],[Date]]</f>
        <v/>
      </c>
      <c r="B4129" s="92"/>
      <c r="C4129" s="92"/>
      <c r="D4129" s="101"/>
      <c r="E4129" s="79"/>
      <c r="F4129" s="79"/>
      <c r="G4129" s="79"/>
      <c r="H4129" s="79"/>
    </row>
    <row r="4130" spans="1:8">
      <c r="A4130" s="79" t="str">
        <f>LeaveData[[#This Row],[ EMP ID]]&amp;LeaveData[[#This Row],[Date]]</f>
        <v/>
      </c>
      <c r="B4130" s="92"/>
      <c r="C4130" s="92"/>
      <c r="D4130" s="101"/>
      <c r="E4130" s="79"/>
      <c r="F4130" s="79"/>
      <c r="G4130" s="79"/>
      <c r="H4130" s="79"/>
    </row>
    <row r="4131" spans="1:8">
      <c r="A4131" s="79" t="str">
        <f>LeaveData[[#This Row],[ EMP ID]]&amp;LeaveData[[#This Row],[Date]]</f>
        <v/>
      </c>
      <c r="B4131" s="92"/>
      <c r="C4131" s="92"/>
      <c r="D4131" s="101"/>
      <c r="E4131" s="79"/>
      <c r="F4131" s="79"/>
      <c r="G4131" s="79"/>
      <c r="H4131" s="79"/>
    </row>
    <row r="4132" spans="1:8">
      <c r="A4132" s="79" t="str">
        <f>LeaveData[[#This Row],[ EMP ID]]&amp;LeaveData[[#This Row],[Date]]</f>
        <v/>
      </c>
      <c r="B4132" s="92"/>
      <c r="C4132" s="92"/>
      <c r="D4132" s="101"/>
      <c r="E4132" s="79"/>
      <c r="F4132" s="79"/>
      <c r="G4132" s="79"/>
      <c r="H4132" s="79"/>
    </row>
    <row r="4133" spans="1:8">
      <c r="A4133" s="79" t="str">
        <f>LeaveData[[#This Row],[ EMP ID]]&amp;LeaveData[[#This Row],[Date]]</f>
        <v/>
      </c>
      <c r="B4133" s="92"/>
      <c r="C4133" s="92"/>
      <c r="D4133" s="101"/>
      <c r="E4133" s="79"/>
      <c r="F4133" s="79"/>
      <c r="G4133" s="79"/>
      <c r="H4133" s="79"/>
    </row>
    <row r="4134" spans="1:8">
      <c r="A4134" s="79" t="str">
        <f>LeaveData[[#This Row],[ EMP ID]]&amp;LeaveData[[#This Row],[Date]]</f>
        <v/>
      </c>
      <c r="B4134" s="92"/>
      <c r="C4134" s="92"/>
      <c r="D4134" s="101"/>
      <c r="E4134" s="79"/>
      <c r="F4134" s="79"/>
      <c r="G4134" s="79"/>
      <c r="H4134" s="79"/>
    </row>
    <row r="4135" spans="1:8">
      <c r="A4135" s="79" t="str">
        <f>LeaveData[[#This Row],[ EMP ID]]&amp;LeaveData[[#This Row],[Date]]</f>
        <v/>
      </c>
      <c r="B4135" s="92"/>
      <c r="C4135" s="92"/>
      <c r="D4135" s="101"/>
      <c r="E4135" s="79"/>
      <c r="F4135" s="79"/>
      <c r="G4135" s="79"/>
      <c r="H4135" s="79"/>
    </row>
    <row r="4136" spans="1:8">
      <c r="A4136" s="79" t="str">
        <f>LeaveData[[#This Row],[ EMP ID]]&amp;LeaveData[[#This Row],[Date]]</f>
        <v/>
      </c>
      <c r="B4136" s="92"/>
      <c r="C4136" s="92"/>
      <c r="D4136" s="101"/>
      <c r="E4136" s="79"/>
      <c r="F4136" s="79"/>
      <c r="G4136" s="79"/>
      <c r="H4136" s="79"/>
    </row>
    <row r="4137" spans="1:8">
      <c r="A4137" s="79" t="str">
        <f>LeaveData[[#This Row],[ EMP ID]]&amp;LeaveData[[#This Row],[Date]]</f>
        <v/>
      </c>
      <c r="B4137" s="92"/>
      <c r="C4137" s="92"/>
      <c r="D4137" s="101"/>
      <c r="E4137" s="79"/>
      <c r="F4137" s="79"/>
      <c r="G4137" s="79"/>
      <c r="H4137" s="79"/>
    </row>
    <row r="4138" spans="1:8">
      <c r="A4138" s="79" t="str">
        <f>LeaveData[[#This Row],[ EMP ID]]&amp;LeaveData[[#This Row],[Date]]</f>
        <v/>
      </c>
      <c r="B4138" s="92"/>
      <c r="C4138" s="92"/>
      <c r="D4138" s="101"/>
      <c r="E4138" s="79"/>
      <c r="F4138" s="79"/>
      <c r="G4138" s="79"/>
      <c r="H4138" s="79"/>
    </row>
    <row r="4139" spans="1:8">
      <c r="A4139" s="79" t="str">
        <f>LeaveData[[#This Row],[ EMP ID]]&amp;LeaveData[[#This Row],[Date]]</f>
        <v/>
      </c>
      <c r="B4139" s="92"/>
      <c r="C4139" s="92"/>
      <c r="D4139" s="101"/>
      <c r="E4139" s="79"/>
      <c r="F4139" s="79"/>
      <c r="G4139" s="79"/>
      <c r="H4139" s="79"/>
    </row>
    <row r="4140" spans="1:8">
      <c r="A4140" s="79" t="str">
        <f>LeaveData[[#This Row],[ EMP ID]]&amp;LeaveData[[#This Row],[Date]]</f>
        <v/>
      </c>
      <c r="B4140" s="92"/>
      <c r="C4140" s="92"/>
      <c r="D4140" s="101"/>
      <c r="E4140" s="79"/>
      <c r="F4140" s="79"/>
      <c r="G4140" s="79"/>
      <c r="H4140" s="79"/>
    </row>
    <row r="4141" spans="1:8">
      <c r="A4141" s="79" t="str">
        <f>LeaveData[[#This Row],[ EMP ID]]&amp;LeaveData[[#This Row],[Date]]</f>
        <v/>
      </c>
      <c r="B4141" s="92"/>
      <c r="C4141" s="92"/>
      <c r="D4141" s="101"/>
      <c r="E4141" s="79"/>
      <c r="F4141" s="79"/>
      <c r="G4141" s="79"/>
      <c r="H4141" s="79"/>
    </row>
    <row r="4142" spans="1:8">
      <c r="A4142" s="79" t="str">
        <f>LeaveData[[#This Row],[ EMP ID]]&amp;LeaveData[[#This Row],[Date]]</f>
        <v/>
      </c>
      <c r="B4142" s="92"/>
      <c r="C4142" s="92"/>
      <c r="D4142" s="101"/>
      <c r="E4142" s="79"/>
      <c r="F4142" s="79"/>
      <c r="G4142" s="79"/>
      <c r="H4142" s="79"/>
    </row>
    <row r="4143" spans="1:8">
      <c r="A4143" s="79" t="str">
        <f>LeaveData[[#This Row],[ EMP ID]]&amp;LeaveData[[#This Row],[Date]]</f>
        <v/>
      </c>
      <c r="B4143" s="92"/>
      <c r="C4143" s="92"/>
      <c r="D4143" s="101"/>
      <c r="E4143" s="79"/>
      <c r="F4143" s="79"/>
      <c r="G4143" s="79"/>
      <c r="H4143" s="79"/>
    </row>
    <row r="4144" spans="1:8">
      <c r="A4144" s="79" t="str">
        <f>LeaveData[[#This Row],[ EMP ID]]&amp;LeaveData[[#This Row],[Date]]</f>
        <v/>
      </c>
      <c r="B4144" s="92"/>
      <c r="C4144" s="92"/>
      <c r="D4144" s="101"/>
      <c r="E4144" s="79"/>
      <c r="F4144" s="79"/>
      <c r="G4144" s="79"/>
      <c r="H4144" s="79"/>
    </row>
    <row r="4145" spans="1:8">
      <c r="A4145" s="79" t="str">
        <f>LeaveData[[#This Row],[ EMP ID]]&amp;LeaveData[[#This Row],[Date]]</f>
        <v/>
      </c>
      <c r="B4145" s="92"/>
      <c r="C4145" s="92"/>
      <c r="D4145" s="101"/>
      <c r="E4145" s="79"/>
      <c r="F4145" s="79"/>
      <c r="G4145" s="79"/>
      <c r="H4145" s="79"/>
    </row>
    <row r="4146" spans="1:8">
      <c r="A4146" s="79" t="str">
        <f>LeaveData[[#This Row],[ EMP ID]]&amp;LeaveData[[#This Row],[Date]]</f>
        <v/>
      </c>
      <c r="B4146" s="92"/>
      <c r="C4146" s="92"/>
      <c r="D4146" s="101"/>
      <c r="E4146" s="79"/>
      <c r="F4146" s="79"/>
      <c r="G4146" s="79"/>
      <c r="H4146" s="79"/>
    </row>
    <row r="4147" spans="1:8">
      <c r="A4147" s="79" t="str">
        <f>LeaveData[[#This Row],[ EMP ID]]&amp;LeaveData[[#This Row],[Date]]</f>
        <v/>
      </c>
      <c r="B4147" s="92"/>
      <c r="C4147" s="92"/>
      <c r="D4147" s="101"/>
      <c r="E4147" s="79"/>
      <c r="F4147" s="79"/>
      <c r="G4147" s="79"/>
      <c r="H4147" s="79"/>
    </row>
    <row r="4148" spans="1:8">
      <c r="A4148" s="79" t="str">
        <f>LeaveData[[#This Row],[ EMP ID]]&amp;LeaveData[[#This Row],[Date]]</f>
        <v/>
      </c>
      <c r="B4148" s="92"/>
      <c r="C4148" s="92"/>
      <c r="D4148" s="101"/>
      <c r="E4148" s="79"/>
      <c r="F4148" s="79"/>
      <c r="G4148" s="79"/>
      <c r="H4148" s="79"/>
    </row>
    <row r="4149" spans="1:8">
      <c r="A4149" s="79" t="str">
        <f>LeaveData[[#This Row],[ EMP ID]]&amp;LeaveData[[#This Row],[Date]]</f>
        <v/>
      </c>
      <c r="B4149" s="92"/>
      <c r="C4149" s="92"/>
      <c r="D4149" s="101"/>
      <c r="E4149" s="79"/>
      <c r="F4149" s="79"/>
      <c r="G4149" s="79"/>
      <c r="H4149" s="79"/>
    </row>
    <row r="4150" spans="1:8">
      <c r="A4150" s="79" t="str">
        <f>LeaveData[[#This Row],[ EMP ID]]&amp;LeaveData[[#This Row],[Date]]</f>
        <v/>
      </c>
      <c r="B4150" s="92"/>
      <c r="C4150" s="92"/>
      <c r="D4150" s="101"/>
      <c r="E4150" s="79"/>
      <c r="F4150" s="79"/>
      <c r="G4150" s="79"/>
      <c r="H4150" s="79"/>
    </row>
    <row r="4151" spans="1:8">
      <c r="A4151" s="79" t="str">
        <f>LeaveData[[#This Row],[ EMP ID]]&amp;LeaveData[[#This Row],[Date]]</f>
        <v/>
      </c>
      <c r="B4151" s="92"/>
      <c r="C4151" s="92"/>
      <c r="D4151" s="101"/>
      <c r="E4151" s="79"/>
      <c r="F4151" s="79"/>
      <c r="G4151" s="79"/>
      <c r="H4151" s="79"/>
    </row>
    <row r="4152" spans="1:8">
      <c r="A4152" s="79" t="str">
        <f>LeaveData[[#This Row],[ EMP ID]]&amp;LeaveData[[#This Row],[Date]]</f>
        <v/>
      </c>
      <c r="B4152" s="92"/>
      <c r="C4152" s="92"/>
      <c r="D4152" s="101"/>
      <c r="E4152" s="79"/>
      <c r="F4152" s="79"/>
      <c r="G4152" s="79"/>
      <c r="H4152" s="79"/>
    </row>
    <row r="4153" spans="1:8">
      <c r="A4153" s="79" t="str">
        <f>LeaveData[[#This Row],[ EMP ID]]&amp;LeaveData[[#This Row],[Date]]</f>
        <v/>
      </c>
      <c r="B4153" s="92"/>
      <c r="C4153" s="92"/>
      <c r="D4153" s="101"/>
      <c r="E4153" s="79"/>
      <c r="F4153" s="79"/>
      <c r="G4153" s="79"/>
      <c r="H4153" s="79"/>
    </row>
    <row r="4154" spans="1:8">
      <c r="A4154" s="79" t="str">
        <f>LeaveData[[#This Row],[ EMP ID]]&amp;LeaveData[[#This Row],[Date]]</f>
        <v/>
      </c>
      <c r="B4154" s="92"/>
      <c r="C4154" s="92"/>
      <c r="D4154" s="101"/>
      <c r="E4154" s="79"/>
      <c r="F4154" s="79"/>
      <c r="G4154" s="79"/>
      <c r="H4154" s="79"/>
    </row>
    <row r="4155" spans="1:8">
      <c r="A4155" s="79" t="str">
        <f>LeaveData[[#This Row],[ EMP ID]]&amp;LeaveData[[#This Row],[Date]]</f>
        <v/>
      </c>
      <c r="B4155" s="92"/>
      <c r="C4155" s="92"/>
      <c r="D4155" s="101"/>
      <c r="E4155" s="79"/>
      <c r="F4155" s="79"/>
      <c r="G4155" s="79"/>
      <c r="H4155" s="79"/>
    </row>
    <row r="4156" spans="1:8">
      <c r="A4156" s="79" t="str">
        <f>LeaveData[[#This Row],[ EMP ID]]&amp;LeaveData[[#This Row],[Date]]</f>
        <v/>
      </c>
      <c r="B4156" s="92"/>
      <c r="C4156" s="92"/>
      <c r="D4156" s="101"/>
      <c r="E4156" s="79"/>
      <c r="F4156" s="79"/>
      <c r="G4156" s="79"/>
      <c r="H4156" s="79"/>
    </row>
    <row r="4157" spans="1:8">
      <c r="A4157" s="79" t="str">
        <f>LeaveData[[#This Row],[ EMP ID]]&amp;LeaveData[[#This Row],[Date]]</f>
        <v/>
      </c>
      <c r="B4157" s="92"/>
      <c r="C4157" s="92"/>
      <c r="D4157" s="101"/>
      <c r="E4157" s="79"/>
      <c r="F4157" s="79"/>
      <c r="G4157" s="79"/>
      <c r="H4157" s="79"/>
    </row>
    <row r="4158" spans="1:8">
      <c r="A4158" s="79" t="str">
        <f>LeaveData[[#This Row],[ EMP ID]]&amp;LeaveData[[#This Row],[Date]]</f>
        <v/>
      </c>
      <c r="B4158" s="92"/>
      <c r="C4158" s="92"/>
      <c r="D4158" s="101"/>
      <c r="E4158" s="79"/>
      <c r="F4158" s="79"/>
      <c r="G4158" s="79"/>
      <c r="H4158" s="79"/>
    </row>
    <row r="4159" spans="1:8">
      <c r="A4159" s="79" t="str">
        <f>LeaveData[[#This Row],[ EMP ID]]&amp;LeaveData[[#This Row],[Date]]</f>
        <v/>
      </c>
      <c r="B4159" s="92"/>
      <c r="C4159" s="92"/>
      <c r="D4159" s="101"/>
      <c r="E4159" s="79"/>
      <c r="F4159" s="79"/>
      <c r="G4159" s="79"/>
      <c r="H4159" s="79"/>
    </row>
    <row r="4160" spans="1:8">
      <c r="A4160" s="79" t="str">
        <f>LeaveData[[#This Row],[ EMP ID]]&amp;LeaveData[[#This Row],[Date]]</f>
        <v/>
      </c>
      <c r="B4160" s="92"/>
      <c r="C4160" s="92"/>
      <c r="D4160" s="101"/>
      <c r="E4160" s="79"/>
      <c r="F4160" s="79"/>
      <c r="G4160" s="79"/>
      <c r="H4160" s="79"/>
    </row>
    <row r="4161" spans="1:8">
      <c r="A4161" s="79" t="str">
        <f>LeaveData[[#This Row],[ EMP ID]]&amp;LeaveData[[#This Row],[Date]]</f>
        <v/>
      </c>
      <c r="B4161" s="92"/>
      <c r="C4161" s="92"/>
      <c r="D4161" s="101"/>
      <c r="E4161" s="79"/>
      <c r="F4161" s="79"/>
      <c r="G4161" s="79"/>
      <c r="H4161" s="79"/>
    </row>
    <row r="4162" spans="1:8">
      <c r="A4162" s="79" t="str">
        <f>LeaveData[[#This Row],[ EMP ID]]&amp;LeaveData[[#This Row],[Date]]</f>
        <v/>
      </c>
      <c r="B4162" s="92"/>
      <c r="C4162" s="92"/>
      <c r="D4162" s="101"/>
      <c r="E4162" s="79"/>
      <c r="F4162" s="79"/>
      <c r="G4162" s="79"/>
      <c r="H4162" s="79"/>
    </row>
    <row r="4163" spans="1:8">
      <c r="A4163" s="79" t="str">
        <f>LeaveData[[#This Row],[ EMP ID]]&amp;LeaveData[[#This Row],[Date]]</f>
        <v/>
      </c>
      <c r="B4163" s="92"/>
      <c r="C4163" s="92"/>
      <c r="D4163" s="101"/>
      <c r="E4163" s="79"/>
      <c r="F4163" s="79"/>
      <c r="G4163" s="79"/>
      <c r="H4163" s="79"/>
    </row>
    <row r="4164" spans="1:8">
      <c r="A4164" s="79" t="str">
        <f>LeaveData[[#This Row],[ EMP ID]]&amp;LeaveData[[#This Row],[Date]]</f>
        <v/>
      </c>
      <c r="B4164" s="92"/>
      <c r="C4164" s="92"/>
      <c r="D4164" s="101"/>
      <c r="E4164" s="79"/>
      <c r="F4164" s="79"/>
      <c r="G4164" s="79"/>
      <c r="H4164" s="79"/>
    </row>
    <row r="4165" spans="1:8">
      <c r="A4165" s="79" t="str">
        <f>LeaveData[[#This Row],[ EMP ID]]&amp;LeaveData[[#This Row],[Date]]</f>
        <v/>
      </c>
      <c r="B4165" s="92"/>
      <c r="C4165" s="92"/>
      <c r="D4165" s="101"/>
      <c r="E4165" s="79"/>
      <c r="F4165" s="79"/>
      <c r="G4165" s="79"/>
      <c r="H4165" s="79"/>
    </row>
    <row r="4166" spans="1:8">
      <c r="A4166" s="79" t="str">
        <f>LeaveData[[#This Row],[ EMP ID]]&amp;LeaveData[[#This Row],[Date]]</f>
        <v/>
      </c>
      <c r="B4166" s="92"/>
      <c r="C4166" s="92"/>
      <c r="D4166" s="101"/>
      <c r="E4166" s="79"/>
      <c r="F4166" s="79"/>
      <c r="G4166" s="79"/>
      <c r="H4166" s="79"/>
    </row>
    <row r="4167" spans="1:8">
      <c r="A4167" s="79" t="str">
        <f>LeaveData[[#This Row],[ EMP ID]]&amp;LeaveData[[#This Row],[Date]]</f>
        <v/>
      </c>
      <c r="B4167" s="92"/>
      <c r="C4167" s="92"/>
      <c r="D4167" s="101"/>
      <c r="E4167" s="79"/>
      <c r="F4167" s="79"/>
      <c r="G4167" s="79"/>
      <c r="H4167" s="79"/>
    </row>
    <row r="4168" spans="1:8">
      <c r="A4168" s="79" t="str">
        <f>LeaveData[[#This Row],[ EMP ID]]&amp;LeaveData[[#This Row],[Date]]</f>
        <v/>
      </c>
      <c r="B4168" s="92"/>
      <c r="C4168" s="92"/>
      <c r="D4168" s="101"/>
      <c r="E4168" s="79"/>
      <c r="F4168" s="79"/>
      <c r="G4168" s="79"/>
      <c r="H4168" s="79"/>
    </row>
    <row r="4169" spans="1:8">
      <c r="A4169" s="79" t="str">
        <f>LeaveData[[#This Row],[ EMP ID]]&amp;LeaveData[[#This Row],[Date]]</f>
        <v/>
      </c>
      <c r="B4169" s="92"/>
      <c r="C4169" s="92"/>
      <c r="D4169" s="101"/>
      <c r="E4169" s="79"/>
      <c r="F4169" s="79"/>
      <c r="G4169" s="79"/>
      <c r="H4169" s="79"/>
    </row>
    <row r="4170" spans="1:8">
      <c r="A4170" s="79" t="str">
        <f>LeaveData[[#This Row],[ EMP ID]]&amp;LeaveData[[#This Row],[Date]]</f>
        <v/>
      </c>
      <c r="B4170" s="92"/>
      <c r="C4170" s="92"/>
      <c r="D4170" s="101"/>
      <c r="E4170" s="79"/>
      <c r="F4170" s="79"/>
      <c r="G4170" s="79"/>
      <c r="H4170" s="79"/>
    </row>
    <row r="4171" spans="1:8">
      <c r="A4171" s="79" t="str">
        <f>LeaveData[[#This Row],[ EMP ID]]&amp;LeaveData[[#This Row],[Date]]</f>
        <v/>
      </c>
      <c r="B4171" s="92"/>
      <c r="C4171" s="92"/>
      <c r="D4171" s="101"/>
      <c r="E4171" s="79"/>
      <c r="F4171" s="79"/>
      <c r="G4171" s="79"/>
      <c r="H4171" s="79"/>
    </row>
    <row r="4172" spans="1:8">
      <c r="A4172" s="79" t="str">
        <f>LeaveData[[#This Row],[ EMP ID]]&amp;LeaveData[[#This Row],[Date]]</f>
        <v/>
      </c>
      <c r="B4172" s="92"/>
      <c r="C4172" s="92"/>
      <c r="D4172" s="101"/>
      <c r="E4172" s="79"/>
      <c r="F4172" s="79"/>
      <c r="G4172" s="79"/>
      <c r="H4172" s="79"/>
    </row>
    <row r="4173" spans="1:8">
      <c r="A4173" s="79" t="str">
        <f>LeaveData[[#This Row],[ EMP ID]]&amp;LeaveData[[#This Row],[Date]]</f>
        <v/>
      </c>
      <c r="B4173" s="92"/>
      <c r="C4173" s="92"/>
      <c r="D4173" s="101"/>
      <c r="E4173" s="79"/>
      <c r="F4173" s="79"/>
      <c r="G4173" s="79"/>
      <c r="H4173" s="79"/>
    </row>
    <row r="4174" spans="1:8">
      <c r="A4174" s="79" t="str">
        <f>LeaveData[[#This Row],[ EMP ID]]&amp;LeaveData[[#This Row],[Date]]</f>
        <v/>
      </c>
      <c r="B4174" s="92"/>
      <c r="C4174" s="92"/>
      <c r="D4174" s="101"/>
      <c r="E4174" s="79"/>
      <c r="F4174" s="79"/>
      <c r="G4174" s="79"/>
      <c r="H4174" s="79"/>
    </row>
    <row r="4175" spans="1:8">
      <c r="A4175" s="79" t="str">
        <f>LeaveData[[#This Row],[ EMP ID]]&amp;LeaveData[[#This Row],[Date]]</f>
        <v/>
      </c>
      <c r="B4175" s="92"/>
      <c r="C4175" s="92"/>
      <c r="D4175" s="101"/>
      <c r="E4175" s="79"/>
      <c r="F4175" s="79"/>
      <c r="G4175" s="79"/>
      <c r="H4175" s="79"/>
    </row>
    <row r="4176" spans="1:8">
      <c r="A4176" s="79" t="str">
        <f>LeaveData[[#This Row],[ EMP ID]]&amp;LeaveData[[#This Row],[Date]]</f>
        <v/>
      </c>
      <c r="B4176" s="92"/>
      <c r="C4176" s="92"/>
      <c r="D4176" s="101"/>
      <c r="E4176" s="79"/>
      <c r="F4176" s="79"/>
      <c r="G4176" s="79"/>
      <c r="H4176" s="79"/>
    </row>
    <row r="4177" spans="1:8">
      <c r="A4177" s="79" t="str">
        <f>LeaveData[[#This Row],[ EMP ID]]&amp;LeaveData[[#This Row],[Date]]</f>
        <v/>
      </c>
      <c r="B4177" s="92"/>
      <c r="C4177" s="92"/>
      <c r="D4177" s="101"/>
      <c r="E4177" s="79"/>
      <c r="F4177" s="79"/>
      <c r="G4177" s="79"/>
      <c r="H4177" s="79"/>
    </row>
    <row r="4178" spans="1:8">
      <c r="A4178" s="79" t="str">
        <f>LeaveData[[#This Row],[ EMP ID]]&amp;LeaveData[[#This Row],[Date]]</f>
        <v/>
      </c>
      <c r="B4178" s="92"/>
      <c r="C4178" s="92"/>
      <c r="D4178" s="101"/>
      <c r="E4178" s="79"/>
      <c r="F4178" s="79"/>
      <c r="G4178" s="79"/>
      <c r="H4178" s="79"/>
    </row>
    <row r="4179" spans="1:8">
      <c r="A4179" s="79" t="str">
        <f>LeaveData[[#This Row],[ EMP ID]]&amp;LeaveData[[#This Row],[Date]]</f>
        <v/>
      </c>
      <c r="B4179" s="92"/>
      <c r="C4179" s="92"/>
      <c r="D4179" s="101"/>
      <c r="E4179" s="79"/>
      <c r="F4179" s="79"/>
      <c r="G4179" s="79"/>
      <c r="H4179" s="79"/>
    </row>
    <row r="4180" spans="1:8">
      <c r="A4180" s="79" t="str">
        <f>LeaveData[[#This Row],[ EMP ID]]&amp;LeaveData[[#This Row],[Date]]</f>
        <v/>
      </c>
      <c r="B4180" s="92"/>
      <c r="C4180" s="92"/>
      <c r="D4180" s="101"/>
      <c r="E4180" s="79"/>
      <c r="F4180" s="79"/>
      <c r="G4180" s="79"/>
      <c r="H4180" s="79"/>
    </row>
    <row r="4181" spans="1:8">
      <c r="A4181" s="79" t="str">
        <f>LeaveData[[#This Row],[ EMP ID]]&amp;LeaveData[[#This Row],[Date]]</f>
        <v/>
      </c>
      <c r="B4181" s="92"/>
      <c r="C4181" s="92"/>
      <c r="D4181" s="101"/>
      <c r="E4181" s="79"/>
      <c r="F4181" s="79"/>
      <c r="G4181" s="79"/>
      <c r="H4181" s="79"/>
    </row>
    <row r="4182" spans="1:8">
      <c r="A4182" s="79" t="str">
        <f>LeaveData[[#This Row],[ EMP ID]]&amp;LeaveData[[#This Row],[Date]]</f>
        <v/>
      </c>
      <c r="B4182" s="92"/>
      <c r="C4182" s="92"/>
      <c r="D4182" s="101"/>
      <c r="E4182" s="79"/>
      <c r="F4182" s="79"/>
      <c r="G4182" s="79"/>
      <c r="H4182" s="79"/>
    </row>
    <row r="4183" spans="1:8">
      <c r="A4183" s="79" t="str">
        <f>LeaveData[[#This Row],[ EMP ID]]&amp;LeaveData[[#This Row],[Date]]</f>
        <v/>
      </c>
      <c r="B4183" s="92"/>
      <c r="C4183" s="92"/>
      <c r="D4183" s="101"/>
      <c r="E4183" s="79"/>
      <c r="F4183" s="79"/>
      <c r="G4183" s="79"/>
      <c r="H4183" s="79"/>
    </row>
    <row r="4184" spans="1:8">
      <c r="A4184" s="79" t="str">
        <f>LeaveData[[#This Row],[ EMP ID]]&amp;LeaveData[[#This Row],[Date]]</f>
        <v/>
      </c>
      <c r="B4184" s="92"/>
      <c r="C4184" s="92"/>
      <c r="D4184" s="101"/>
      <c r="E4184" s="79"/>
      <c r="F4184" s="79"/>
      <c r="G4184" s="79"/>
      <c r="H4184" s="79"/>
    </row>
    <row r="4185" spans="1:8">
      <c r="A4185" s="79" t="str">
        <f>LeaveData[[#This Row],[ EMP ID]]&amp;LeaveData[[#This Row],[Date]]</f>
        <v/>
      </c>
      <c r="B4185" s="92"/>
      <c r="C4185" s="92"/>
      <c r="D4185" s="101"/>
      <c r="E4185" s="79"/>
      <c r="F4185" s="79"/>
      <c r="G4185" s="79"/>
      <c r="H4185" s="79"/>
    </row>
    <row r="4186" spans="1:8">
      <c r="A4186" s="79" t="str">
        <f>LeaveData[[#This Row],[ EMP ID]]&amp;LeaveData[[#This Row],[Date]]</f>
        <v/>
      </c>
      <c r="B4186" s="92"/>
      <c r="C4186" s="92"/>
      <c r="D4186" s="101"/>
      <c r="E4186" s="79"/>
      <c r="F4186" s="79"/>
      <c r="G4186" s="79"/>
      <c r="H4186" s="79"/>
    </row>
    <row r="4187" spans="1:8">
      <c r="A4187" s="79" t="str">
        <f>LeaveData[[#This Row],[ EMP ID]]&amp;LeaveData[[#This Row],[Date]]</f>
        <v/>
      </c>
      <c r="B4187" s="92"/>
      <c r="C4187" s="92"/>
      <c r="D4187" s="101"/>
      <c r="E4187" s="79"/>
      <c r="F4187" s="79"/>
      <c r="G4187" s="79"/>
      <c r="H4187" s="79"/>
    </row>
    <row r="4188" spans="1:8">
      <c r="A4188" s="79" t="str">
        <f>LeaveData[[#This Row],[ EMP ID]]&amp;LeaveData[[#This Row],[Date]]</f>
        <v/>
      </c>
      <c r="B4188" s="92"/>
      <c r="C4188" s="92"/>
      <c r="D4188" s="101"/>
      <c r="E4188" s="79"/>
      <c r="F4188" s="79"/>
      <c r="G4188" s="79"/>
      <c r="H4188" s="79"/>
    </row>
    <row r="4189" spans="1:8">
      <c r="A4189" s="79" t="str">
        <f>LeaveData[[#This Row],[ EMP ID]]&amp;LeaveData[[#This Row],[Date]]</f>
        <v/>
      </c>
      <c r="B4189" s="92"/>
      <c r="C4189" s="92"/>
      <c r="D4189" s="101"/>
      <c r="E4189" s="79"/>
      <c r="F4189" s="79"/>
      <c r="G4189" s="79"/>
      <c r="H4189" s="79"/>
    </row>
    <row r="4190" spans="1:8">
      <c r="A4190" s="79" t="str">
        <f>LeaveData[[#This Row],[ EMP ID]]&amp;LeaveData[[#This Row],[Date]]</f>
        <v/>
      </c>
      <c r="B4190" s="92"/>
      <c r="C4190" s="92"/>
      <c r="D4190" s="101"/>
      <c r="E4190" s="79"/>
      <c r="F4190" s="79"/>
      <c r="G4190" s="79"/>
      <c r="H4190" s="79"/>
    </row>
    <row r="4191" spans="1:8">
      <c r="A4191" s="79" t="str">
        <f>LeaveData[[#This Row],[ EMP ID]]&amp;LeaveData[[#This Row],[Date]]</f>
        <v/>
      </c>
      <c r="B4191" s="92"/>
      <c r="C4191" s="92"/>
      <c r="D4191" s="101"/>
      <c r="E4191" s="79"/>
      <c r="F4191" s="79"/>
      <c r="G4191" s="79"/>
      <c r="H4191" s="79"/>
    </row>
    <row r="4192" spans="1:8">
      <c r="A4192" s="79" t="str">
        <f>LeaveData[[#This Row],[ EMP ID]]&amp;LeaveData[[#This Row],[Date]]</f>
        <v/>
      </c>
      <c r="B4192" s="92"/>
      <c r="C4192" s="92"/>
      <c r="D4192" s="101"/>
      <c r="E4192" s="79"/>
      <c r="F4192" s="79"/>
      <c r="G4192" s="79"/>
      <c r="H4192" s="79"/>
    </row>
    <row r="4193" spans="1:8">
      <c r="A4193" s="79" t="str">
        <f>LeaveData[[#This Row],[ EMP ID]]&amp;LeaveData[[#This Row],[Date]]</f>
        <v/>
      </c>
      <c r="B4193" s="92"/>
      <c r="C4193" s="92"/>
      <c r="D4193" s="101"/>
      <c r="E4193" s="79"/>
      <c r="F4193" s="79"/>
      <c r="G4193" s="79"/>
      <c r="H4193" s="79"/>
    </row>
    <row r="4194" spans="1:8">
      <c r="A4194" s="79" t="str">
        <f>LeaveData[[#This Row],[ EMP ID]]&amp;LeaveData[[#This Row],[Date]]</f>
        <v/>
      </c>
      <c r="B4194" s="92"/>
      <c r="C4194" s="92"/>
      <c r="D4194" s="101"/>
      <c r="E4194" s="79"/>
      <c r="F4194" s="79"/>
      <c r="G4194" s="79"/>
      <c r="H4194" s="79"/>
    </row>
    <row r="4195" spans="1:8">
      <c r="A4195" s="79" t="str">
        <f>LeaveData[[#This Row],[ EMP ID]]&amp;LeaveData[[#This Row],[Date]]</f>
        <v/>
      </c>
      <c r="B4195" s="92"/>
      <c r="C4195" s="92"/>
      <c r="D4195" s="101"/>
      <c r="E4195" s="79"/>
      <c r="F4195" s="79"/>
      <c r="G4195" s="79"/>
      <c r="H4195" s="79"/>
    </row>
    <row r="4196" spans="1:8">
      <c r="A4196" s="79" t="str">
        <f>LeaveData[[#This Row],[ EMP ID]]&amp;LeaveData[[#This Row],[Date]]</f>
        <v/>
      </c>
      <c r="B4196" s="92"/>
      <c r="C4196" s="92"/>
      <c r="D4196" s="101"/>
      <c r="E4196" s="79"/>
      <c r="F4196" s="79"/>
      <c r="G4196" s="79"/>
      <c r="H4196" s="79"/>
    </row>
    <row r="4197" spans="1:8">
      <c r="A4197" s="79" t="str">
        <f>LeaveData[[#This Row],[ EMP ID]]&amp;LeaveData[[#This Row],[Date]]</f>
        <v/>
      </c>
      <c r="B4197" s="92"/>
      <c r="C4197" s="92"/>
      <c r="D4197" s="101"/>
      <c r="E4197" s="79"/>
      <c r="F4197" s="79"/>
      <c r="G4197" s="79"/>
      <c r="H4197" s="79"/>
    </row>
    <row r="4198" spans="1:8">
      <c r="A4198" s="79" t="str">
        <f>LeaveData[[#This Row],[ EMP ID]]&amp;LeaveData[[#This Row],[Date]]</f>
        <v/>
      </c>
      <c r="B4198" s="92"/>
      <c r="C4198" s="92"/>
      <c r="D4198" s="101"/>
      <c r="E4198" s="79"/>
      <c r="F4198" s="79"/>
      <c r="G4198" s="79"/>
      <c r="H4198" s="79"/>
    </row>
    <row r="4199" spans="1:8">
      <c r="A4199" s="79" t="str">
        <f>LeaveData[[#This Row],[ EMP ID]]&amp;LeaveData[[#This Row],[Date]]</f>
        <v/>
      </c>
      <c r="B4199" s="92"/>
      <c r="C4199" s="92"/>
      <c r="D4199" s="101"/>
      <c r="E4199" s="79"/>
      <c r="F4199" s="79"/>
      <c r="G4199" s="79"/>
      <c r="H4199" s="79"/>
    </row>
    <row r="4200" spans="1:8">
      <c r="A4200" s="79" t="str">
        <f>LeaveData[[#This Row],[ EMP ID]]&amp;LeaveData[[#This Row],[Date]]</f>
        <v/>
      </c>
      <c r="B4200" s="92"/>
      <c r="C4200" s="92"/>
      <c r="D4200" s="101"/>
      <c r="E4200" s="79"/>
      <c r="F4200" s="79"/>
      <c r="G4200" s="79"/>
      <c r="H4200" s="79"/>
    </row>
    <row r="4201" spans="1:8">
      <c r="A4201" s="79" t="str">
        <f>LeaveData[[#This Row],[ EMP ID]]&amp;LeaveData[[#This Row],[Date]]</f>
        <v/>
      </c>
      <c r="B4201" s="92"/>
      <c r="C4201" s="92"/>
      <c r="D4201" s="101"/>
      <c r="E4201" s="79"/>
      <c r="F4201" s="79"/>
      <c r="G4201" s="79"/>
      <c r="H4201" s="79"/>
    </row>
    <row r="4202" spans="1:8">
      <c r="A4202" s="79" t="str">
        <f>LeaveData[[#This Row],[ EMP ID]]&amp;LeaveData[[#This Row],[Date]]</f>
        <v/>
      </c>
      <c r="B4202" s="92"/>
      <c r="C4202" s="92"/>
      <c r="D4202" s="101"/>
      <c r="E4202" s="79"/>
      <c r="F4202" s="79"/>
      <c r="G4202" s="79"/>
      <c r="H4202" s="79"/>
    </row>
    <row r="4203" spans="1:8">
      <c r="A4203" s="79" t="str">
        <f>LeaveData[[#This Row],[ EMP ID]]&amp;LeaveData[[#This Row],[Date]]</f>
        <v/>
      </c>
      <c r="B4203" s="92"/>
      <c r="C4203" s="92"/>
      <c r="D4203" s="101"/>
      <c r="E4203" s="79"/>
      <c r="F4203" s="79"/>
      <c r="G4203" s="79"/>
      <c r="H4203" s="79"/>
    </row>
    <row r="4204" spans="1:8">
      <c r="A4204" s="79" t="str">
        <f>LeaveData[[#This Row],[ EMP ID]]&amp;LeaveData[[#This Row],[Date]]</f>
        <v/>
      </c>
      <c r="B4204" s="92"/>
      <c r="C4204" s="92"/>
      <c r="D4204" s="101"/>
      <c r="E4204" s="79"/>
      <c r="F4204" s="79"/>
      <c r="G4204" s="79"/>
      <c r="H4204" s="79"/>
    </row>
    <row r="4205" spans="1:8">
      <c r="A4205" s="79" t="str">
        <f>LeaveData[[#This Row],[ EMP ID]]&amp;LeaveData[[#This Row],[Date]]</f>
        <v/>
      </c>
      <c r="B4205" s="92"/>
      <c r="C4205" s="92"/>
      <c r="D4205" s="101"/>
      <c r="E4205" s="79"/>
      <c r="F4205" s="79"/>
      <c r="G4205" s="79"/>
      <c r="H4205" s="79"/>
    </row>
    <row r="4206" spans="1:8">
      <c r="A4206" s="79" t="str">
        <f>LeaveData[[#This Row],[ EMP ID]]&amp;LeaveData[[#This Row],[Date]]</f>
        <v/>
      </c>
      <c r="B4206" s="92"/>
      <c r="C4206" s="92"/>
      <c r="D4206" s="101"/>
      <c r="E4206" s="79"/>
      <c r="F4206" s="79"/>
      <c r="G4206" s="79"/>
      <c r="H4206" s="79"/>
    </row>
    <row r="4207" spans="1:8">
      <c r="A4207" s="79" t="str">
        <f>LeaveData[[#This Row],[ EMP ID]]&amp;LeaveData[[#This Row],[Date]]</f>
        <v/>
      </c>
      <c r="B4207" s="92"/>
      <c r="C4207" s="92"/>
      <c r="D4207" s="101"/>
      <c r="E4207" s="79"/>
      <c r="F4207" s="79"/>
      <c r="G4207" s="79"/>
      <c r="H4207" s="79"/>
    </row>
    <row r="4208" spans="1:8">
      <c r="A4208" s="79" t="str">
        <f>LeaveData[[#This Row],[ EMP ID]]&amp;LeaveData[[#This Row],[Date]]</f>
        <v/>
      </c>
      <c r="B4208" s="92"/>
      <c r="C4208" s="92"/>
      <c r="D4208" s="101"/>
      <c r="E4208" s="79"/>
      <c r="F4208" s="79"/>
      <c r="G4208" s="79"/>
      <c r="H4208" s="79"/>
    </row>
    <row r="4209" spans="1:8">
      <c r="A4209" s="79" t="str">
        <f>LeaveData[[#This Row],[ EMP ID]]&amp;LeaveData[[#This Row],[Date]]</f>
        <v/>
      </c>
      <c r="B4209" s="92"/>
      <c r="C4209" s="92"/>
      <c r="D4209" s="101"/>
      <c r="E4209" s="79"/>
      <c r="F4209" s="79"/>
      <c r="G4209" s="79"/>
      <c r="H4209" s="79"/>
    </row>
    <row r="4210" spans="1:8">
      <c r="A4210" s="79" t="str">
        <f>LeaveData[[#This Row],[ EMP ID]]&amp;LeaveData[[#This Row],[Date]]</f>
        <v/>
      </c>
      <c r="B4210" s="92"/>
      <c r="C4210" s="92"/>
      <c r="D4210" s="101"/>
      <c r="E4210" s="79"/>
      <c r="F4210" s="79"/>
      <c r="G4210" s="79"/>
      <c r="H4210" s="79"/>
    </row>
    <row r="4211" spans="1:8">
      <c r="A4211" s="79" t="str">
        <f>LeaveData[[#This Row],[ EMP ID]]&amp;LeaveData[[#This Row],[Date]]</f>
        <v/>
      </c>
      <c r="B4211" s="92"/>
      <c r="C4211" s="92"/>
      <c r="D4211" s="101"/>
      <c r="E4211" s="79"/>
      <c r="F4211" s="79"/>
      <c r="G4211" s="79"/>
      <c r="H4211" s="79"/>
    </row>
    <row r="4212" spans="1:8">
      <c r="A4212" s="79" t="str">
        <f>LeaveData[[#This Row],[ EMP ID]]&amp;LeaveData[[#This Row],[Date]]</f>
        <v/>
      </c>
      <c r="B4212" s="92"/>
      <c r="C4212" s="92"/>
      <c r="D4212" s="101"/>
      <c r="E4212" s="79"/>
      <c r="F4212" s="79"/>
      <c r="G4212" s="79"/>
      <c r="H4212" s="79"/>
    </row>
    <row r="4213" spans="1:8">
      <c r="A4213" s="79" t="str">
        <f>LeaveData[[#This Row],[ EMP ID]]&amp;LeaveData[[#This Row],[Date]]</f>
        <v/>
      </c>
      <c r="B4213" s="92"/>
      <c r="C4213" s="92"/>
      <c r="D4213" s="101"/>
      <c r="E4213" s="79"/>
      <c r="F4213" s="79"/>
      <c r="G4213" s="79"/>
      <c r="H4213" s="79"/>
    </row>
    <row r="4214" spans="1:8">
      <c r="A4214" s="79" t="str">
        <f>LeaveData[[#This Row],[ EMP ID]]&amp;LeaveData[[#This Row],[Date]]</f>
        <v/>
      </c>
      <c r="B4214" s="92"/>
      <c r="C4214" s="92"/>
      <c r="D4214" s="101"/>
      <c r="E4214" s="79"/>
      <c r="F4214" s="79"/>
      <c r="G4214" s="79"/>
      <c r="H4214" s="79"/>
    </row>
    <row r="4215" spans="1:8">
      <c r="A4215" s="79" t="str">
        <f>LeaveData[[#This Row],[ EMP ID]]&amp;LeaveData[[#This Row],[Date]]</f>
        <v/>
      </c>
      <c r="B4215" s="92"/>
      <c r="C4215" s="92"/>
      <c r="D4215" s="101"/>
      <c r="E4215" s="79"/>
      <c r="F4215" s="79"/>
      <c r="G4215" s="79"/>
      <c r="H4215" s="79"/>
    </row>
    <row r="4216" spans="1:8">
      <c r="A4216" s="79" t="str">
        <f>LeaveData[[#This Row],[ EMP ID]]&amp;LeaveData[[#This Row],[Date]]</f>
        <v/>
      </c>
      <c r="B4216" s="92"/>
      <c r="C4216" s="92"/>
      <c r="D4216" s="101"/>
      <c r="E4216" s="79"/>
      <c r="F4216" s="79"/>
      <c r="G4216" s="79"/>
      <c r="H4216" s="79"/>
    </row>
    <row r="4217" spans="1:8">
      <c r="A4217" s="79" t="str">
        <f>LeaveData[[#This Row],[ EMP ID]]&amp;LeaveData[[#This Row],[Date]]</f>
        <v/>
      </c>
      <c r="B4217" s="92"/>
      <c r="C4217" s="92"/>
      <c r="D4217" s="101"/>
      <c r="E4217" s="79"/>
      <c r="F4217" s="79"/>
      <c r="G4217" s="79"/>
      <c r="H4217" s="79"/>
    </row>
    <row r="4218" spans="1:8">
      <c r="A4218" s="79" t="str">
        <f>LeaveData[[#This Row],[ EMP ID]]&amp;LeaveData[[#This Row],[Date]]</f>
        <v/>
      </c>
      <c r="B4218" s="92"/>
      <c r="C4218" s="92"/>
      <c r="D4218" s="101"/>
      <c r="E4218" s="79"/>
      <c r="F4218" s="79"/>
      <c r="G4218" s="79"/>
      <c r="H4218" s="79"/>
    </row>
    <row r="4219" spans="1:8">
      <c r="A4219" s="79" t="str">
        <f>LeaveData[[#This Row],[ EMP ID]]&amp;LeaveData[[#This Row],[Date]]</f>
        <v/>
      </c>
      <c r="B4219" s="92"/>
      <c r="C4219" s="92"/>
      <c r="D4219" s="101"/>
      <c r="E4219" s="79"/>
      <c r="F4219" s="79"/>
      <c r="G4219" s="79"/>
      <c r="H4219" s="79"/>
    </row>
    <row r="4220" spans="1:8">
      <c r="A4220" s="79" t="str">
        <f>LeaveData[[#This Row],[ EMP ID]]&amp;LeaveData[[#This Row],[Date]]</f>
        <v/>
      </c>
      <c r="B4220" s="92"/>
      <c r="C4220" s="92"/>
      <c r="D4220" s="101"/>
      <c r="E4220" s="79"/>
      <c r="F4220" s="79"/>
      <c r="G4220" s="79"/>
      <c r="H4220" s="79"/>
    </row>
    <row r="4221" spans="1:8">
      <c r="A4221" s="79" t="str">
        <f>LeaveData[[#This Row],[ EMP ID]]&amp;LeaveData[[#This Row],[Date]]</f>
        <v/>
      </c>
      <c r="B4221" s="92"/>
      <c r="C4221" s="92"/>
      <c r="D4221" s="101"/>
      <c r="E4221" s="79"/>
      <c r="F4221" s="79"/>
      <c r="G4221" s="79"/>
      <c r="H4221" s="79"/>
    </row>
    <row r="4222" spans="1:8">
      <c r="A4222" s="79" t="str">
        <f>LeaveData[[#This Row],[ EMP ID]]&amp;LeaveData[[#This Row],[Date]]</f>
        <v/>
      </c>
      <c r="B4222" s="92"/>
      <c r="C4222" s="92"/>
      <c r="D4222" s="101"/>
      <c r="E4222" s="79"/>
      <c r="F4222" s="79"/>
      <c r="G4222" s="79"/>
      <c r="H4222" s="79"/>
    </row>
    <row r="4223" spans="1:8">
      <c r="A4223" s="79" t="str">
        <f>LeaveData[[#This Row],[ EMP ID]]&amp;LeaveData[[#This Row],[Date]]</f>
        <v/>
      </c>
      <c r="B4223" s="92"/>
      <c r="C4223" s="92"/>
      <c r="D4223" s="101"/>
      <c r="E4223" s="79"/>
      <c r="F4223" s="79"/>
      <c r="G4223" s="79"/>
      <c r="H4223" s="79"/>
    </row>
    <row r="4224" spans="1:8">
      <c r="A4224" s="79" t="str">
        <f>LeaveData[[#This Row],[ EMP ID]]&amp;LeaveData[[#This Row],[Date]]</f>
        <v/>
      </c>
      <c r="B4224" s="92"/>
      <c r="C4224" s="92"/>
      <c r="D4224" s="101"/>
      <c r="E4224" s="79"/>
      <c r="F4224" s="79"/>
      <c r="G4224" s="79"/>
      <c r="H4224" s="79"/>
    </row>
    <row r="4225" spans="1:8">
      <c r="A4225" s="79" t="str">
        <f>LeaveData[[#This Row],[ EMP ID]]&amp;LeaveData[[#This Row],[Date]]</f>
        <v/>
      </c>
      <c r="B4225" s="92"/>
      <c r="C4225" s="92"/>
      <c r="D4225" s="101"/>
      <c r="E4225" s="79"/>
      <c r="F4225" s="79"/>
      <c r="G4225" s="79"/>
      <c r="H4225" s="79"/>
    </row>
    <row r="4226" spans="1:8">
      <c r="A4226" s="79" t="str">
        <f>LeaveData[[#This Row],[ EMP ID]]&amp;LeaveData[[#This Row],[Date]]</f>
        <v/>
      </c>
      <c r="B4226" s="92"/>
      <c r="C4226" s="92"/>
      <c r="D4226" s="101"/>
      <c r="E4226" s="79"/>
      <c r="F4226" s="79"/>
      <c r="G4226" s="79"/>
      <c r="H4226" s="79"/>
    </row>
    <row r="4227" spans="1:8">
      <c r="A4227" s="79" t="str">
        <f>LeaveData[[#This Row],[ EMP ID]]&amp;LeaveData[[#This Row],[Date]]</f>
        <v/>
      </c>
      <c r="B4227" s="92"/>
      <c r="C4227" s="92"/>
      <c r="D4227" s="101"/>
      <c r="E4227" s="79"/>
      <c r="F4227" s="79"/>
      <c r="G4227" s="79"/>
      <c r="H4227" s="79"/>
    </row>
    <row r="4228" spans="1:8">
      <c r="A4228" s="79" t="str">
        <f>LeaveData[[#This Row],[ EMP ID]]&amp;LeaveData[[#This Row],[Date]]</f>
        <v/>
      </c>
      <c r="B4228" s="92"/>
      <c r="C4228" s="92"/>
      <c r="D4228" s="101"/>
      <c r="E4228" s="79"/>
      <c r="F4228" s="79"/>
      <c r="G4228" s="79"/>
      <c r="H4228" s="79"/>
    </row>
    <row r="4229" spans="1:8">
      <c r="A4229" s="79" t="str">
        <f>LeaveData[[#This Row],[ EMP ID]]&amp;LeaveData[[#This Row],[Date]]</f>
        <v/>
      </c>
      <c r="B4229" s="92"/>
      <c r="C4229" s="92"/>
      <c r="D4229" s="101"/>
      <c r="E4229" s="79"/>
      <c r="F4229" s="79"/>
      <c r="G4229" s="79"/>
      <c r="H4229" s="79"/>
    </row>
    <row r="4230" spans="1:8">
      <c r="A4230" s="79" t="str">
        <f>LeaveData[[#This Row],[ EMP ID]]&amp;LeaveData[[#This Row],[Date]]</f>
        <v/>
      </c>
      <c r="B4230" s="92"/>
      <c r="C4230" s="92"/>
      <c r="D4230" s="101"/>
      <c r="E4230" s="79"/>
      <c r="F4230" s="79"/>
      <c r="G4230" s="79"/>
      <c r="H4230" s="79"/>
    </row>
    <row r="4231" spans="1:8">
      <c r="A4231" s="79" t="str">
        <f>LeaveData[[#This Row],[ EMP ID]]&amp;LeaveData[[#This Row],[Date]]</f>
        <v/>
      </c>
      <c r="B4231" s="92"/>
      <c r="C4231" s="92"/>
      <c r="D4231" s="101"/>
      <c r="E4231" s="79"/>
      <c r="F4231" s="79"/>
      <c r="G4231" s="79"/>
      <c r="H4231" s="79"/>
    </row>
    <row r="4232" spans="1:8">
      <c r="A4232" s="79" t="str">
        <f>LeaveData[[#This Row],[ EMP ID]]&amp;LeaveData[[#This Row],[Date]]</f>
        <v/>
      </c>
      <c r="B4232" s="92"/>
      <c r="C4232" s="92"/>
      <c r="D4232" s="101"/>
      <c r="E4232" s="79"/>
      <c r="F4232" s="79"/>
      <c r="G4232" s="79"/>
      <c r="H4232" s="79"/>
    </row>
    <row r="4233" spans="1:8">
      <c r="A4233" s="79" t="str">
        <f>LeaveData[[#This Row],[ EMP ID]]&amp;LeaveData[[#This Row],[Date]]</f>
        <v/>
      </c>
      <c r="B4233" s="92"/>
      <c r="C4233" s="92"/>
      <c r="D4233" s="101"/>
      <c r="E4233" s="79"/>
      <c r="F4233" s="79"/>
      <c r="G4233" s="79"/>
      <c r="H4233" s="79"/>
    </row>
    <row r="4234" spans="1:8">
      <c r="A4234" s="79" t="str">
        <f>LeaveData[[#This Row],[ EMP ID]]&amp;LeaveData[[#This Row],[Date]]</f>
        <v/>
      </c>
      <c r="B4234" s="92"/>
      <c r="C4234" s="92"/>
      <c r="D4234" s="101"/>
      <c r="E4234" s="79"/>
      <c r="F4234" s="79"/>
      <c r="G4234" s="79"/>
      <c r="H4234" s="79"/>
    </row>
    <row r="4235" spans="1:8">
      <c r="A4235" s="79" t="str">
        <f>LeaveData[[#This Row],[ EMP ID]]&amp;LeaveData[[#This Row],[Date]]</f>
        <v/>
      </c>
      <c r="B4235" s="92"/>
      <c r="C4235" s="92"/>
      <c r="D4235" s="101"/>
      <c r="E4235" s="79"/>
      <c r="F4235" s="79"/>
      <c r="G4235" s="79"/>
      <c r="H4235" s="79"/>
    </row>
    <row r="4236" spans="1:8">
      <c r="A4236" s="79" t="str">
        <f>LeaveData[[#This Row],[ EMP ID]]&amp;LeaveData[[#This Row],[Date]]</f>
        <v/>
      </c>
      <c r="B4236" s="92"/>
      <c r="C4236" s="92"/>
      <c r="D4236" s="101"/>
      <c r="E4236" s="79"/>
      <c r="F4236" s="79"/>
      <c r="G4236" s="79"/>
      <c r="H4236" s="79"/>
    </row>
    <row r="4237" spans="1:8">
      <c r="A4237" s="79" t="str">
        <f>LeaveData[[#This Row],[ EMP ID]]&amp;LeaveData[[#This Row],[Date]]</f>
        <v/>
      </c>
      <c r="B4237" s="92"/>
      <c r="C4237" s="92"/>
      <c r="D4237" s="101"/>
      <c r="E4237" s="79"/>
      <c r="F4237" s="79"/>
      <c r="G4237" s="79"/>
      <c r="H4237" s="79"/>
    </row>
    <row r="4238" spans="1:8">
      <c r="A4238" s="79" t="str">
        <f>LeaveData[[#This Row],[ EMP ID]]&amp;LeaveData[[#This Row],[Date]]</f>
        <v/>
      </c>
      <c r="B4238" s="92"/>
      <c r="C4238" s="92"/>
      <c r="D4238" s="101"/>
      <c r="E4238" s="79"/>
      <c r="F4238" s="79"/>
      <c r="G4238" s="79"/>
      <c r="H4238" s="79"/>
    </row>
    <row r="4239" spans="1:8">
      <c r="A4239" s="79" t="str">
        <f>LeaveData[[#This Row],[ EMP ID]]&amp;LeaveData[[#This Row],[Date]]</f>
        <v/>
      </c>
      <c r="B4239" s="92"/>
      <c r="C4239" s="92"/>
      <c r="D4239" s="101"/>
      <c r="E4239" s="79"/>
      <c r="F4239" s="79"/>
      <c r="G4239" s="79"/>
      <c r="H4239" s="79"/>
    </row>
    <row r="4240" spans="1:8">
      <c r="A4240" s="79" t="str">
        <f>LeaveData[[#This Row],[ EMP ID]]&amp;LeaveData[[#This Row],[Date]]</f>
        <v/>
      </c>
      <c r="B4240" s="92"/>
      <c r="C4240" s="92"/>
      <c r="D4240" s="101"/>
      <c r="E4240" s="79"/>
      <c r="F4240" s="79"/>
      <c r="G4240" s="79"/>
      <c r="H4240" s="79"/>
    </row>
    <row r="4241" spans="1:8">
      <c r="A4241" s="79" t="str">
        <f>LeaveData[[#This Row],[ EMP ID]]&amp;LeaveData[[#This Row],[Date]]</f>
        <v/>
      </c>
      <c r="B4241" s="92"/>
      <c r="C4241" s="92"/>
      <c r="D4241" s="101"/>
      <c r="E4241" s="79"/>
      <c r="F4241" s="79"/>
      <c r="G4241" s="79"/>
      <c r="H4241" s="79"/>
    </row>
    <row r="4242" spans="1:8">
      <c r="A4242" s="79" t="str">
        <f>LeaveData[[#This Row],[ EMP ID]]&amp;LeaveData[[#This Row],[Date]]</f>
        <v/>
      </c>
      <c r="B4242" s="92"/>
      <c r="C4242" s="92"/>
      <c r="D4242" s="101"/>
      <c r="E4242" s="79"/>
      <c r="F4242" s="79"/>
      <c r="G4242" s="79"/>
      <c r="H4242" s="79"/>
    </row>
    <row r="4243" spans="1:8">
      <c r="A4243" s="79" t="str">
        <f>LeaveData[[#This Row],[ EMP ID]]&amp;LeaveData[[#This Row],[Date]]</f>
        <v/>
      </c>
      <c r="B4243" s="92"/>
      <c r="C4243" s="92"/>
      <c r="D4243" s="101"/>
      <c r="E4243" s="79"/>
      <c r="F4243" s="79"/>
      <c r="G4243" s="79"/>
      <c r="H4243" s="79"/>
    </row>
    <row r="4244" spans="1:8">
      <c r="A4244" s="79" t="str">
        <f>LeaveData[[#This Row],[ EMP ID]]&amp;LeaveData[[#This Row],[Date]]</f>
        <v/>
      </c>
      <c r="B4244" s="92"/>
      <c r="C4244" s="92"/>
      <c r="D4244" s="101"/>
      <c r="E4244" s="79"/>
      <c r="F4244" s="79"/>
      <c r="G4244" s="79"/>
      <c r="H4244" s="79"/>
    </row>
    <row r="4245" spans="1:8">
      <c r="A4245" s="79" t="str">
        <f>LeaveData[[#This Row],[ EMP ID]]&amp;LeaveData[[#This Row],[Date]]</f>
        <v/>
      </c>
      <c r="B4245" s="92"/>
      <c r="C4245" s="92"/>
      <c r="D4245" s="101"/>
      <c r="E4245" s="79"/>
      <c r="F4245" s="79"/>
      <c r="G4245" s="79"/>
      <c r="H4245" s="79"/>
    </row>
    <row r="4246" spans="1:8">
      <c r="A4246" s="79" t="str">
        <f>LeaveData[[#This Row],[ EMP ID]]&amp;LeaveData[[#This Row],[Date]]</f>
        <v/>
      </c>
      <c r="B4246" s="92"/>
      <c r="C4246" s="92"/>
      <c r="D4246" s="101"/>
      <c r="E4246" s="79"/>
      <c r="F4246" s="79"/>
      <c r="G4246" s="79"/>
      <c r="H4246" s="79"/>
    </row>
    <row r="4247" spans="1:8">
      <c r="A4247" s="79" t="str">
        <f>LeaveData[[#This Row],[ EMP ID]]&amp;LeaveData[[#This Row],[Date]]</f>
        <v/>
      </c>
      <c r="B4247" s="92"/>
      <c r="C4247" s="92"/>
      <c r="D4247" s="101"/>
      <c r="E4247" s="79"/>
      <c r="F4247" s="79"/>
      <c r="G4247" s="79"/>
      <c r="H4247" s="79"/>
    </row>
    <row r="4248" spans="1:8">
      <c r="A4248" s="79" t="str">
        <f>LeaveData[[#This Row],[ EMP ID]]&amp;LeaveData[[#This Row],[Date]]</f>
        <v/>
      </c>
      <c r="B4248" s="92"/>
      <c r="C4248" s="92"/>
      <c r="D4248" s="101"/>
      <c r="E4248" s="79"/>
      <c r="F4248" s="79"/>
      <c r="G4248" s="79"/>
      <c r="H4248" s="79"/>
    </row>
    <row r="4249" spans="1:8">
      <c r="A4249" s="79" t="str">
        <f>LeaveData[[#This Row],[ EMP ID]]&amp;LeaveData[[#This Row],[Date]]</f>
        <v/>
      </c>
      <c r="B4249" s="92"/>
      <c r="C4249" s="92"/>
      <c r="D4249" s="101"/>
      <c r="E4249" s="79"/>
      <c r="F4249" s="79"/>
      <c r="G4249" s="79"/>
      <c r="H4249" s="79"/>
    </row>
    <row r="4250" spans="1:8">
      <c r="A4250" s="79" t="str">
        <f>LeaveData[[#This Row],[ EMP ID]]&amp;LeaveData[[#This Row],[Date]]</f>
        <v/>
      </c>
      <c r="B4250" s="92"/>
      <c r="C4250" s="92"/>
      <c r="D4250" s="101"/>
      <c r="E4250" s="79"/>
      <c r="F4250" s="79"/>
      <c r="G4250" s="79"/>
      <c r="H4250" s="79"/>
    </row>
    <row r="4251" spans="1:8">
      <c r="A4251" s="79" t="str">
        <f>LeaveData[[#This Row],[ EMP ID]]&amp;LeaveData[[#This Row],[Date]]</f>
        <v/>
      </c>
      <c r="B4251" s="92"/>
      <c r="C4251" s="92"/>
      <c r="D4251" s="101"/>
      <c r="E4251" s="79"/>
      <c r="F4251" s="79"/>
      <c r="G4251" s="79"/>
      <c r="H4251" s="79"/>
    </row>
    <row r="4252" spans="1:8">
      <c r="A4252" s="79" t="str">
        <f>LeaveData[[#This Row],[ EMP ID]]&amp;LeaveData[[#This Row],[Date]]</f>
        <v/>
      </c>
      <c r="B4252" s="92"/>
      <c r="C4252" s="92"/>
      <c r="D4252" s="101"/>
      <c r="E4252" s="79"/>
      <c r="F4252" s="79"/>
      <c r="G4252" s="79"/>
      <c r="H4252" s="79"/>
    </row>
    <row r="4253" spans="1:8">
      <c r="A4253" s="79" t="str">
        <f>LeaveData[[#This Row],[ EMP ID]]&amp;LeaveData[[#This Row],[Date]]</f>
        <v/>
      </c>
      <c r="B4253" s="92"/>
      <c r="C4253" s="92"/>
      <c r="D4253" s="101"/>
      <c r="E4253" s="79"/>
      <c r="F4253" s="79"/>
      <c r="G4253" s="79"/>
      <c r="H4253" s="79"/>
    </row>
    <row r="4254" spans="1:8">
      <c r="A4254" s="79" t="str">
        <f>LeaveData[[#This Row],[ EMP ID]]&amp;LeaveData[[#This Row],[Date]]</f>
        <v/>
      </c>
      <c r="B4254" s="92"/>
      <c r="C4254" s="92"/>
      <c r="D4254" s="101"/>
      <c r="E4254" s="79"/>
      <c r="F4254" s="79"/>
      <c r="G4254" s="79"/>
      <c r="H4254" s="79"/>
    </row>
    <row r="4255" spans="1:8">
      <c r="A4255" s="79" t="str">
        <f>LeaveData[[#This Row],[ EMP ID]]&amp;LeaveData[[#This Row],[Date]]</f>
        <v/>
      </c>
      <c r="B4255" s="92"/>
      <c r="C4255" s="92"/>
      <c r="D4255" s="101"/>
      <c r="E4255" s="79"/>
      <c r="F4255" s="79"/>
      <c r="G4255" s="79"/>
      <c r="H4255" s="79"/>
    </row>
    <row r="4256" spans="1:8">
      <c r="A4256" s="79" t="str">
        <f>LeaveData[[#This Row],[ EMP ID]]&amp;LeaveData[[#This Row],[Date]]</f>
        <v/>
      </c>
      <c r="B4256" s="92"/>
      <c r="C4256" s="92"/>
      <c r="D4256" s="101"/>
      <c r="E4256" s="79"/>
      <c r="F4256" s="79"/>
      <c r="G4256" s="79"/>
      <c r="H4256" s="79"/>
    </row>
    <row r="4257" spans="1:8">
      <c r="A4257" s="79" t="str">
        <f>LeaveData[[#This Row],[ EMP ID]]&amp;LeaveData[[#This Row],[Date]]</f>
        <v/>
      </c>
      <c r="B4257" s="92"/>
      <c r="C4257" s="92"/>
      <c r="D4257" s="101"/>
      <c r="E4257" s="79"/>
      <c r="F4257" s="79"/>
      <c r="G4257" s="79"/>
      <c r="H4257" s="79"/>
    </row>
    <row r="4258" spans="1:8">
      <c r="A4258" s="79" t="str">
        <f>LeaveData[[#This Row],[ EMP ID]]&amp;LeaveData[[#This Row],[Date]]</f>
        <v/>
      </c>
      <c r="B4258" s="92"/>
      <c r="C4258" s="92"/>
      <c r="D4258" s="101"/>
      <c r="E4258" s="79"/>
      <c r="F4258" s="79"/>
      <c r="G4258" s="79"/>
      <c r="H4258" s="79"/>
    </row>
    <row r="4259" spans="1:8">
      <c r="A4259" s="79" t="str">
        <f>LeaveData[[#This Row],[ EMP ID]]&amp;LeaveData[[#This Row],[Date]]</f>
        <v/>
      </c>
      <c r="B4259" s="92"/>
      <c r="C4259" s="92"/>
      <c r="D4259" s="101"/>
      <c r="E4259" s="79"/>
      <c r="F4259" s="79"/>
      <c r="G4259" s="79"/>
      <c r="H4259" s="79"/>
    </row>
    <row r="4260" spans="1:8">
      <c r="A4260" s="79" t="str">
        <f>LeaveData[[#This Row],[ EMP ID]]&amp;LeaveData[[#This Row],[Date]]</f>
        <v/>
      </c>
      <c r="B4260" s="92"/>
      <c r="C4260" s="92"/>
      <c r="D4260" s="101"/>
      <c r="E4260" s="79"/>
      <c r="F4260" s="79"/>
      <c r="G4260" s="79"/>
      <c r="H4260" s="79"/>
    </row>
    <row r="4261" spans="1:8">
      <c r="A4261" s="79" t="str">
        <f>LeaveData[[#This Row],[ EMP ID]]&amp;LeaveData[[#This Row],[Date]]</f>
        <v/>
      </c>
      <c r="B4261" s="92"/>
      <c r="C4261" s="92"/>
      <c r="D4261" s="101"/>
      <c r="E4261" s="79"/>
      <c r="F4261" s="79"/>
      <c r="G4261" s="79"/>
      <c r="H4261" s="79"/>
    </row>
    <row r="4262" spans="1:8">
      <c r="A4262" s="79" t="str">
        <f>LeaveData[[#This Row],[ EMP ID]]&amp;LeaveData[[#This Row],[Date]]</f>
        <v/>
      </c>
      <c r="B4262" s="92"/>
      <c r="C4262" s="92"/>
      <c r="D4262" s="101"/>
      <c r="E4262" s="79"/>
      <c r="F4262" s="79"/>
      <c r="G4262" s="79"/>
      <c r="H4262" s="79"/>
    </row>
    <row r="4263" spans="1:8">
      <c r="A4263" s="79" t="str">
        <f>LeaveData[[#This Row],[ EMP ID]]&amp;LeaveData[[#This Row],[Date]]</f>
        <v/>
      </c>
      <c r="B4263" s="92"/>
      <c r="C4263" s="92"/>
      <c r="D4263" s="101"/>
      <c r="E4263" s="79"/>
      <c r="F4263" s="79"/>
      <c r="G4263" s="79"/>
      <c r="H4263" s="79"/>
    </row>
    <row r="4264" spans="1:8">
      <c r="A4264" s="79" t="str">
        <f>LeaveData[[#This Row],[ EMP ID]]&amp;LeaveData[[#This Row],[Date]]</f>
        <v/>
      </c>
      <c r="B4264" s="92"/>
      <c r="C4264" s="92"/>
      <c r="D4264" s="101"/>
      <c r="E4264" s="79"/>
      <c r="F4264" s="79"/>
      <c r="G4264" s="79"/>
      <c r="H4264" s="79"/>
    </row>
    <row r="4265" spans="1:8">
      <c r="A4265" s="79" t="str">
        <f>LeaveData[[#This Row],[ EMP ID]]&amp;LeaveData[[#This Row],[Date]]</f>
        <v/>
      </c>
      <c r="B4265" s="92"/>
      <c r="C4265" s="92"/>
      <c r="D4265" s="101"/>
      <c r="E4265" s="79"/>
      <c r="F4265" s="79"/>
      <c r="G4265" s="79"/>
      <c r="H4265" s="79"/>
    </row>
    <row r="4266" spans="1:8">
      <c r="A4266" s="79" t="str">
        <f>LeaveData[[#This Row],[ EMP ID]]&amp;LeaveData[[#This Row],[Date]]</f>
        <v/>
      </c>
      <c r="B4266" s="92"/>
      <c r="C4266" s="92"/>
      <c r="D4266" s="101"/>
      <c r="E4266" s="79"/>
      <c r="F4266" s="79"/>
      <c r="G4266" s="79"/>
      <c r="H4266" s="79"/>
    </row>
    <row r="4267" spans="1:8">
      <c r="A4267" s="79" t="str">
        <f>LeaveData[[#This Row],[ EMP ID]]&amp;LeaveData[[#This Row],[Date]]</f>
        <v/>
      </c>
      <c r="B4267" s="92"/>
      <c r="C4267" s="92"/>
      <c r="D4267" s="101"/>
      <c r="E4267" s="79"/>
      <c r="F4267" s="79"/>
      <c r="G4267" s="79"/>
      <c r="H4267" s="79"/>
    </row>
    <row r="4268" spans="1:8">
      <c r="A4268" s="79" t="str">
        <f>LeaveData[[#This Row],[ EMP ID]]&amp;LeaveData[[#This Row],[Date]]</f>
        <v/>
      </c>
      <c r="B4268" s="92"/>
      <c r="C4268" s="92"/>
      <c r="D4268" s="101"/>
      <c r="E4268" s="79"/>
      <c r="F4268" s="79"/>
      <c r="G4268" s="79"/>
      <c r="H4268" s="79"/>
    </row>
    <row r="4269" spans="1:8">
      <c r="A4269" s="79" t="str">
        <f>LeaveData[[#This Row],[ EMP ID]]&amp;LeaveData[[#This Row],[Date]]</f>
        <v/>
      </c>
      <c r="B4269" s="92"/>
      <c r="C4269" s="92"/>
      <c r="D4269" s="101"/>
      <c r="E4269" s="79"/>
      <c r="F4269" s="79"/>
      <c r="G4269" s="79"/>
      <c r="H4269" s="79"/>
    </row>
    <row r="4270" spans="1:8">
      <c r="A4270" s="79" t="str">
        <f>LeaveData[[#This Row],[ EMP ID]]&amp;LeaveData[[#This Row],[Date]]</f>
        <v/>
      </c>
      <c r="B4270" s="92"/>
      <c r="C4270" s="92"/>
      <c r="D4270" s="101"/>
      <c r="E4270" s="79"/>
      <c r="F4270" s="79"/>
      <c r="G4270" s="79"/>
      <c r="H4270" s="79"/>
    </row>
    <row r="4271" spans="1:8">
      <c r="A4271" s="79" t="str">
        <f>LeaveData[[#This Row],[ EMP ID]]&amp;LeaveData[[#This Row],[Date]]</f>
        <v/>
      </c>
      <c r="B4271" s="92"/>
      <c r="C4271" s="92"/>
      <c r="D4271" s="101"/>
      <c r="E4271" s="79"/>
      <c r="F4271" s="79"/>
      <c r="G4271" s="79"/>
      <c r="H4271" s="79"/>
    </row>
    <row r="4272" spans="1:8">
      <c r="A4272" s="79" t="str">
        <f>LeaveData[[#This Row],[ EMP ID]]&amp;LeaveData[[#This Row],[Date]]</f>
        <v/>
      </c>
      <c r="B4272" s="92"/>
      <c r="C4272" s="92"/>
      <c r="D4272" s="101"/>
      <c r="E4272" s="79"/>
      <c r="F4272" s="79"/>
      <c r="G4272" s="79"/>
      <c r="H4272" s="79"/>
    </row>
    <row r="4273" spans="1:8">
      <c r="A4273" s="79" t="str">
        <f>LeaveData[[#This Row],[ EMP ID]]&amp;LeaveData[[#This Row],[Date]]</f>
        <v/>
      </c>
      <c r="B4273" s="92"/>
      <c r="C4273" s="92"/>
      <c r="D4273" s="101"/>
      <c r="E4273" s="79"/>
      <c r="F4273" s="79"/>
      <c r="G4273" s="79"/>
      <c r="H4273" s="79"/>
    </row>
    <row r="4274" spans="1:8">
      <c r="A4274" s="79" t="str">
        <f>LeaveData[[#This Row],[ EMP ID]]&amp;LeaveData[[#This Row],[Date]]</f>
        <v/>
      </c>
      <c r="B4274" s="92"/>
      <c r="C4274" s="92"/>
      <c r="D4274" s="101"/>
      <c r="E4274" s="79"/>
      <c r="F4274" s="79"/>
      <c r="G4274" s="79"/>
      <c r="H4274" s="79"/>
    </row>
    <row r="4275" spans="1:8">
      <c r="A4275" s="79" t="str">
        <f>LeaveData[[#This Row],[ EMP ID]]&amp;LeaveData[[#This Row],[Date]]</f>
        <v/>
      </c>
      <c r="B4275" s="92"/>
      <c r="C4275" s="92"/>
      <c r="D4275" s="101"/>
      <c r="E4275" s="79"/>
      <c r="F4275" s="79"/>
      <c r="G4275" s="79"/>
      <c r="H4275" s="79"/>
    </row>
    <row r="4276" spans="1:8">
      <c r="A4276" s="79" t="str">
        <f>LeaveData[[#This Row],[ EMP ID]]&amp;LeaveData[[#This Row],[Date]]</f>
        <v/>
      </c>
      <c r="B4276" s="92"/>
      <c r="C4276" s="92"/>
      <c r="D4276" s="101"/>
      <c r="E4276" s="79"/>
      <c r="F4276" s="79"/>
      <c r="G4276" s="79"/>
      <c r="H4276" s="79"/>
    </row>
    <row r="4277" spans="1:8">
      <c r="A4277" s="79" t="str">
        <f>LeaveData[[#This Row],[ EMP ID]]&amp;LeaveData[[#This Row],[Date]]</f>
        <v/>
      </c>
      <c r="B4277" s="92"/>
      <c r="C4277" s="92"/>
      <c r="D4277" s="101"/>
      <c r="E4277" s="79"/>
      <c r="F4277" s="79"/>
      <c r="G4277" s="79"/>
      <c r="H4277" s="79"/>
    </row>
    <row r="4278" spans="1:8">
      <c r="A4278" s="79" t="str">
        <f>LeaveData[[#This Row],[ EMP ID]]&amp;LeaveData[[#This Row],[Date]]</f>
        <v/>
      </c>
      <c r="B4278" s="92"/>
      <c r="C4278" s="92"/>
      <c r="D4278" s="101"/>
      <c r="E4278" s="79"/>
      <c r="F4278" s="79"/>
      <c r="G4278" s="79"/>
      <c r="H4278" s="79"/>
    </row>
    <row r="4279" spans="1:8">
      <c r="A4279" s="79" t="str">
        <f>LeaveData[[#This Row],[ EMP ID]]&amp;LeaveData[[#This Row],[Date]]</f>
        <v/>
      </c>
      <c r="B4279" s="92"/>
      <c r="C4279" s="92"/>
      <c r="D4279" s="101"/>
      <c r="E4279" s="79"/>
      <c r="F4279" s="79"/>
      <c r="G4279" s="79"/>
      <c r="H4279" s="79"/>
    </row>
    <row r="4280" spans="1:8">
      <c r="A4280" s="79" t="str">
        <f>LeaveData[[#This Row],[ EMP ID]]&amp;LeaveData[[#This Row],[Date]]</f>
        <v/>
      </c>
      <c r="B4280" s="92"/>
      <c r="C4280" s="92"/>
      <c r="D4280" s="101"/>
      <c r="E4280" s="79"/>
      <c r="F4280" s="79"/>
      <c r="G4280" s="79"/>
      <c r="H4280" s="79"/>
    </row>
    <row r="4281" spans="1:8">
      <c r="A4281" s="79" t="str">
        <f>LeaveData[[#This Row],[ EMP ID]]&amp;LeaveData[[#This Row],[Date]]</f>
        <v/>
      </c>
      <c r="B4281" s="92"/>
      <c r="C4281" s="92"/>
      <c r="D4281" s="101"/>
      <c r="E4281" s="79"/>
      <c r="F4281" s="79"/>
      <c r="G4281" s="79"/>
      <c r="H4281" s="79"/>
    </row>
    <row r="4282" spans="1:8">
      <c r="A4282" s="79" t="str">
        <f>LeaveData[[#This Row],[ EMP ID]]&amp;LeaveData[[#This Row],[Date]]</f>
        <v/>
      </c>
      <c r="B4282" s="92"/>
      <c r="C4282" s="92"/>
      <c r="D4282" s="101"/>
      <c r="E4282" s="79"/>
      <c r="F4282" s="79"/>
      <c r="G4282" s="79"/>
      <c r="H4282" s="79"/>
    </row>
    <row r="4283" spans="1:8">
      <c r="A4283" s="79" t="str">
        <f>LeaveData[[#This Row],[ EMP ID]]&amp;LeaveData[[#This Row],[Date]]</f>
        <v/>
      </c>
      <c r="B4283" s="92"/>
      <c r="C4283" s="92"/>
      <c r="D4283" s="101"/>
      <c r="E4283" s="79"/>
      <c r="F4283" s="79"/>
      <c r="G4283" s="79"/>
      <c r="H4283" s="79"/>
    </row>
    <row r="4284" spans="1:8">
      <c r="A4284" s="79" t="str">
        <f>LeaveData[[#This Row],[ EMP ID]]&amp;LeaveData[[#This Row],[Date]]</f>
        <v/>
      </c>
      <c r="B4284" s="92"/>
      <c r="C4284" s="92"/>
      <c r="D4284" s="101"/>
      <c r="E4284" s="79"/>
      <c r="F4284" s="79"/>
      <c r="G4284" s="79"/>
      <c r="H4284" s="79"/>
    </row>
    <row r="4285" spans="1:8">
      <c r="A4285" s="79" t="str">
        <f>LeaveData[[#This Row],[ EMP ID]]&amp;LeaveData[[#This Row],[Date]]</f>
        <v/>
      </c>
      <c r="B4285" s="92"/>
      <c r="C4285" s="92"/>
      <c r="D4285" s="101"/>
      <c r="E4285" s="79"/>
      <c r="F4285" s="79"/>
      <c r="G4285" s="79"/>
      <c r="H4285" s="79"/>
    </row>
    <row r="4286" spans="1:8">
      <c r="A4286" s="79" t="str">
        <f>LeaveData[[#This Row],[ EMP ID]]&amp;LeaveData[[#This Row],[Date]]</f>
        <v/>
      </c>
      <c r="B4286" s="92"/>
      <c r="C4286" s="92"/>
      <c r="D4286" s="101"/>
      <c r="E4286" s="79"/>
      <c r="F4286" s="79"/>
      <c r="G4286" s="79"/>
      <c r="H4286" s="79"/>
    </row>
    <row r="4287" spans="1:8">
      <c r="A4287" s="79" t="str">
        <f>LeaveData[[#This Row],[ EMP ID]]&amp;LeaveData[[#This Row],[Date]]</f>
        <v/>
      </c>
      <c r="B4287" s="92"/>
      <c r="C4287" s="92"/>
      <c r="D4287" s="101"/>
      <c r="E4287" s="79"/>
      <c r="F4287" s="79"/>
      <c r="G4287" s="79"/>
      <c r="H4287" s="79"/>
    </row>
    <row r="4288" spans="1:8">
      <c r="A4288" s="79" t="str">
        <f>LeaveData[[#This Row],[ EMP ID]]&amp;LeaveData[[#This Row],[Date]]</f>
        <v/>
      </c>
      <c r="B4288" s="92"/>
      <c r="C4288" s="92"/>
      <c r="D4288" s="101"/>
      <c r="E4288" s="79"/>
      <c r="F4288" s="79"/>
      <c r="G4288" s="79"/>
      <c r="H4288" s="79"/>
    </row>
    <row r="4289" spans="1:8">
      <c r="A4289" s="79" t="str">
        <f>LeaveData[[#This Row],[ EMP ID]]&amp;LeaveData[[#This Row],[Date]]</f>
        <v/>
      </c>
      <c r="B4289" s="92"/>
      <c r="C4289" s="92"/>
      <c r="D4289" s="101"/>
      <c r="E4289" s="79"/>
      <c r="F4289" s="79"/>
      <c r="G4289" s="79"/>
      <c r="H4289" s="79"/>
    </row>
    <row r="4290" spans="1:8">
      <c r="A4290" s="79" t="str">
        <f>LeaveData[[#This Row],[ EMP ID]]&amp;LeaveData[[#This Row],[Date]]</f>
        <v/>
      </c>
      <c r="B4290" s="92"/>
      <c r="C4290" s="92"/>
      <c r="D4290" s="101"/>
      <c r="E4290" s="79"/>
      <c r="F4290" s="79"/>
      <c r="G4290" s="79"/>
      <c r="H4290" s="79"/>
    </row>
    <row r="4291" spans="1:8">
      <c r="A4291" s="79" t="str">
        <f>LeaveData[[#This Row],[ EMP ID]]&amp;LeaveData[[#This Row],[Date]]</f>
        <v/>
      </c>
      <c r="B4291" s="92"/>
      <c r="C4291" s="92"/>
      <c r="D4291" s="101"/>
      <c r="E4291" s="79"/>
      <c r="F4291" s="79"/>
      <c r="G4291" s="79"/>
      <c r="H4291" s="79"/>
    </row>
    <row r="4292" spans="1:8">
      <c r="A4292" s="79" t="str">
        <f>LeaveData[[#This Row],[ EMP ID]]&amp;LeaveData[[#This Row],[Date]]</f>
        <v/>
      </c>
      <c r="B4292" s="92"/>
      <c r="C4292" s="92"/>
      <c r="D4292" s="101"/>
      <c r="E4292" s="79"/>
      <c r="F4292" s="79"/>
      <c r="G4292" s="79"/>
      <c r="H4292" s="79"/>
    </row>
    <row r="4293" spans="1:8">
      <c r="A4293" s="79" t="str">
        <f>LeaveData[[#This Row],[ EMP ID]]&amp;LeaveData[[#This Row],[Date]]</f>
        <v/>
      </c>
      <c r="B4293" s="92"/>
      <c r="C4293" s="92"/>
      <c r="D4293" s="101"/>
      <c r="E4293" s="79"/>
      <c r="F4293" s="79"/>
      <c r="G4293" s="79"/>
      <c r="H4293" s="79"/>
    </row>
    <row r="4294" spans="1:8">
      <c r="A4294" s="79" t="str">
        <f>LeaveData[[#This Row],[ EMP ID]]&amp;LeaveData[[#This Row],[Date]]</f>
        <v/>
      </c>
      <c r="B4294" s="92"/>
      <c r="C4294" s="92"/>
      <c r="D4294" s="101"/>
      <c r="E4294" s="79"/>
      <c r="F4294" s="79"/>
      <c r="G4294" s="79"/>
      <c r="H4294" s="79"/>
    </row>
    <row r="4295" spans="1:8">
      <c r="A4295" s="79" t="str">
        <f>LeaveData[[#This Row],[ EMP ID]]&amp;LeaveData[[#This Row],[Date]]</f>
        <v/>
      </c>
      <c r="B4295" s="92"/>
      <c r="C4295" s="92"/>
      <c r="D4295" s="101"/>
      <c r="E4295" s="79"/>
      <c r="F4295" s="79"/>
      <c r="G4295" s="79"/>
      <c r="H4295" s="79"/>
    </row>
    <row r="4296" spans="1:8">
      <c r="A4296" s="79" t="str">
        <f>LeaveData[[#This Row],[ EMP ID]]&amp;LeaveData[[#This Row],[Date]]</f>
        <v/>
      </c>
      <c r="B4296" s="92"/>
      <c r="C4296" s="92"/>
      <c r="D4296" s="101"/>
      <c r="E4296" s="79"/>
      <c r="F4296" s="79"/>
      <c r="G4296" s="79"/>
      <c r="H4296" s="79"/>
    </row>
    <row r="4297" spans="1:8">
      <c r="A4297" s="79" t="str">
        <f>LeaveData[[#This Row],[ EMP ID]]&amp;LeaveData[[#This Row],[Date]]</f>
        <v/>
      </c>
      <c r="B4297" s="92"/>
      <c r="C4297" s="92"/>
      <c r="D4297" s="101"/>
      <c r="E4297" s="79"/>
      <c r="F4297" s="79"/>
      <c r="G4297" s="79"/>
      <c r="H4297" s="79"/>
    </row>
    <row r="4298" spans="1:8">
      <c r="A4298" s="79" t="str">
        <f>LeaveData[[#This Row],[ EMP ID]]&amp;LeaveData[[#This Row],[Date]]</f>
        <v/>
      </c>
      <c r="B4298" s="92"/>
      <c r="C4298" s="92"/>
      <c r="D4298" s="101"/>
      <c r="E4298" s="79"/>
      <c r="F4298" s="79"/>
      <c r="G4298" s="79"/>
      <c r="H4298" s="79"/>
    </row>
    <row r="4299" spans="1:8">
      <c r="A4299" s="79" t="str">
        <f>LeaveData[[#This Row],[ EMP ID]]&amp;LeaveData[[#This Row],[Date]]</f>
        <v/>
      </c>
      <c r="B4299" s="92"/>
      <c r="C4299" s="92"/>
      <c r="D4299" s="101"/>
      <c r="E4299" s="79"/>
      <c r="F4299" s="79"/>
      <c r="G4299" s="79"/>
      <c r="H4299" s="79"/>
    </row>
    <row r="4300" spans="1:8">
      <c r="A4300" s="79" t="str">
        <f>LeaveData[[#This Row],[ EMP ID]]&amp;LeaveData[[#This Row],[Date]]</f>
        <v/>
      </c>
      <c r="B4300" s="92"/>
      <c r="C4300" s="92"/>
      <c r="D4300" s="101"/>
      <c r="E4300" s="79"/>
      <c r="F4300" s="79"/>
      <c r="G4300" s="79"/>
      <c r="H4300" s="79"/>
    </row>
    <row r="4301" spans="1:8">
      <c r="A4301" s="79" t="str">
        <f>LeaveData[[#This Row],[ EMP ID]]&amp;LeaveData[[#This Row],[Date]]</f>
        <v/>
      </c>
      <c r="B4301" s="92"/>
      <c r="C4301" s="92"/>
      <c r="D4301" s="101"/>
      <c r="E4301" s="79"/>
      <c r="F4301" s="79"/>
      <c r="G4301" s="79"/>
      <c r="H4301" s="79"/>
    </row>
    <row r="4302" spans="1:8">
      <c r="A4302" s="79" t="str">
        <f>LeaveData[[#This Row],[ EMP ID]]&amp;LeaveData[[#This Row],[Date]]</f>
        <v/>
      </c>
      <c r="B4302" s="92"/>
      <c r="C4302" s="92"/>
      <c r="D4302" s="101"/>
      <c r="E4302" s="79"/>
      <c r="F4302" s="79"/>
      <c r="G4302" s="79"/>
      <c r="H4302" s="79"/>
    </row>
    <row r="4303" spans="1:8">
      <c r="A4303" s="79" t="str">
        <f>LeaveData[[#This Row],[ EMP ID]]&amp;LeaveData[[#This Row],[Date]]</f>
        <v/>
      </c>
      <c r="B4303" s="92"/>
      <c r="C4303" s="92"/>
      <c r="D4303" s="101"/>
      <c r="E4303" s="79"/>
      <c r="F4303" s="79"/>
      <c r="G4303" s="79"/>
      <c r="H4303" s="79"/>
    </row>
    <row r="4304" spans="1:8">
      <c r="A4304" s="79" t="str">
        <f>LeaveData[[#This Row],[ EMP ID]]&amp;LeaveData[[#This Row],[Date]]</f>
        <v/>
      </c>
      <c r="B4304" s="92"/>
      <c r="C4304" s="92"/>
      <c r="D4304" s="101"/>
      <c r="E4304" s="79"/>
      <c r="F4304" s="79"/>
      <c r="G4304" s="79"/>
      <c r="H4304" s="79"/>
    </row>
    <row r="4305" spans="1:8">
      <c r="A4305" s="79" t="str">
        <f>LeaveData[[#This Row],[ EMP ID]]&amp;LeaveData[[#This Row],[Date]]</f>
        <v/>
      </c>
      <c r="B4305" s="92"/>
      <c r="C4305" s="92"/>
      <c r="D4305" s="101"/>
      <c r="E4305" s="79"/>
      <c r="F4305" s="79"/>
      <c r="G4305" s="79"/>
      <c r="H4305" s="79"/>
    </row>
    <row r="4306" spans="1:8">
      <c r="A4306" s="79" t="str">
        <f>LeaveData[[#This Row],[ EMP ID]]&amp;LeaveData[[#This Row],[Date]]</f>
        <v/>
      </c>
      <c r="B4306" s="92"/>
      <c r="C4306" s="92"/>
      <c r="D4306" s="101"/>
      <c r="E4306" s="79"/>
      <c r="F4306" s="79"/>
      <c r="G4306" s="79"/>
      <c r="H4306" s="79"/>
    </row>
    <row r="4307" spans="1:8">
      <c r="A4307" s="79" t="str">
        <f>LeaveData[[#This Row],[ EMP ID]]&amp;LeaveData[[#This Row],[Date]]</f>
        <v/>
      </c>
      <c r="B4307" s="92"/>
      <c r="C4307" s="92"/>
      <c r="D4307" s="101"/>
      <c r="E4307" s="79"/>
      <c r="F4307" s="79"/>
      <c r="G4307" s="79"/>
      <c r="H4307" s="79"/>
    </row>
    <row r="4308" spans="1:8">
      <c r="A4308" s="79" t="str">
        <f>LeaveData[[#This Row],[ EMP ID]]&amp;LeaveData[[#This Row],[Date]]</f>
        <v/>
      </c>
      <c r="B4308" s="92"/>
      <c r="C4308" s="92"/>
      <c r="D4308" s="101"/>
      <c r="E4308" s="79"/>
      <c r="F4308" s="79"/>
      <c r="G4308" s="79"/>
      <c r="H4308" s="79"/>
    </row>
    <row r="4309" spans="1:8">
      <c r="A4309" s="79" t="str">
        <f>LeaveData[[#This Row],[ EMP ID]]&amp;LeaveData[[#This Row],[Date]]</f>
        <v/>
      </c>
      <c r="B4309" s="92"/>
      <c r="C4309" s="92"/>
      <c r="D4309" s="101"/>
      <c r="E4309" s="79"/>
      <c r="F4309" s="79"/>
      <c r="G4309" s="79"/>
      <c r="H4309" s="79"/>
    </row>
    <row r="4310" spans="1:8">
      <c r="A4310" s="79" t="str">
        <f>LeaveData[[#This Row],[ EMP ID]]&amp;LeaveData[[#This Row],[Date]]</f>
        <v/>
      </c>
      <c r="B4310" s="92"/>
      <c r="C4310" s="92"/>
      <c r="D4310" s="101"/>
      <c r="E4310" s="79"/>
      <c r="F4310" s="79"/>
      <c r="G4310" s="79"/>
      <c r="H4310" s="79"/>
    </row>
    <row r="4311" spans="1:8">
      <c r="A4311" s="79" t="str">
        <f>LeaveData[[#This Row],[ EMP ID]]&amp;LeaveData[[#This Row],[Date]]</f>
        <v/>
      </c>
      <c r="B4311" s="92"/>
      <c r="C4311" s="92"/>
      <c r="D4311" s="101"/>
      <c r="E4311" s="79"/>
      <c r="F4311" s="79"/>
      <c r="G4311" s="79"/>
      <c r="H4311" s="79"/>
    </row>
    <row r="4312" spans="1:8">
      <c r="A4312" s="79" t="str">
        <f>LeaveData[[#This Row],[ EMP ID]]&amp;LeaveData[[#This Row],[Date]]</f>
        <v/>
      </c>
      <c r="B4312" s="92"/>
      <c r="C4312" s="92"/>
      <c r="D4312" s="101"/>
      <c r="E4312" s="79"/>
      <c r="F4312" s="79"/>
      <c r="G4312" s="79"/>
      <c r="H4312" s="79"/>
    </row>
    <row r="4313" spans="1:8">
      <c r="A4313" s="79" t="str">
        <f>LeaveData[[#This Row],[ EMP ID]]&amp;LeaveData[[#This Row],[Date]]</f>
        <v/>
      </c>
      <c r="B4313" s="92"/>
      <c r="C4313" s="92"/>
      <c r="D4313" s="101"/>
      <c r="E4313" s="79"/>
      <c r="F4313" s="79"/>
      <c r="G4313" s="79"/>
      <c r="H4313" s="79"/>
    </row>
    <row r="4314" spans="1:8">
      <c r="A4314" s="79" t="str">
        <f>LeaveData[[#This Row],[ EMP ID]]&amp;LeaveData[[#This Row],[Date]]</f>
        <v/>
      </c>
      <c r="B4314" s="92"/>
      <c r="C4314" s="92"/>
      <c r="D4314" s="101"/>
      <c r="E4314" s="79"/>
      <c r="F4314" s="79"/>
      <c r="G4314" s="79"/>
      <c r="H4314" s="79"/>
    </row>
    <row r="4315" spans="1:8">
      <c r="A4315" s="79" t="str">
        <f>LeaveData[[#This Row],[ EMP ID]]&amp;LeaveData[[#This Row],[Date]]</f>
        <v/>
      </c>
      <c r="B4315" s="92"/>
      <c r="C4315" s="92"/>
      <c r="D4315" s="101"/>
      <c r="E4315" s="79"/>
      <c r="F4315" s="79"/>
      <c r="G4315" s="79"/>
      <c r="H4315" s="79"/>
    </row>
    <row r="4316" spans="1:8">
      <c r="A4316" s="79" t="str">
        <f>LeaveData[[#This Row],[ EMP ID]]&amp;LeaveData[[#This Row],[Date]]</f>
        <v/>
      </c>
      <c r="B4316" s="92"/>
      <c r="C4316" s="92"/>
      <c r="D4316" s="101"/>
      <c r="E4316" s="79"/>
      <c r="F4316" s="79"/>
      <c r="G4316" s="79"/>
      <c r="H4316" s="79"/>
    </row>
    <row r="4317" spans="1:8">
      <c r="A4317" s="79" t="str">
        <f>LeaveData[[#This Row],[ EMP ID]]&amp;LeaveData[[#This Row],[Date]]</f>
        <v/>
      </c>
      <c r="B4317" s="92"/>
      <c r="C4317" s="92"/>
      <c r="D4317" s="101"/>
      <c r="E4317" s="79"/>
      <c r="F4317" s="79"/>
      <c r="G4317" s="79"/>
      <c r="H4317" s="79"/>
    </row>
    <row r="4318" spans="1:8">
      <c r="A4318" s="79" t="str">
        <f>LeaveData[[#This Row],[ EMP ID]]&amp;LeaveData[[#This Row],[Date]]</f>
        <v/>
      </c>
      <c r="B4318" s="92"/>
      <c r="C4318" s="92"/>
      <c r="D4318" s="101"/>
      <c r="E4318" s="79"/>
      <c r="F4318" s="79"/>
      <c r="G4318" s="79"/>
      <c r="H4318" s="79"/>
    </row>
    <row r="4319" spans="1:8">
      <c r="A4319" s="79" t="str">
        <f>LeaveData[[#This Row],[ EMP ID]]&amp;LeaveData[[#This Row],[Date]]</f>
        <v/>
      </c>
      <c r="B4319" s="92"/>
      <c r="C4319" s="92"/>
      <c r="D4319" s="101"/>
      <c r="E4319" s="79"/>
      <c r="F4319" s="79"/>
      <c r="G4319" s="79"/>
      <c r="H4319" s="79"/>
    </row>
    <row r="4320" spans="1:8">
      <c r="A4320" s="79" t="str">
        <f>LeaveData[[#This Row],[ EMP ID]]&amp;LeaveData[[#This Row],[Date]]</f>
        <v/>
      </c>
      <c r="B4320" s="92"/>
      <c r="C4320" s="92"/>
      <c r="D4320" s="101"/>
      <c r="E4320" s="79"/>
      <c r="F4320" s="79"/>
      <c r="G4320" s="79"/>
      <c r="H4320" s="79"/>
    </row>
    <row r="4321" spans="1:8">
      <c r="A4321" s="79" t="str">
        <f>LeaveData[[#This Row],[ EMP ID]]&amp;LeaveData[[#This Row],[Date]]</f>
        <v/>
      </c>
      <c r="B4321" s="92"/>
      <c r="C4321" s="92"/>
      <c r="D4321" s="101"/>
      <c r="E4321" s="79"/>
      <c r="F4321" s="79"/>
      <c r="G4321" s="79"/>
      <c r="H4321" s="79"/>
    </row>
    <row r="4322" spans="1:8">
      <c r="A4322" s="79" t="str">
        <f>LeaveData[[#This Row],[ EMP ID]]&amp;LeaveData[[#This Row],[Date]]</f>
        <v/>
      </c>
      <c r="B4322" s="92"/>
      <c r="C4322" s="92"/>
      <c r="D4322" s="101"/>
      <c r="E4322" s="79"/>
      <c r="F4322" s="79"/>
      <c r="G4322" s="79"/>
      <c r="H4322" s="79"/>
    </row>
    <row r="4323" spans="1:8">
      <c r="A4323" s="79" t="str">
        <f>LeaveData[[#This Row],[ EMP ID]]&amp;LeaveData[[#This Row],[Date]]</f>
        <v/>
      </c>
      <c r="B4323" s="92"/>
      <c r="C4323" s="92"/>
      <c r="D4323" s="101"/>
      <c r="E4323" s="79"/>
      <c r="F4323" s="79"/>
      <c r="G4323" s="79"/>
      <c r="H4323" s="79"/>
    </row>
    <row r="4324" spans="1:8">
      <c r="A4324" s="79" t="str">
        <f>LeaveData[[#This Row],[ EMP ID]]&amp;LeaveData[[#This Row],[Date]]</f>
        <v/>
      </c>
      <c r="B4324" s="92"/>
      <c r="C4324" s="92"/>
      <c r="D4324" s="101"/>
      <c r="E4324" s="79"/>
      <c r="F4324" s="79"/>
      <c r="G4324" s="79"/>
      <c r="H4324" s="79"/>
    </row>
    <row r="4325" spans="1:8">
      <c r="A4325" s="79" t="str">
        <f>LeaveData[[#This Row],[ EMP ID]]&amp;LeaveData[[#This Row],[Date]]</f>
        <v/>
      </c>
      <c r="B4325" s="92"/>
      <c r="C4325" s="92"/>
      <c r="D4325" s="101"/>
      <c r="E4325" s="79"/>
      <c r="F4325" s="79"/>
      <c r="G4325" s="79"/>
      <c r="H4325" s="79"/>
    </row>
    <row r="4326" spans="1:8">
      <c r="A4326" s="79" t="str">
        <f>LeaveData[[#This Row],[ EMP ID]]&amp;LeaveData[[#This Row],[Date]]</f>
        <v/>
      </c>
      <c r="B4326" s="92"/>
      <c r="C4326" s="92"/>
      <c r="D4326" s="101"/>
      <c r="E4326" s="79"/>
      <c r="F4326" s="79"/>
      <c r="G4326" s="79"/>
      <c r="H4326" s="79"/>
    </row>
    <row r="4327" spans="1:8">
      <c r="A4327" s="79" t="str">
        <f>LeaveData[[#This Row],[ EMP ID]]&amp;LeaveData[[#This Row],[Date]]</f>
        <v/>
      </c>
      <c r="B4327" s="92"/>
      <c r="C4327" s="92"/>
      <c r="D4327" s="101"/>
      <c r="E4327" s="79"/>
      <c r="F4327" s="79"/>
      <c r="G4327" s="79"/>
      <c r="H4327" s="79"/>
    </row>
    <row r="4328" spans="1:8">
      <c r="A4328" s="79" t="str">
        <f>LeaveData[[#This Row],[ EMP ID]]&amp;LeaveData[[#This Row],[Date]]</f>
        <v/>
      </c>
      <c r="B4328" s="92"/>
      <c r="C4328" s="92"/>
      <c r="D4328" s="101"/>
      <c r="E4328" s="79"/>
      <c r="F4328" s="79"/>
      <c r="G4328" s="79"/>
      <c r="H4328" s="79"/>
    </row>
    <row r="4329" spans="1:8">
      <c r="A4329" s="79" t="str">
        <f>LeaveData[[#This Row],[ EMP ID]]&amp;LeaveData[[#This Row],[Date]]</f>
        <v/>
      </c>
      <c r="B4329" s="92"/>
      <c r="C4329" s="92"/>
      <c r="D4329" s="101"/>
      <c r="E4329" s="79"/>
      <c r="F4329" s="79"/>
      <c r="G4329" s="79"/>
      <c r="H4329" s="79"/>
    </row>
    <row r="4330" spans="1:8">
      <c r="A4330" s="79" t="str">
        <f>LeaveData[[#This Row],[ EMP ID]]&amp;LeaveData[[#This Row],[Date]]</f>
        <v/>
      </c>
      <c r="B4330" s="92"/>
      <c r="C4330" s="92"/>
      <c r="D4330" s="101"/>
      <c r="E4330" s="79"/>
      <c r="F4330" s="79"/>
      <c r="G4330" s="79"/>
      <c r="H4330" s="79"/>
    </row>
    <row r="4331" spans="1:8">
      <c r="A4331" s="79" t="str">
        <f>LeaveData[[#This Row],[ EMP ID]]&amp;LeaveData[[#This Row],[Date]]</f>
        <v/>
      </c>
      <c r="B4331" s="92"/>
      <c r="C4331" s="92"/>
      <c r="D4331" s="101"/>
      <c r="E4331" s="79"/>
      <c r="F4331" s="79"/>
      <c r="G4331" s="79"/>
      <c r="H4331" s="79"/>
    </row>
    <row r="4332" spans="1:8">
      <c r="A4332" s="79" t="str">
        <f>LeaveData[[#This Row],[ EMP ID]]&amp;LeaveData[[#This Row],[Date]]</f>
        <v/>
      </c>
      <c r="B4332" s="92"/>
      <c r="C4332" s="92"/>
      <c r="D4332" s="101"/>
      <c r="E4332" s="79"/>
      <c r="F4332" s="79"/>
      <c r="G4332" s="79"/>
      <c r="H4332" s="79"/>
    </row>
    <row r="4333" spans="1:8">
      <c r="A4333" s="79" t="str">
        <f>LeaveData[[#This Row],[ EMP ID]]&amp;LeaveData[[#This Row],[Date]]</f>
        <v/>
      </c>
      <c r="B4333" s="92"/>
      <c r="C4333" s="92"/>
      <c r="D4333" s="101"/>
      <c r="E4333" s="79"/>
      <c r="F4333" s="79"/>
      <c r="G4333" s="79"/>
      <c r="H4333" s="79"/>
    </row>
    <row r="4334" spans="1:8">
      <c r="A4334" s="79" t="str">
        <f>LeaveData[[#This Row],[ EMP ID]]&amp;LeaveData[[#This Row],[Date]]</f>
        <v/>
      </c>
      <c r="B4334" s="92"/>
      <c r="C4334" s="92"/>
      <c r="D4334" s="101"/>
      <c r="E4334" s="79"/>
      <c r="F4334" s="79"/>
      <c r="G4334" s="79"/>
      <c r="H4334" s="79"/>
    </row>
    <row r="4335" spans="1:8">
      <c r="A4335" s="79" t="str">
        <f>LeaveData[[#This Row],[ EMP ID]]&amp;LeaveData[[#This Row],[Date]]</f>
        <v/>
      </c>
      <c r="B4335" s="92"/>
      <c r="C4335" s="92"/>
      <c r="D4335" s="101"/>
      <c r="E4335" s="79"/>
      <c r="F4335" s="79"/>
      <c r="G4335" s="79"/>
      <c r="H4335" s="79"/>
    </row>
    <row r="4336" spans="1:8">
      <c r="A4336" s="79" t="str">
        <f>LeaveData[[#This Row],[ EMP ID]]&amp;LeaveData[[#This Row],[Date]]</f>
        <v/>
      </c>
      <c r="B4336" s="92"/>
      <c r="C4336" s="92"/>
      <c r="D4336" s="101"/>
      <c r="E4336" s="79"/>
      <c r="F4336" s="79"/>
      <c r="G4336" s="79"/>
      <c r="H4336" s="79"/>
    </row>
    <row r="4337" spans="1:8">
      <c r="A4337" s="79" t="str">
        <f>LeaveData[[#This Row],[ EMP ID]]&amp;LeaveData[[#This Row],[Date]]</f>
        <v/>
      </c>
      <c r="B4337" s="92"/>
      <c r="C4337" s="92"/>
      <c r="D4337" s="101"/>
      <c r="E4337" s="79"/>
      <c r="F4337" s="79"/>
      <c r="G4337" s="79"/>
      <c r="H4337" s="79"/>
    </row>
    <row r="4338" spans="1:8">
      <c r="A4338" s="79" t="str">
        <f>LeaveData[[#This Row],[ EMP ID]]&amp;LeaveData[[#This Row],[Date]]</f>
        <v/>
      </c>
      <c r="B4338" s="92"/>
      <c r="C4338" s="92"/>
      <c r="D4338" s="101"/>
      <c r="E4338" s="79"/>
      <c r="F4338" s="79"/>
      <c r="G4338" s="79"/>
      <c r="H4338" s="79"/>
    </row>
    <row r="4339" spans="1:8">
      <c r="A4339" s="79" t="str">
        <f>LeaveData[[#This Row],[ EMP ID]]&amp;LeaveData[[#This Row],[Date]]</f>
        <v/>
      </c>
      <c r="B4339" s="92"/>
      <c r="C4339" s="92"/>
      <c r="D4339" s="101"/>
      <c r="E4339" s="79"/>
      <c r="F4339" s="79"/>
      <c r="G4339" s="79"/>
      <c r="H4339" s="79"/>
    </row>
    <row r="4340" spans="1:8">
      <c r="A4340" s="79" t="str">
        <f>LeaveData[[#This Row],[ EMP ID]]&amp;LeaveData[[#This Row],[Date]]</f>
        <v/>
      </c>
      <c r="B4340" s="92"/>
      <c r="C4340" s="92"/>
      <c r="D4340" s="101"/>
      <c r="E4340" s="79"/>
      <c r="F4340" s="79"/>
      <c r="G4340" s="79"/>
      <c r="H4340" s="79"/>
    </row>
    <row r="4341" spans="1:8">
      <c r="A4341" s="79" t="str">
        <f>LeaveData[[#This Row],[ EMP ID]]&amp;LeaveData[[#This Row],[Date]]</f>
        <v/>
      </c>
      <c r="B4341" s="92"/>
      <c r="C4341" s="92"/>
      <c r="D4341" s="101"/>
      <c r="E4341" s="79"/>
      <c r="F4341" s="79"/>
      <c r="G4341" s="79"/>
      <c r="H4341" s="79"/>
    </row>
    <row r="4342" spans="1:8">
      <c r="A4342" s="79" t="str">
        <f>LeaveData[[#This Row],[ EMP ID]]&amp;LeaveData[[#This Row],[Date]]</f>
        <v/>
      </c>
      <c r="B4342" s="92"/>
      <c r="C4342" s="92"/>
      <c r="D4342" s="101"/>
      <c r="E4342" s="79"/>
      <c r="F4342" s="79"/>
      <c r="G4342" s="79"/>
      <c r="H4342" s="79"/>
    </row>
    <row r="4343" spans="1:8">
      <c r="A4343" s="79" t="str">
        <f>LeaveData[[#This Row],[ EMP ID]]&amp;LeaveData[[#This Row],[Date]]</f>
        <v/>
      </c>
      <c r="B4343" s="92"/>
      <c r="C4343" s="92"/>
      <c r="D4343" s="101"/>
      <c r="E4343" s="79"/>
      <c r="F4343" s="79"/>
      <c r="G4343" s="79"/>
      <c r="H4343" s="79"/>
    </row>
    <row r="4344" spans="1:8">
      <c r="A4344" s="79" t="str">
        <f>LeaveData[[#This Row],[ EMP ID]]&amp;LeaveData[[#This Row],[Date]]</f>
        <v/>
      </c>
      <c r="B4344" s="92"/>
      <c r="C4344" s="92"/>
      <c r="D4344" s="101"/>
      <c r="E4344" s="79"/>
      <c r="F4344" s="79"/>
      <c r="G4344" s="79"/>
      <c r="H4344" s="79"/>
    </row>
    <row r="4345" spans="1:8">
      <c r="A4345" s="79" t="str">
        <f>LeaveData[[#This Row],[ EMP ID]]&amp;LeaveData[[#This Row],[Date]]</f>
        <v/>
      </c>
      <c r="B4345" s="92"/>
      <c r="C4345" s="92"/>
      <c r="D4345" s="101"/>
      <c r="E4345" s="79"/>
      <c r="F4345" s="79"/>
      <c r="G4345" s="79"/>
      <c r="H4345" s="79"/>
    </row>
    <row r="4346" spans="1:8">
      <c r="A4346" s="79" t="str">
        <f>LeaveData[[#This Row],[ EMP ID]]&amp;LeaveData[[#This Row],[Date]]</f>
        <v/>
      </c>
      <c r="B4346" s="92"/>
      <c r="C4346" s="92"/>
      <c r="D4346" s="101"/>
      <c r="E4346" s="79"/>
      <c r="F4346" s="79"/>
      <c r="G4346" s="79"/>
      <c r="H4346" s="79"/>
    </row>
    <row r="4347" spans="1:8">
      <c r="A4347" s="79" t="str">
        <f>LeaveData[[#This Row],[ EMP ID]]&amp;LeaveData[[#This Row],[Date]]</f>
        <v/>
      </c>
      <c r="B4347" s="92"/>
      <c r="C4347" s="92"/>
      <c r="D4347" s="101"/>
      <c r="E4347" s="79"/>
      <c r="F4347" s="79"/>
      <c r="G4347" s="79"/>
      <c r="H4347" s="79"/>
    </row>
    <row r="4348" spans="1:8">
      <c r="A4348" s="79" t="str">
        <f>LeaveData[[#This Row],[ EMP ID]]&amp;LeaveData[[#This Row],[Date]]</f>
        <v/>
      </c>
      <c r="B4348" s="92"/>
      <c r="C4348" s="92"/>
      <c r="D4348" s="101"/>
      <c r="E4348" s="79"/>
      <c r="F4348" s="79"/>
      <c r="G4348" s="79"/>
      <c r="H4348" s="79"/>
    </row>
    <row r="4349" spans="1:8">
      <c r="A4349" s="79" t="str">
        <f>LeaveData[[#This Row],[ EMP ID]]&amp;LeaveData[[#This Row],[Date]]</f>
        <v/>
      </c>
      <c r="B4349" s="92"/>
      <c r="C4349" s="92"/>
      <c r="D4349" s="101"/>
      <c r="E4349" s="79"/>
      <c r="F4349" s="79"/>
      <c r="G4349" s="79"/>
      <c r="H4349" s="79"/>
    </row>
    <row r="4350" spans="1:8">
      <c r="A4350" s="79" t="str">
        <f>LeaveData[[#This Row],[ EMP ID]]&amp;LeaveData[[#This Row],[Date]]</f>
        <v/>
      </c>
      <c r="B4350" s="92"/>
      <c r="C4350" s="92"/>
      <c r="D4350" s="101"/>
      <c r="E4350" s="79"/>
      <c r="F4350" s="79"/>
      <c r="G4350" s="79"/>
      <c r="H4350" s="79"/>
    </row>
    <row r="4351" spans="1:8">
      <c r="A4351" s="79" t="str">
        <f>LeaveData[[#This Row],[ EMP ID]]&amp;LeaveData[[#This Row],[Date]]</f>
        <v/>
      </c>
      <c r="B4351" s="92"/>
      <c r="C4351" s="92"/>
      <c r="D4351" s="101"/>
      <c r="E4351" s="79"/>
      <c r="F4351" s="79"/>
      <c r="G4351" s="79"/>
      <c r="H4351" s="79"/>
    </row>
    <row r="4352" spans="1:8">
      <c r="A4352" s="79" t="str">
        <f>LeaveData[[#This Row],[ EMP ID]]&amp;LeaveData[[#This Row],[Date]]</f>
        <v/>
      </c>
      <c r="B4352" s="92"/>
      <c r="C4352" s="92"/>
      <c r="D4352" s="101"/>
      <c r="E4352" s="79"/>
      <c r="F4352" s="79"/>
      <c r="G4352" s="79"/>
      <c r="H4352" s="79"/>
    </row>
    <row r="4353" spans="1:8">
      <c r="A4353" s="79" t="str">
        <f>LeaveData[[#This Row],[ EMP ID]]&amp;LeaveData[[#This Row],[Date]]</f>
        <v/>
      </c>
      <c r="B4353" s="92"/>
      <c r="C4353" s="92"/>
      <c r="D4353" s="101"/>
      <c r="E4353" s="79"/>
      <c r="F4353" s="79"/>
      <c r="G4353" s="79"/>
      <c r="H4353" s="79"/>
    </row>
    <row r="4354" spans="1:8">
      <c r="A4354" s="79" t="str">
        <f>LeaveData[[#This Row],[ EMP ID]]&amp;LeaveData[[#This Row],[Date]]</f>
        <v/>
      </c>
      <c r="B4354" s="92"/>
      <c r="C4354" s="92"/>
      <c r="D4354" s="101"/>
      <c r="E4354" s="79"/>
      <c r="F4354" s="79"/>
      <c r="G4354" s="79"/>
      <c r="H4354" s="79"/>
    </row>
    <row r="4355" spans="1:8">
      <c r="A4355" s="79" t="str">
        <f>LeaveData[[#This Row],[ EMP ID]]&amp;LeaveData[[#This Row],[Date]]</f>
        <v/>
      </c>
      <c r="B4355" s="92"/>
      <c r="C4355" s="92"/>
      <c r="D4355" s="101"/>
      <c r="E4355" s="79"/>
      <c r="F4355" s="79"/>
      <c r="G4355" s="79"/>
      <c r="H4355" s="79"/>
    </row>
    <row r="4356" spans="1:8">
      <c r="A4356" s="79" t="str">
        <f>LeaveData[[#This Row],[ EMP ID]]&amp;LeaveData[[#This Row],[Date]]</f>
        <v/>
      </c>
      <c r="B4356" s="92"/>
      <c r="C4356" s="92"/>
      <c r="D4356" s="101"/>
      <c r="E4356" s="79"/>
      <c r="F4356" s="79"/>
      <c r="G4356" s="79"/>
      <c r="H4356" s="79"/>
    </row>
    <row r="4357" spans="1:8">
      <c r="A4357" s="79" t="str">
        <f>LeaveData[[#This Row],[ EMP ID]]&amp;LeaveData[[#This Row],[Date]]</f>
        <v/>
      </c>
      <c r="B4357" s="92"/>
      <c r="C4357" s="92"/>
      <c r="D4357" s="101"/>
      <c r="E4357" s="79"/>
      <c r="F4357" s="79"/>
      <c r="G4357" s="79"/>
      <c r="H4357" s="79"/>
    </row>
    <row r="4358" spans="1:8">
      <c r="A4358" s="79" t="str">
        <f>LeaveData[[#This Row],[ EMP ID]]&amp;LeaveData[[#This Row],[Date]]</f>
        <v/>
      </c>
      <c r="B4358" s="92"/>
      <c r="C4358" s="92"/>
      <c r="D4358" s="101"/>
      <c r="E4358" s="79"/>
      <c r="F4358" s="79"/>
      <c r="G4358" s="79"/>
      <c r="H4358" s="79"/>
    </row>
    <row r="4359" spans="1:8">
      <c r="A4359" s="79" t="str">
        <f>LeaveData[[#This Row],[ EMP ID]]&amp;LeaveData[[#This Row],[Date]]</f>
        <v/>
      </c>
      <c r="B4359" s="92"/>
      <c r="C4359" s="92"/>
      <c r="D4359" s="101"/>
      <c r="E4359" s="79"/>
      <c r="F4359" s="79"/>
      <c r="G4359" s="79"/>
      <c r="H4359" s="79"/>
    </row>
    <row r="4360" spans="1:8">
      <c r="A4360" s="79" t="str">
        <f>LeaveData[[#This Row],[ EMP ID]]&amp;LeaveData[[#This Row],[Date]]</f>
        <v/>
      </c>
      <c r="B4360" s="92"/>
      <c r="C4360" s="92"/>
      <c r="D4360" s="101"/>
      <c r="E4360" s="79"/>
      <c r="F4360" s="79"/>
      <c r="G4360" s="79"/>
      <c r="H4360" s="79"/>
    </row>
    <row r="4361" spans="1:8">
      <c r="A4361" s="79" t="str">
        <f>LeaveData[[#This Row],[ EMP ID]]&amp;LeaveData[[#This Row],[Date]]</f>
        <v/>
      </c>
      <c r="B4361" s="92"/>
      <c r="C4361" s="92"/>
      <c r="D4361" s="101"/>
      <c r="E4361" s="79"/>
      <c r="F4361" s="79"/>
      <c r="G4361" s="79"/>
      <c r="H4361" s="79"/>
    </row>
    <row r="4362" spans="1:8">
      <c r="A4362" s="79" t="str">
        <f>LeaveData[[#This Row],[ EMP ID]]&amp;LeaveData[[#This Row],[Date]]</f>
        <v/>
      </c>
      <c r="B4362" s="92"/>
      <c r="C4362" s="92"/>
      <c r="D4362" s="101"/>
      <c r="E4362" s="79"/>
      <c r="F4362" s="79"/>
      <c r="G4362" s="79"/>
      <c r="H4362" s="79"/>
    </row>
    <row r="4363" spans="1:8">
      <c r="A4363" s="79" t="str">
        <f>LeaveData[[#This Row],[ EMP ID]]&amp;LeaveData[[#This Row],[Date]]</f>
        <v/>
      </c>
      <c r="B4363" s="92"/>
      <c r="C4363" s="92"/>
      <c r="D4363" s="101"/>
      <c r="E4363" s="79"/>
      <c r="F4363" s="79"/>
      <c r="G4363" s="79"/>
      <c r="H4363" s="79"/>
    </row>
    <row r="4364" spans="1:8">
      <c r="A4364" s="79" t="str">
        <f>LeaveData[[#This Row],[ EMP ID]]&amp;LeaveData[[#This Row],[Date]]</f>
        <v/>
      </c>
      <c r="B4364" s="92"/>
      <c r="C4364" s="92"/>
      <c r="D4364" s="101"/>
      <c r="E4364" s="79"/>
      <c r="F4364" s="79"/>
      <c r="G4364" s="79"/>
      <c r="H4364" s="79"/>
    </row>
    <row r="4365" spans="1:8">
      <c r="A4365" s="79" t="str">
        <f>LeaveData[[#This Row],[ EMP ID]]&amp;LeaveData[[#This Row],[Date]]</f>
        <v/>
      </c>
      <c r="B4365" s="92"/>
      <c r="C4365" s="92"/>
      <c r="D4365" s="101"/>
      <c r="E4365" s="79"/>
      <c r="F4365" s="79"/>
      <c r="G4365" s="79"/>
      <c r="H4365" s="79"/>
    </row>
    <row r="4366" spans="1:8">
      <c r="A4366" s="79" t="str">
        <f>LeaveData[[#This Row],[ EMP ID]]&amp;LeaveData[[#This Row],[Date]]</f>
        <v/>
      </c>
      <c r="B4366" s="92"/>
      <c r="C4366" s="92"/>
      <c r="D4366" s="101"/>
      <c r="E4366" s="79"/>
      <c r="F4366" s="79"/>
      <c r="G4366" s="79"/>
      <c r="H4366" s="79"/>
    </row>
    <row r="4367" spans="1:8">
      <c r="A4367" s="79" t="str">
        <f>LeaveData[[#This Row],[ EMP ID]]&amp;LeaveData[[#This Row],[Date]]</f>
        <v/>
      </c>
      <c r="B4367" s="92"/>
      <c r="C4367" s="92"/>
      <c r="D4367" s="101"/>
      <c r="E4367" s="79"/>
      <c r="F4367" s="79"/>
      <c r="G4367" s="79"/>
      <c r="H4367" s="79"/>
    </row>
    <row r="4368" spans="1:8">
      <c r="A4368" s="79" t="str">
        <f>LeaveData[[#This Row],[ EMP ID]]&amp;LeaveData[[#This Row],[Date]]</f>
        <v/>
      </c>
      <c r="B4368" s="92"/>
      <c r="C4368" s="92"/>
      <c r="D4368" s="101"/>
      <c r="E4368" s="79"/>
      <c r="F4368" s="79"/>
      <c r="G4368" s="79"/>
      <c r="H4368" s="79"/>
    </row>
    <row r="4369" spans="1:8">
      <c r="A4369" s="79" t="str">
        <f>LeaveData[[#This Row],[ EMP ID]]&amp;LeaveData[[#This Row],[Date]]</f>
        <v/>
      </c>
      <c r="B4369" s="92"/>
      <c r="C4369" s="92"/>
      <c r="D4369" s="101"/>
      <c r="E4369" s="79"/>
      <c r="F4369" s="79"/>
      <c r="G4369" s="79"/>
      <c r="H4369" s="79"/>
    </row>
    <row r="4370" spans="1:8">
      <c r="A4370" s="79" t="str">
        <f>LeaveData[[#This Row],[ EMP ID]]&amp;LeaveData[[#This Row],[Date]]</f>
        <v/>
      </c>
      <c r="B4370" s="92"/>
      <c r="C4370" s="92"/>
      <c r="D4370" s="101"/>
      <c r="E4370" s="79"/>
      <c r="F4370" s="79"/>
      <c r="G4370" s="79"/>
      <c r="H4370" s="79"/>
    </row>
    <row r="4371" spans="1:8">
      <c r="A4371" s="79" t="str">
        <f>LeaveData[[#This Row],[ EMP ID]]&amp;LeaveData[[#This Row],[Date]]</f>
        <v/>
      </c>
      <c r="B4371" s="92"/>
      <c r="C4371" s="92"/>
      <c r="D4371" s="101"/>
      <c r="E4371" s="79"/>
      <c r="F4371" s="79"/>
      <c r="G4371" s="79"/>
      <c r="H4371" s="79"/>
    </row>
    <row r="4372" spans="1:8">
      <c r="A4372" s="79" t="str">
        <f>LeaveData[[#This Row],[ EMP ID]]&amp;LeaveData[[#This Row],[Date]]</f>
        <v/>
      </c>
      <c r="B4372" s="92"/>
      <c r="C4372" s="92"/>
      <c r="D4372" s="101"/>
      <c r="E4372" s="79"/>
      <c r="F4372" s="79"/>
      <c r="G4372" s="79"/>
      <c r="H4372" s="79"/>
    </row>
    <row r="4373" spans="1:8">
      <c r="A4373" s="79" t="str">
        <f>LeaveData[[#This Row],[ EMP ID]]&amp;LeaveData[[#This Row],[Date]]</f>
        <v/>
      </c>
      <c r="B4373" s="92"/>
      <c r="C4373" s="92"/>
      <c r="D4373" s="101"/>
      <c r="E4373" s="79"/>
      <c r="F4373" s="79"/>
      <c r="G4373" s="79"/>
      <c r="H4373" s="79"/>
    </row>
    <row r="4374" spans="1:8">
      <c r="A4374" s="79" t="str">
        <f>LeaveData[[#This Row],[ EMP ID]]&amp;LeaveData[[#This Row],[Date]]</f>
        <v/>
      </c>
      <c r="B4374" s="92"/>
      <c r="C4374" s="92"/>
      <c r="D4374" s="101"/>
      <c r="E4374" s="79"/>
      <c r="F4374" s="79"/>
      <c r="G4374" s="79"/>
      <c r="H4374" s="79"/>
    </row>
    <row r="4375" spans="1:8">
      <c r="A4375" s="79" t="str">
        <f>LeaveData[[#This Row],[ EMP ID]]&amp;LeaveData[[#This Row],[Date]]</f>
        <v/>
      </c>
      <c r="B4375" s="92"/>
      <c r="C4375" s="92"/>
      <c r="D4375" s="101"/>
      <c r="E4375" s="79"/>
      <c r="F4375" s="79"/>
      <c r="G4375" s="79"/>
      <c r="H4375" s="79"/>
    </row>
    <row r="4376" spans="1:8">
      <c r="A4376" s="79" t="str">
        <f>LeaveData[[#This Row],[ EMP ID]]&amp;LeaveData[[#This Row],[Date]]</f>
        <v/>
      </c>
      <c r="B4376" s="92"/>
      <c r="C4376" s="92"/>
      <c r="D4376" s="101"/>
      <c r="E4376" s="79"/>
      <c r="F4376" s="79"/>
      <c r="G4376" s="79"/>
      <c r="H4376" s="79"/>
    </row>
    <row r="4377" spans="1:8">
      <c r="A4377" s="79" t="str">
        <f>LeaveData[[#This Row],[ EMP ID]]&amp;LeaveData[[#This Row],[Date]]</f>
        <v/>
      </c>
      <c r="B4377" s="92"/>
      <c r="C4377" s="92"/>
      <c r="D4377" s="101"/>
      <c r="E4377" s="79"/>
      <c r="F4377" s="79"/>
      <c r="G4377" s="79"/>
      <c r="H4377" s="79"/>
    </row>
    <row r="4378" spans="1:8">
      <c r="A4378" s="79" t="str">
        <f>LeaveData[[#This Row],[ EMP ID]]&amp;LeaveData[[#This Row],[Date]]</f>
        <v/>
      </c>
      <c r="B4378" s="92"/>
      <c r="C4378" s="92"/>
      <c r="D4378" s="101"/>
      <c r="E4378" s="79"/>
      <c r="F4378" s="79"/>
      <c r="G4378" s="79"/>
      <c r="H4378" s="79"/>
    </row>
    <row r="4379" spans="1:8">
      <c r="A4379" s="79" t="str">
        <f>LeaveData[[#This Row],[ EMP ID]]&amp;LeaveData[[#This Row],[Date]]</f>
        <v/>
      </c>
      <c r="B4379" s="92"/>
      <c r="C4379" s="92"/>
      <c r="D4379" s="101"/>
      <c r="E4379" s="79"/>
      <c r="F4379" s="79"/>
      <c r="G4379" s="79"/>
      <c r="H4379" s="79"/>
    </row>
    <row r="4380" spans="1:8">
      <c r="A4380" s="79" t="str">
        <f>LeaveData[[#This Row],[ EMP ID]]&amp;LeaveData[[#This Row],[Date]]</f>
        <v/>
      </c>
      <c r="B4380" s="92"/>
      <c r="C4380" s="92"/>
      <c r="D4380" s="101"/>
      <c r="E4380" s="79"/>
      <c r="F4380" s="79"/>
      <c r="G4380" s="79"/>
      <c r="H4380" s="79"/>
    </row>
    <row r="4381" spans="1:8">
      <c r="A4381" s="79" t="str">
        <f>LeaveData[[#This Row],[ EMP ID]]&amp;LeaveData[[#This Row],[Date]]</f>
        <v/>
      </c>
      <c r="B4381" s="92"/>
      <c r="C4381" s="92"/>
      <c r="D4381" s="101"/>
      <c r="E4381" s="79"/>
      <c r="F4381" s="79"/>
      <c r="G4381" s="79"/>
      <c r="H4381" s="79"/>
    </row>
    <row r="4382" spans="1:8">
      <c r="A4382" s="79" t="str">
        <f>LeaveData[[#This Row],[ EMP ID]]&amp;LeaveData[[#This Row],[Date]]</f>
        <v/>
      </c>
      <c r="B4382" s="92"/>
      <c r="C4382" s="92"/>
      <c r="D4382" s="101"/>
      <c r="E4382" s="79"/>
      <c r="F4382" s="79"/>
      <c r="G4382" s="79"/>
      <c r="H4382" s="79"/>
    </row>
    <row r="4383" spans="1:8">
      <c r="A4383" s="79" t="str">
        <f>LeaveData[[#This Row],[ EMP ID]]&amp;LeaveData[[#This Row],[Date]]</f>
        <v/>
      </c>
      <c r="B4383" s="92"/>
      <c r="C4383" s="92"/>
      <c r="D4383" s="101"/>
      <c r="E4383" s="79"/>
      <c r="F4383" s="79"/>
      <c r="G4383" s="79"/>
      <c r="H4383" s="79"/>
    </row>
    <row r="4384" spans="1:8">
      <c r="A4384" s="79" t="str">
        <f>LeaveData[[#This Row],[ EMP ID]]&amp;LeaveData[[#This Row],[Date]]</f>
        <v/>
      </c>
      <c r="B4384" s="92"/>
      <c r="C4384" s="92"/>
      <c r="D4384" s="101"/>
      <c r="E4384" s="79"/>
      <c r="F4384" s="79"/>
      <c r="G4384" s="79"/>
      <c r="H4384" s="79"/>
    </row>
    <row r="4385" spans="1:8">
      <c r="A4385" s="79" t="str">
        <f>LeaveData[[#This Row],[ EMP ID]]&amp;LeaveData[[#This Row],[Date]]</f>
        <v/>
      </c>
      <c r="B4385" s="92"/>
      <c r="C4385" s="92"/>
      <c r="D4385" s="101"/>
      <c r="E4385" s="79"/>
      <c r="F4385" s="79"/>
      <c r="G4385" s="79"/>
      <c r="H4385" s="79"/>
    </row>
    <row r="4386" spans="1:8">
      <c r="A4386" s="79" t="str">
        <f>LeaveData[[#This Row],[ EMP ID]]&amp;LeaveData[[#This Row],[Date]]</f>
        <v/>
      </c>
      <c r="B4386" s="92"/>
      <c r="C4386" s="92"/>
      <c r="D4386" s="101"/>
      <c r="E4386" s="79"/>
      <c r="F4386" s="79"/>
      <c r="G4386" s="79"/>
      <c r="H4386" s="79"/>
    </row>
    <row r="4387" spans="1:8">
      <c r="A4387" s="79" t="str">
        <f>LeaveData[[#This Row],[ EMP ID]]&amp;LeaveData[[#This Row],[Date]]</f>
        <v/>
      </c>
      <c r="B4387" s="92"/>
      <c r="C4387" s="92"/>
      <c r="D4387" s="101"/>
      <c r="E4387" s="79"/>
      <c r="F4387" s="79"/>
      <c r="G4387" s="79"/>
      <c r="H4387" s="79"/>
    </row>
    <row r="4388" spans="1:8">
      <c r="A4388" s="79" t="str">
        <f>LeaveData[[#This Row],[ EMP ID]]&amp;LeaveData[[#This Row],[Date]]</f>
        <v/>
      </c>
      <c r="B4388" s="92"/>
      <c r="C4388" s="92"/>
      <c r="D4388" s="101"/>
      <c r="E4388" s="79"/>
      <c r="F4388" s="79"/>
      <c r="G4388" s="79"/>
      <c r="H4388" s="79"/>
    </row>
    <row r="4389" spans="1:8">
      <c r="A4389" s="79" t="str">
        <f>LeaveData[[#This Row],[ EMP ID]]&amp;LeaveData[[#This Row],[Date]]</f>
        <v/>
      </c>
      <c r="B4389" s="92"/>
      <c r="C4389" s="92"/>
      <c r="D4389" s="101"/>
      <c r="E4389" s="79"/>
      <c r="F4389" s="79"/>
      <c r="G4389" s="79"/>
      <c r="H4389" s="79"/>
    </row>
    <row r="4390" spans="1:8">
      <c r="A4390" s="79" t="str">
        <f>LeaveData[[#This Row],[ EMP ID]]&amp;LeaveData[[#This Row],[Date]]</f>
        <v/>
      </c>
      <c r="B4390" s="92"/>
      <c r="C4390" s="92"/>
      <c r="D4390" s="101"/>
      <c r="E4390" s="79"/>
      <c r="F4390" s="79"/>
      <c r="G4390" s="79"/>
      <c r="H4390" s="79"/>
    </row>
    <row r="4391" spans="1:8">
      <c r="A4391" s="79" t="str">
        <f>LeaveData[[#This Row],[ EMP ID]]&amp;LeaveData[[#This Row],[Date]]</f>
        <v/>
      </c>
      <c r="B4391" s="92"/>
      <c r="C4391" s="92"/>
      <c r="D4391" s="101"/>
      <c r="E4391" s="79"/>
      <c r="F4391" s="79"/>
      <c r="G4391" s="79"/>
      <c r="H4391" s="79"/>
    </row>
    <row r="4392" spans="1:8">
      <c r="A4392" s="79" t="str">
        <f>LeaveData[[#This Row],[ EMP ID]]&amp;LeaveData[[#This Row],[Date]]</f>
        <v/>
      </c>
      <c r="B4392" s="92"/>
      <c r="C4392" s="92"/>
      <c r="D4392" s="101"/>
      <c r="E4392" s="79"/>
      <c r="F4392" s="79"/>
      <c r="G4392" s="79"/>
      <c r="H4392" s="79"/>
    </row>
    <row r="4393" spans="1:8">
      <c r="A4393" s="79" t="str">
        <f>LeaveData[[#This Row],[ EMP ID]]&amp;LeaveData[[#This Row],[Date]]</f>
        <v/>
      </c>
      <c r="B4393" s="92"/>
      <c r="C4393" s="92"/>
      <c r="D4393" s="101"/>
      <c r="E4393" s="79"/>
      <c r="F4393" s="79"/>
      <c r="G4393" s="79"/>
      <c r="H4393" s="79"/>
    </row>
    <row r="4394" spans="1:8">
      <c r="A4394" s="79" t="str">
        <f>LeaveData[[#This Row],[ EMP ID]]&amp;LeaveData[[#This Row],[Date]]</f>
        <v/>
      </c>
      <c r="B4394" s="92"/>
      <c r="C4394" s="92"/>
      <c r="D4394" s="101"/>
      <c r="E4394" s="79"/>
      <c r="F4394" s="79"/>
      <c r="G4394" s="79"/>
      <c r="H4394" s="79"/>
    </row>
    <row r="4395" spans="1:8">
      <c r="A4395" s="79" t="str">
        <f>LeaveData[[#This Row],[ EMP ID]]&amp;LeaveData[[#This Row],[Date]]</f>
        <v/>
      </c>
      <c r="B4395" s="92"/>
      <c r="C4395" s="92"/>
      <c r="D4395" s="101"/>
      <c r="E4395" s="79"/>
      <c r="F4395" s="79"/>
      <c r="G4395" s="79"/>
      <c r="H4395" s="79"/>
    </row>
    <row r="4396" spans="1:8">
      <c r="A4396" s="79" t="str">
        <f>LeaveData[[#This Row],[ EMP ID]]&amp;LeaveData[[#This Row],[Date]]</f>
        <v/>
      </c>
      <c r="B4396" s="92"/>
      <c r="C4396" s="92"/>
      <c r="D4396" s="101"/>
      <c r="E4396" s="79"/>
      <c r="F4396" s="79"/>
      <c r="G4396" s="79"/>
      <c r="H4396" s="79"/>
    </row>
    <row r="4397" spans="1:8">
      <c r="A4397" s="79" t="str">
        <f>LeaveData[[#This Row],[ EMP ID]]&amp;LeaveData[[#This Row],[Date]]</f>
        <v/>
      </c>
      <c r="B4397" s="92"/>
      <c r="C4397" s="92"/>
      <c r="D4397" s="101"/>
      <c r="E4397" s="79"/>
      <c r="F4397" s="79"/>
      <c r="G4397" s="79"/>
      <c r="H4397" s="79"/>
    </row>
    <row r="4398" spans="1:8">
      <c r="A4398" s="79" t="str">
        <f>LeaveData[[#This Row],[ EMP ID]]&amp;LeaveData[[#This Row],[Date]]</f>
        <v/>
      </c>
      <c r="B4398" s="92"/>
      <c r="C4398" s="92"/>
      <c r="D4398" s="101"/>
      <c r="E4398" s="79"/>
      <c r="F4398" s="79"/>
      <c r="G4398" s="79"/>
      <c r="H4398" s="79"/>
    </row>
    <row r="4399" spans="1:8">
      <c r="A4399" s="79" t="str">
        <f>LeaveData[[#This Row],[ EMP ID]]&amp;LeaveData[[#This Row],[Date]]</f>
        <v/>
      </c>
      <c r="B4399" s="92"/>
      <c r="C4399" s="92"/>
      <c r="D4399" s="101"/>
      <c r="E4399" s="79"/>
      <c r="F4399" s="79"/>
      <c r="G4399" s="79"/>
      <c r="H4399" s="79"/>
    </row>
    <row r="4400" spans="1:8">
      <c r="A4400" s="79" t="str">
        <f>LeaveData[[#This Row],[ EMP ID]]&amp;LeaveData[[#This Row],[Date]]</f>
        <v/>
      </c>
      <c r="B4400" s="92"/>
      <c r="C4400" s="92"/>
      <c r="D4400" s="101"/>
      <c r="E4400" s="79"/>
      <c r="F4400" s="79"/>
      <c r="G4400" s="79"/>
      <c r="H4400" s="79"/>
    </row>
    <row r="4401" spans="1:8">
      <c r="A4401" s="79" t="str">
        <f>LeaveData[[#This Row],[ EMP ID]]&amp;LeaveData[[#This Row],[Date]]</f>
        <v/>
      </c>
      <c r="B4401" s="92"/>
      <c r="C4401" s="92"/>
      <c r="D4401" s="101"/>
      <c r="E4401" s="79"/>
      <c r="F4401" s="79"/>
      <c r="G4401" s="79"/>
      <c r="H4401" s="79"/>
    </row>
    <row r="4402" spans="1:8">
      <c r="A4402" s="79" t="str">
        <f>LeaveData[[#This Row],[ EMP ID]]&amp;LeaveData[[#This Row],[Date]]</f>
        <v/>
      </c>
      <c r="B4402" s="92"/>
      <c r="C4402" s="92"/>
      <c r="D4402" s="101"/>
      <c r="E4402" s="79"/>
      <c r="F4402" s="79"/>
      <c r="G4402" s="79"/>
      <c r="H4402" s="79"/>
    </row>
    <row r="4403" spans="1:8">
      <c r="A4403" s="79" t="str">
        <f>LeaveData[[#This Row],[ EMP ID]]&amp;LeaveData[[#This Row],[Date]]</f>
        <v/>
      </c>
      <c r="B4403" s="92"/>
      <c r="C4403" s="92"/>
      <c r="D4403" s="101"/>
      <c r="E4403" s="79"/>
      <c r="F4403" s="79"/>
      <c r="G4403" s="79"/>
      <c r="H4403" s="79"/>
    </row>
    <row r="4404" spans="1:8">
      <c r="A4404" s="79" t="str">
        <f>LeaveData[[#This Row],[ EMP ID]]&amp;LeaveData[[#This Row],[Date]]</f>
        <v/>
      </c>
      <c r="B4404" s="92"/>
      <c r="C4404" s="92"/>
      <c r="D4404" s="101"/>
      <c r="E4404" s="79"/>
      <c r="F4404" s="79"/>
      <c r="G4404" s="79"/>
      <c r="H4404" s="79"/>
    </row>
    <row r="4405" spans="1:8">
      <c r="A4405" s="79" t="str">
        <f>LeaveData[[#This Row],[ EMP ID]]&amp;LeaveData[[#This Row],[Date]]</f>
        <v/>
      </c>
      <c r="B4405" s="92"/>
      <c r="C4405" s="92"/>
      <c r="D4405" s="101"/>
      <c r="E4405" s="79"/>
      <c r="F4405" s="79"/>
      <c r="G4405" s="79"/>
      <c r="H4405" s="79"/>
    </row>
    <row r="4406" spans="1:8">
      <c r="A4406" s="79" t="str">
        <f>LeaveData[[#This Row],[ EMP ID]]&amp;LeaveData[[#This Row],[Date]]</f>
        <v/>
      </c>
      <c r="B4406" s="92"/>
      <c r="C4406" s="92"/>
      <c r="D4406" s="101"/>
      <c r="E4406" s="79"/>
      <c r="F4406" s="79"/>
      <c r="G4406" s="79"/>
      <c r="H4406" s="79"/>
    </row>
    <row r="4407" spans="1:8">
      <c r="A4407" s="79" t="str">
        <f>LeaveData[[#This Row],[ EMP ID]]&amp;LeaveData[[#This Row],[Date]]</f>
        <v/>
      </c>
      <c r="B4407" s="92"/>
      <c r="C4407" s="92"/>
      <c r="D4407" s="101"/>
      <c r="E4407" s="79"/>
      <c r="F4407" s="79"/>
      <c r="G4407" s="79"/>
      <c r="H4407" s="79"/>
    </row>
    <row r="4408" spans="1:8">
      <c r="A4408" s="79" t="str">
        <f>LeaveData[[#This Row],[ EMP ID]]&amp;LeaveData[[#This Row],[Date]]</f>
        <v/>
      </c>
      <c r="B4408" s="92"/>
      <c r="C4408" s="92"/>
      <c r="D4408" s="101"/>
      <c r="E4408" s="79"/>
      <c r="F4408" s="79"/>
      <c r="G4408" s="79"/>
      <c r="H4408" s="79"/>
    </row>
    <row r="4409" spans="1:8">
      <c r="A4409" s="79" t="str">
        <f>LeaveData[[#This Row],[ EMP ID]]&amp;LeaveData[[#This Row],[Date]]</f>
        <v/>
      </c>
      <c r="B4409" s="92"/>
      <c r="C4409" s="92"/>
      <c r="D4409" s="101"/>
      <c r="E4409" s="79"/>
      <c r="F4409" s="79"/>
      <c r="G4409" s="79"/>
      <c r="H4409" s="79"/>
    </row>
    <row r="4410" spans="1:8">
      <c r="A4410" s="79" t="str">
        <f>LeaveData[[#This Row],[ EMP ID]]&amp;LeaveData[[#This Row],[Date]]</f>
        <v/>
      </c>
      <c r="B4410" s="92"/>
      <c r="C4410" s="92"/>
      <c r="D4410" s="101"/>
      <c r="E4410" s="79"/>
      <c r="F4410" s="79"/>
      <c r="G4410" s="79"/>
      <c r="H4410" s="79"/>
    </row>
    <row r="4411" spans="1:8">
      <c r="A4411" s="79" t="str">
        <f>LeaveData[[#This Row],[ EMP ID]]&amp;LeaveData[[#This Row],[Date]]</f>
        <v/>
      </c>
      <c r="B4411" s="92"/>
      <c r="C4411" s="92"/>
      <c r="D4411" s="101"/>
      <c r="E4411" s="79"/>
      <c r="F4411" s="79"/>
      <c r="G4411" s="79"/>
      <c r="H4411" s="79"/>
    </row>
    <row r="4412" spans="1:8">
      <c r="A4412" s="79" t="str">
        <f>LeaveData[[#This Row],[ EMP ID]]&amp;LeaveData[[#This Row],[Date]]</f>
        <v/>
      </c>
      <c r="B4412" s="92"/>
      <c r="C4412" s="92"/>
      <c r="D4412" s="101"/>
      <c r="E4412" s="79"/>
      <c r="F4412" s="79"/>
      <c r="G4412" s="79"/>
      <c r="H4412" s="79"/>
    </row>
    <row r="4413" spans="1:8">
      <c r="A4413" s="79" t="str">
        <f>LeaveData[[#This Row],[ EMP ID]]&amp;LeaveData[[#This Row],[Date]]</f>
        <v/>
      </c>
      <c r="B4413" s="92"/>
      <c r="C4413" s="92"/>
      <c r="D4413" s="101"/>
      <c r="E4413" s="79"/>
      <c r="F4413" s="79"/>
      <c r="G4413" s="79"/>
      <c r="H4413" s="79"/>
    </row>
    <row r="4414" spans="1:8">
      <c r="A4414" s="79" t="str">
        <f>LeaveData[[#This Row],[ EMP ID]]&amp;LeaveData[[#This Row],[Date]]</f>
        <v/>
      </c>
      <c r="B4414" s="92"/>
      <c r="C4414" s="92"/>
      <c r="D4414" s="101"/>
      <c r="E4414" s="79"/>
      <c r="F4414" s="79"/>
      <c r="G4414" s="79"/>
      <c r="H4414" s="79"/>
    </row>
    <row r="4415" spans="1:8">
      <c r="A4415" s="79" t="str">
        <f>LeaveData[[#This Row],[ EMP ID]]&amp;LeaveData[[#This Row],[Date]]</f>
        <v/>
      </c>
      <c r="B4415" s="92"/>
      <c r="C4415" s="92"/>
      <c r="D4415" s="101"/>
      <c r="E4415" s="79"/>
      <c r="F4415" s="79"/>
      <c r="G4415" s="79"/>
      <c r="H4415" s="79"/>
    </row>
    <row r="4416" spans="1:8">
      <c r="A4416" s="79" t="str">
        <f>LeaveData[[#This Row],[ EMP ID]]&amp;LeaveData[[#This Row],[Date]]</f>
        <v/>
      </c>
      <c r="B4416" s="92"/>
      <c r="C4416" s="92"/>
      <c r="D4416" s="101"/>
      <c r="E4416" s="79"/>
      <c r="F4416" s="79"/>
      <c r="G4416" s="79"/>
      <c r="H4416" s="79"/>
    </row>
    <row r="4417" spans="1:8">
      <c r="A4417" s="79" t="str">
        <f>LeaveData[[#This Row],[ EMP ID]]&amp;LeaveData[[#This Row],[Date]]</f>
        <v/>
      </c>
      <c r="B4417" s="92"/>
      <c r="C4417" s="92"/>
      <c r="D4417" s="101"/>
      <c r="E4417" s="79"/>
      <c r="F4417" s="79"/>
      <c r="G4417" s="79"/>
      <c r="H4417" s="79"/>
    </row>
    <row r="4418" spans="1:8">
      <c r="A4418" s="79" t="str">
        <f>LeaveData[[#This Row],[ EMP ID]]&amp;LeaveData[[#This Row],[Date]]</f>
        <v/>
      </c>
      <c r="B4418" s="92"/>
      <c r="C4418" s="92"/>
      <c r="D4418" s="101"/>
      <c r="E4418" s="79"/>
      <c r="F4418" s="79"/>
      <c r="G4418" s="79"/>
      <c r="H4418" s="79"/>
    </row>
    <row r="4419" spans="1:8">
      <c r="A4419" s="79" t="str">
        <f>LeaveData[[#This Row],[ EMP ID]]&amp;LeaveData[[#This Row],[Date]]</f>
        <v/>
      </c>
      <c r="B4419" s="92"/>
      <c r="C4419" s="92"/>
      <c r="D4419" s="101"/>
      <c r="E4419" s="79"/>
      <c r="F4419" s="79"/>
      <c r="G4419" s="79"/>
      <c r="H4419" s="79"/>
    </row>
    <row r="4420" spans="1:8">
      <c r="A4420" s="79" t="str">
        <f>LeaveData[[#This Row],[ EMP ID]]&amp;LeaveData[[#This Row],[Date]]</f>
        <v/>
      </c>
      <c r="B4420" s="92"/>
      <c r="C4420" s="92"/>
      <c r="D4420" s="101"/>
      <c r="E4420" s="79"/>
      <c r="F4420" s="79"/>
      <c r="G4420" s="79"/>
      <c r="H4420" s="79"/>
    </row>
    <row r="4421" spans="1:8">
      <c r="A4421" s="79" t="str">
        <f>LeaveData[[#This Row],[ EMP ID]]&amp;LeaveData[[#This Row],[Date]]</f>
        <v/>
      </c>
      <c r="B4421" s="92"/>
      <c r="C4421" s="92"/>
      <c r="D4421" s="101"/>
      <c r="E4421" s="79"/>
      <c r="F4421" s="79"/>
      <c r="G4421" s="79"/>
      <c r="H4421" s="79"/>
    </row>
    <row r="4422" spans="1:8">
      <c r="A4422" s="79" t="str">
        <f>LeaveData[[#This Row],[ EMP ID]]&amp;LeaveData[[#This Row],[Date]]</f>
        <v/>
      </c>
      <c r="B4422" s="92"/>
      <c r="C4422" s="92"/>
      <c r="D4422" s="101"/>
      <c r="E4422" s="79"/>
      <c r="F4422" s="79"/>
      <c r="G4422" s="79"/>
      <c r="H4422" s="79"/>
    </row>
    <row r="4423" spans="1:8">
      <c r="A4423" s="79" t="str">
        <f>LeaveData[[#This Row],[ EMP ID]]&amp;LeaveData[[#This Row],[Date]]</f>
        <v/>
      </c>
      <c r="B4423" s="92"/>
      <c r="C4423" s="92"/>
      <c r="D4423" s="101"/>
      <c r="E4423" s="79"/>
      <c r="F4423" s="79"/>
      <c r="G4423" s="79"/>
      <c r="H4423" s="79"/>
    </row>
    <row r="4424" spans="1:8">
      <c r="A4424" s="79" t="str">
        <f>LeaveData[[#This Row],[ EMP ID]]&amp;LeaveData[[#This Row],[Date]]</f>
        <v/>
      </c>
      <c r="B4424" s="92"/>
      <c r="C4424" s="92"/>
      <c r="D4424" s="101"/>
      <c r="E4424" s="79"/>
      <c r="F4424" s="79"/>
      <c r="G4424" s="79"/>
      <c r="H4424" s="79"/>
    </row>
    <row r="4425" spans="1:8">
      <c r="A4425" s="79" t="str">
        <f>LeaveData[[#This Row],[ EMP ID]]&amp;LeaveData[[#This Row],[Date]]</f>
        <v/>
      </c>
      <c r="B4425" s="92"/>
      <c r="C4425" s="92"/>
      <c r="D4425" s="101"/>
      <c r="E4425" s="79"/>
      <c r="F4425" s="79"/>
      <c r="G4425" s="79"/>
      <c r="H4425" s="79"/>
    </row>
    <row r="4426" spans="1:8">
      <c r="A4426" s="79" t="str">
        <f>LeaveData[[#This Row],[ EMP ID]]&amp;LeaveData[[#This Row],[Date]]</f>
        <v/>
      </c>
      <c r="B4426" s="92"/>
      <c r="C4426" s="92"/>
      <c r="D4426" s="101"/>
      <c r="E4426" s="79"/>
      <c r="F4426" s="79"/>
      <c r="G4426" s="79"/>
      <c r="H4426" s="79"/>
    </row>
    <row r="4427" spans="1:8">
      <c r="A4427" s="79" t="str">
        <f>LeaveData[[#This Row],[ EMP ID]]&amp;LeaveData[[#This Row],[Date]]</f>
        <v/>
      </c>
      <c r="B4427" s="92"/>
      <c r="C4427" s="92"/>
      <c r="D4427" s="101"/>
      <c r="E4427" s="79"/>
      <c r="F4427" s="79"/>
      <c r="G4427" s="79"/>
      <c r="H4427" s="79"/>
    </row>
    <row r="4428" spans="1:8">
      <c r="A4428" s="79" t="str">
        <f>LeaveData[[#This Row],[ EMP ID]]&amp;LeaveData[[#This Row],[Date]]</f>
        <v/>
      </c>
      <c r="B4428" s="92"/>
      <c r="C4428" s="92"/>
      <c r="D4428" s="101"/>
      <c r="E4428" s="79"/>
      <c r="F4428" s="79"/>
      <c r="G4428" s="79"/>
      <c r="H4428" s="79"/>
    </row>
    <row r="4429" spans="1:8">
      <c r="A4429" s="79" t="str">
        <f>LeaveData[[#This Row],[ EMP ID]]&amp;LeaveData[[#This Row],[Date]]</f>
        <v/>
      </c>
      <c r="B4429" s="92"/>
      <c r="C4429" s="92"/>
      <c r="D4429" s="101"/>
      <c r="E4429" s="79"/>
      <c r="F4429" s="79"/>
      <c r="G4429" s="79"/>
      <c r="H4429" s="79"/>
    </row>
    <row r="4430" spans="1:8">
      <c r="A4430" s="79" t="str">
        <f>LeaveData[[#This Row],[ EMP ID]]&amp;LeaveData[[#This Row],[Date]]</f>
        <v/>
      </c>
      <c r="B4430" s="92"/>
      <c r="C4430" s="92"/>
      <c r="D4430" s="101"/>
      <c r="E4430" s="79"/>
      <c r="F4430" s="79"/>
      <c r="G4430" s="79"/>
      <c r="H4430" s="79"/>
    </row>
    <row r="4431" spans="1:8">
      <c r="A4431" s="79" t="str">
        <f>LeaveData[[#This Row],[ EMP ID]]&amp;LeaveData[[#This Row],[Date]]</f>
        <v/>
      </c>
      <c r="B4431" s="92"/>
      <c r="C4431" s="92"/>
      <c r="D4431" s="101"/>
      <c r="E4431" s="79"/>
      <c r="F4431" s="79"/>
      <c r="G4431" s="79"/>
      <c r="H4431" s="79"/>
    </row>
    <row r="4432" spans="1:8">
      <c r="A4432" s="79" t="str">
        <f>LeaveData[[#This Row],[ EMP ID]]&amp;LeaveData[[#This Row],[Date]]</f>
        <v/>
      </c>
      <c r="B4432" s="92"/>
      <c r="C4432" s="92"/>
      <c r="D4432" s="101"/>
      <c r="E4432" s="79"/>
      <c r="F4432" s="79"/>
      <c r="G4432" s="79"/>
      <c r="H4432" s="79"/>
    </row>
    <row r="4433" spans="1:8">
      <c r="A4433" s="79" t="str">
        <f>LeaveData[[#This Row],[ EMP ID]]&amp;LeaveData[[#This Row],[Date]]</f>
        <v/>
      </c>
      <c r="B4433" s="92"/>
      <c r="C4433" s="92"/>
      <c r="D4433" s="101"/>
      <c r="E4433" s="79"/>
      <c r="F4433" s="79"/>
      <c r="G4433" s="79"/>
      <c r="H4433" s="79"/>
    </row>
    <row r="4434" spans="1:8">
      <c r="A4434" s="79" t="str">
        <f>LeaveData[[#This Row],[ EMP ID]]&amp;LeaveData[[#This Row],[Date]]</f>
        <v/>
      </c>
      <c r="B4434" s="92"/>
      <c r="C4434" s="92"/>
      <c r="D4434" s="101"/>
      <c r="E4434" s="79"/>
      <c r="F4434" s="79"/>
      <c r="G4434" s="79"/>
      <c r="H4434" s="79"/>
    </row>
    <row r="4435" spans="1:8">
      <c r="A4435" s="79" t="str">
        <f>LeaveData[[#This Row],[ EMP ID]]&amp;LeaveData[[#This Row],[Date]]</f>
        <v/>
      </c>
      <c r="B4435" s="92"/>
      <c r="C4435" s="92"/>
      <c r="D4435" s="101"/>
      <c r="E4435" s="79"/>
      <c r="F4435" s="79"/>
      <c r="G4435" s="79"/>
      <c r="H4435" s="79"/>
    </row>
    <row r="4436" spans="1:8">
      <c r="A4436" s="79" t="str">
        <f>LeaveData[[#This Row],[ EMP ID]]&amp;LeaveData[[#This Row],[Date]]</f>
        <v/>
      </c>
      <c r="B4436" s="92"/>
      <c r="C4436" s="92"/>
      <c r="D4436" s="101"/>
      <c r="E4436" s="79"/>
      <c r="F4436" s="79"/>
      <c r="G4436" s="79"/>
      <c r="H4436" s="79"/>
    </row>
    <row r="4437" spans="1:8">
      <c r="A4437" s="79" t="str">
        <f>LeaveData[[#This Row],[ EMP ID]]&amp;LeaveData[[#This Row],[Date]]</f>
        <v/>
      </c>
      <c r="B4437" s="92"/>
      <c r="C4437" s="92"/>
      <c r="D4437" s="101"/>
      <c r="E4437" s="79"/>
      <c r="F4437" s="79"/>
      <c r="G4437" s="79"/>
      <c r="H4437" s="79"/>
    </row>
    <row r="4438" spans="1:8">
      <c r="A4438" s="79" t="str">
        <f>LeaveData[[#This Row],[ EMP ID]]&amp;LeaveData[[#This Row],[Date]]</f>
        <v/>
      </c>
      <c r="B4438" s="92"/>
      <c r="C4438" s="92"/>
      <c r="D4438" s="101"/>
      <c r="E4438" s="79"/>
      <c r="F4438" s="79"/>
      <c r="G4438" s="79"/>
      <c r="H4438" s="79"/>
    </row>
    <row r="4439" spans="1:8">
      <c r="A4439" s="79" t="str">
        <f>LeaveData[[#This Row],[ EMP ID]]&amp;LeaveData[[#This Row],[Date]]</f>
        <v/>
      </c>
      <c r="B4439" s="92"/>
      <c r="C4439" s="92"/>
      <c r="D4439" s="101"/>
      <c r="E4439" s="79"/>
      <c r="F4439" s="79"/>
      <c r="G4439" s="79"/>
      <c r="H4439" s="79"/>
    </row>
    <row r="4440" spans="1:8">
      <c r="A4440" s="79" t="str">
        <f>LeaveData[[#This Row],[ EMP ID]]&amp;LeaveData[[#This Row],[Date]]</f>
        <v/>
      </c>
      <c r="B4440" s="92"/>
      <c r="C4440" s="92"/>
      <c r="D4440" s="101"/>
      <c r="E4440" s="79"/>
      <c r="F4440" s="79"/>
      <c r="G4440" s="79"/>
      <c r="H4440" s="79"/>
    </row>
    <row r="4441" spans="1:8">
      <c r="A4441" s="79" t="str">
        <f>LeaveData[[#This Row],[ EMP ID]]&amp;LeaveData[[#This Row],[Date]]</f>
        <v/>
      </c>
      <c r="B4441" s="92"/>
      <c r="C4441" s="92"/>
      <c r="D4441" s="101"/>
      <c r="E4441" s="79"/>
      <c r="F4441" s="79"/>
      <c r="G4441" s="79"/>
      <c r="H4441" s="79"/>
    </row>
    <row r="4442" spans="1:8">
      <c r="A4442" s="79" t="str">
        <f>LeaveData[[#This Row],[ EMP ID]]&amp;LeaveData[[#This Row],[Date]]</f>
        <v/>
      </c>
      <c r="B4442" s="92"/>
      <c r="C4442" s="92"/>
      <c r="D4442" s="101"/>
      <c r="E4442" s="79"/>
      <c r="F4442" s="79"/>
      <c r="G4442" s="79"/>
      <c r="H4442" s="79"/>
    </row>
    <row r="4443" spans="1:8">
      <c r="A4443" s="79" t="str">
        <f>LeaveData[[#This Row],[ EMP ID]]&amp;LeaveData[[#This Row],[Date]]</f>
        <v/>
      </c>
      <c r="B4443" s="92"/>
      <c r="C4443" s="92"/>
      <c r="D4443" s="101"/>
      <c r="E4443" s="79"/>
      <c r="F4443" s="79"/>
      <c r="G4443" s="79"/>
      <c r="H4443" s="79"/>
    </row>
    <row r="4444" spans="1:8">
      <c r="A4444" s="79" t="str">
        <f>LeaveData[[#This Row],[ EMP ID]]&amp;LeaveData[[#This Row],[Date]]</f>
        <v/>
      </c>
      <c r="B4444" s="92"/>
      <c r="C4444" s="92"/>
      <c r="D4444" s="101"/>
      <c r="E4444" s="79"/>
      <c r="F4444" s="79"/>
      <c r="G4444" s="79"/>
      <c r="H4444" s="79"/>
    </row>
    <row r="4445" spans="1:8">
      <c r="A4445" s="79" t="str">
        <f>LeaveData[[#This Row],[ EMP ID]]&amp;LeaveData[[#This Row],[Date]]</f>
        <v/>
      </c>
      <c r="B4445" s="92"/>
      <c r="C4445" s="92"/>
      <c r="D4445" s="101"/>
      <c r="E4445" s="79"/>
      <c r="F4445" s="79"/>
      <c r="G4445" s="79"/>
      <c r="H4445" s="79"/>
    </row>
    <row r="4446" spans="1:8">
      <c r="A4446" s="79" t="str">
        <f>LeaveData[[#This Row],[ EMP ID]]&amp;LeaveData[[#This Row],[Date]]</f>
        <v/>
      </c>
      <c r="B4446" s="92"/>
      <c r="C4446" s="92"/>
      <c r="D4446" s="101"/>
      <c r="E4446" s="79"/>
      <c r="F4446" s="79"/>
      <c r="G4446" s="79"/>
      <c r="H4446" s="79"/>
    </row>
    <row r="4447" spans="1:8">
      <c r="A4447" s="79" t="str">
        <f>LeaveData[[#This Row],[ EMP ID]]&amp;LeaveData[[#This Row],[Date]]</f>
        <v/>
      </c>
      <c r="B4447" s="92"/>
      <c r="C4447" s="92"/>
      <c r="D4447" s="101"/>
      <c r="E4447" s="79"/>
      <c r="F4447" s="79"/>
      <c r="G4447" s="79"/>
      <c r="H4447" s="79"/>
    </row>
    <row r="4448" spans="1:8">
      <c r="A4448" s="79" t="str">
        <f>LeaveData[[#This Row],[ EMP ID]]&amp;LeaveData[[#This Row],[Date]]</f>
        <v/>
      </c>
      <c r="B4448" s="92"/>
      <c r="C4448" s="92"/>
      <c r="D4448" s="101"/>
      <c r="E4448" s="79"/>
      <c r="F4448" s="79"/>
      <c r="G4448" s="79"/>
      <c r="H4448" s="79"/>
    </row>
    <row r="4449" spans="1:8">
      <c r="A4449" s="79" t="str">
        <f>LeaveData[[#This Row],[ EMP ID]]&amp;LeaveData[[#This Row],[Date]]</f>
        <v/>
      </c>
      <c r="B4449" s="92"/>
      <c r="C4449" s="92"/>
      <c r="D4449" s="101"/>
      <c r="E4449" s="79"/>
      <c r="F4449" s="79"/>
      <c r="G4449" s="79"/>
      <c r="H4449" s="79"/>
    </row>
    <row r="4450" spans="1:8">
      <c r="A4450" s="79" t="str">
        <f>LeaveData[[#This Row],[ EMP ID]]&amp;LeaveData[[#This Row],[Date]]</f>
        <v/>
      </c>
      <c r="B4450" s="92"/>
      <c r="C4450" s="92"/>
      <c r="D4450" s="101"/>
      <c r="E4450" s="79"/>
      <c r="F4450" s="79"/>
      <c r="G4450" s="79"/>
      <c r="H4450" s="79"/>
    </row>
    <row r="4451" spans="1:8">
      <c r="A4451" s="79" t="str">
        <f>LeaveData[[#This Row],[ EMP ID]]&amp;LeaveData[[#This Row],[Date]]</f>
        <v/>
      </c>
      <c r="B4451" s="92"/>
      <c r="C4451" s="92"/>
      <c r="D4451" s="101"/>
      <c r="E4451" s="79"/>
      <c r="F4451" s="79"/>
      <c r="G4451" s="79"/>
      <c r="H4451" s="79"/>
    </row>
    <row r="4452" spans="1:8">
      <c r="A4452" s="79" t="str">
        <f>LeaveData[[#This Row],[ EMP ID]]&amp;LeaveData[[#This Row],[Date]]</f>
        <v/>
      </c>
      <c r="B4452" s="92"/>
      <c r="C4452" s="92"/>
      <c r="D4452" s="101"/>
      <c r="E4452" s="79"/>
      <c r="F4452" s="79"/>
      <c r="G4452" s="79"/>
      <c r="H4452" s="79"/>
    </row>
    <row r="4453" spans="1:8">
      <c r="A4453" s="79" t="str">
        <f>LeaveData[[#This Row],[ EMP ID]]&amp;LeaveData[[#This Row],[Date]]</f>
        <v/>
      </c>
      <c r="B4453" s="92"/>
      <c r="C4453" s="92"/>
      <c r="D4453" s="101"/>
      <c r="E4453" s="79"/>
      <c r="F4453" s="79"/>
      <c r="G4453" s="79"/>
      <c r="H4453" s="79"/>
    </row>
    <row r="4454" spans="1:8">
      <c r="A4454" s="79" t="str">
        <f>LeaveData[[#This Row],[ EMP ID]]&amp;LeaveData[[#This Row],[Date]]</f>
        <v/>
      </c>
      <c r="B4454" s="92"/>
      <c r="C4454" s="92"/>
      <c r="D4454" s="101"/>
      <c r="E4454" s="79"/>
      <c r="F4454" s="79"/>
      <c r="G4454" s="79"/>
      <c r="H4454" s="79"/>
    </row>
    <row r="4455" spans="1:8">
      <c r="A4455" s="79" t="str">
        <f>LeaveData[[#This Row],[ EMP ID]]&amp;LeaveData[[#This Row],[Date]]</f>
        <v/>
      </c>
      <c r="B4455" s="92"/>
      <c r="C4455" s="92"/>
      <c r="D4455" s="101"/>
      <c r="E4455" s="79"/>
      <c r="F4455" s="79"/>
      <c r="G4455" s="79"/>
      <c r="H4455" s="79"/>
    </row>
    <row r="4456" spans="1:8">
      <c r="A4456" s="79" t="str">
        <f>LeaveData[[#This Row],[ EMP ID]]&amp;LeaveData[[#This Row],[Date]]</f>
        <v/>
      </c>
      <c r="B4456" s="92"/>
      <c r="C4456" s="92"/>
      <c r="D4456" s="101"/>
      <c r="E4456" s="79"/>
      <c r="F4456" s="79"/>
      <c r="G4456" s="79"/>
      <c r="H4456" s="79"/>
    </row>
    <row r="4457" spans="1:8">
      <c r="A4457" s="79" t="str">
        <f>LeaveData[[#This Row],[ EMP ID]]&amp;LeaveData[[#This Row],[Date]]</f>
        <v/>
      </c>
      <c r="B4457" s="92"/>
      <c r="C4457" s="92"/>
      <c r="D4457" s="101"/>
      <c r="E4457" s="79"/>
      <c r="F4457" s="79"/>
      <c r="G4457" s="79"/>
      <c r="H4457" s="79"/>
    </row>
    <row r="4458" spans="1:8">
      <c r="A4458" s="79" t="str">
        <f>LeaveData[[#This Row],[ EMP ID]]&amp;LeaveData[[#This Row],[Date]]</f>
        <v/>
      </c>
      <c r="B4458" s="92"/>
      <c r="C4458" s="92"/>
      <c r="D4458" s="101"/>
      <c r="E4458" s="79"/>
      <c r="F4458" s="79"/>
      <c r="G4458" s="79"/>
      <c r="H4458" s="79"/>
    </row>
    <row r="4459" spans="1:8">
      <c r="A4459" s="79" t="str">
        <f>LeaveData[[#This Row],[ EMP ID]]&amp;LeaveData[[#This Row],[Date]]</f>
        <v/>
      </c>
      <c r="B4459" s="92"/>
      <c r="C4459" s="92"/>
      <c r="D4459" s="101"/>
      <c r="E4459" s="79"/>
      <c r="F4459" s="79"/>
      <c r="G4459" s="79"/>
      <c r="H4459" s="79"/>
    </row>
    <row r="4460" spans="1:8">
      <c r="A4460" s="79" t="str">
        <f>LeaveData[[#This Row],[ EMP ID]]&amp;LeaveData[[#This Row],[Date]]</f>
        <v/>
      </c>
      <c r="B4460" s="92"/>
      <c r="C4460" s="92"/>
      <c r="D4460" s="101"/>
      <c r="E4460" s="79"/>
      <c r="F4460" s="79"/>
      <c r="G4460" s="79"/>
      <c r="H4460" s="79"/>
    </row>
    <row r="4461" spans="1:8">
      <c r="A4461" s="79" t="str">
        <f>LeaveData[[#This Row],[ EMP ID]]&amp;LeaveData[[#This Row],[Date]]</f>
        <v/>
      </c>
      <c r="B4461" s="92"/>
      <c r="C4461" s="92"/>
      <c r="D4461" s="101"/>
      <c r="E4461" s="79"/>
      <c r="F4461" s="79"/>
      <c r="G4461" s="79"/>
      <c r="H4461" s="79"/>
    </row>
    <row r="4462" spans="1:8">
      <c r="A4462" s="79" t="str">
        <f>LeaveData[[#This Row],[ EMP ID]]&amp;LeaveData[[#This Row],[Date]]</f>
        <v/>
      </c>
      <c r="B4462" s="92"/>
      <c r="C4462" s="92"/>
      <c r="D4462" s="101"/>
      <c r="E4462" s="79"/>
      <c r="F4462" s="79"/>
      <c r="G4462" s="79"/>
      <c r="H4462" s="79"/>
    </row>
    <row r="4463" spans="1:8">
      <c r="A4463" s="79" t="str">
        <f>LeaveData[[#This Row],[ EMP ID]]&amp;LeaveData[[#This Row],[Date]]</f>
        <v/>
      </c>
      <c r="B4463" s="92"/>
      <c r="C4463" s="92"/>
      <c r="D4463" s="101"/>
      <c r="E4463" s="79"/>
      <c r="F4463" s="79"/>
      <c r="G4463" s="79"/>
      <c r="H4463" s="79"/>
    </row>
    <row r="4464" spans="1:8">
      <c r="A4464" s="79" t="str">
        <f>LeaveData[[#This Row],[ EMP ID]]&amp;LeaveData[[#This Row],[Date]]</f>
        <v/>
      </c>
      <c r="B4464" s="92"/>
      <c r="C4464" s="92"/>
      <c r="D4464" s="101"/>
      <c r="E4464" s="79"/>
      <c r="F4464" s="79"/>
      <c r="G4464" s="79"/>
      <c r="H4464" s="79"/>
    </row>
    <row r="4465" spans="1:8">
      <c r="A4465" s="79" t="str">
        <f>LeaveData[[#This Row],[ EMP ID]]&amp;LeaveData[[#This Row],[Date]]</f>
        <v/>
      </c>
      <c r="B4465" s="92"/>
      <c r="C4465" s="92"/>
      <c r="D4465" s="101"/>
      <c r="E4465" s="79"/>
      <c r="F4465" s="79"/>
      <c r="G4465" s="79"/>
      <c r="H4465" s="79"/>
    </row>
    <row r="4466" spans="1:8">
      <c r="A4466" s="79" t="str">
        <f>LeaveData[[#This Row],[ EMP ID]]&amp;LeaveData[[#This Row],[Date]]</f>
        <v/>
      </c>
      <c r="B4466" s="92"/>
      <c r="C4466" s="92"/>
      <c r="D4466" s="101"/>
      <c r="E4466" s="79"/>
      <c r="F4466" s="79"/>
      <c r="G4466" s="79"/>
      <c r="H4466" s="79"/>
    </row>
    <row r="4467" spans="1:8">
      <c r="A4467" s="79" t="str">
        <f>LeaveData[[#This Row],[ EMP ID]]&amp;LeaveData[[#This Row],[Date]]</f>
        <v/>
      </c>
      <c r="B4467" s="92"/>
      <c r="C4467" s="92"/>
      <c r="D4467" s="101"/>
      <c r="E4467" s="79"/>
      <c r="F4467" s="79"/>
      <c r="G4467" s="79"/>
      <c r="H4467" s="79"/>
    </row>
    <row r="4468" spans="1:8">
      <c r="A4468" s="79" t="str">
        <f>LeaveData[[#This Row],[ EMP ID]]&amp;LeaveData[[#This Row],[Date]]</f>
        <v/>
      </c>
      <c r="B4468" s="92"/>
      <c r="C4468" s="92"/>
      <c r="D4468" s="101"/>
      <c r="E4468" s="79"/>
      <c r="F4468" s="79"/>
      <c r="G4468" s="79"/>
      <c r="H4468" s="79"/>
    </row>
    <row r="4469" spans="1:8">
      <c r="A4469" s="79" t="str">
        <f>LeaveData[[#This Row],[ EMP ID]]&amp;LeaveData[[#This Row],[Date]]</f>
        <v/>
      </c>
      <c r="B4469" s="92"/>
      <c r="C4469" s="92"/>
      <c r="D4469" s="101"/>
      <c r="E4469" s="79"/>
      <c r="F4469" s="79"/>
      <c r="G4469" s="79"/>
      <c r="H4469" s="79"/>
    </row>
    <row r="4470" spans="1:8">
      <c r="A4470" s="79" t="str">
        <f>LeaveData[[#This Row],[ EMP ID]]&amp;LeaveData[[#This Row],[Date]]</f>
        <v/>
      </c>
      <c r="B4470" s="92"/>
      <c r="C4470" s="92"/>
      <c r="D4470" s="101"/>
      <c r="E4470" s="79"/>
      <c r="F4470" s="79"/>
      <c r="G4470" s="79"/>
      <c r="H4470" s="79"/>
    </row>
    <row r="4471" spans="1:8">
      <c r="A4471" s="79" t="str">
        <f>LeaveData[[#This Row],[ EMP ID]]&amp;LeaveData[[#This Row],[Date]]</f>
        <v/>
      </c>
      <c r="B4471" s="92"/>
      <c r="C4471" s="92"/>
      <c r="D4471" s="101"/>
      <c r="E4471" s="79"/>
      <c r="F4471" s="79"/>
      <c r="G4471" s="79"/>
      <c r="H4471" s="79"/>
    </row>
    <row r="4472" spans="1:8">
      <c r="A4472" s="79" t="str">
        <f>LeaveData[[#This Row],[ EMP ID]]&amp;LeaveData[[#This Row],[Date]]</f>
        <v/>
      </c>
      <c r="B4472" s="92"/>
      <c r="C4472" s="92"/>
      <c r="D4472" s="101"/>
      <c r="E4472" s="79"/>
      <c r="F4472" s="79"/>
      <c r="G4472" s="79"/>
      <c r="H4472" s="79"/>
    </row>
    <row r="4473" spans="1:8">
      <c r="A4473" s="79" t="str">
        <f>LeaveData[[#This Row],[ EMP ID]]&amp;LeaveData[[#This Row],[Date]]</f>
        <v/>
      </c>
      <c r="B4473" s="92"/>
      <c r="C4473" s="92"/>
      <c r="D4473" s="101"/>
      <c r="E4473" s="79"/>
      <c r="F4473" s="79"/>
      <c r="G4473" s="79"/>
      <c r="H4473" s="79"/>
    </row>
    <row r="4474" spans="1:8">
      <c r="A4474" s="79" t="str">
        <f>LeaveData[[#This Row],[ EMP ID]]&amp;LeaveData[[#This Row],[Date]]</f>
        <v/>
      </c>
      <c r="B4474" s="92"/>
      <c r="C4474" s="92"/>
      <c r="D4474" s="101"/>
      <c r="E4474" s="79"/>
      <c r="F4474" s="79"/>
      <c r="G4474" s="79"/>
      <c r="H4474" s="79"/>
    </row>
    <row r="4475" spans="1:8">
      <c r="A4475" s="79" t="str">
        <f>LeaveData[[#This Row],[ EMP ID]]&amp;LeaveData[[#This Row],[Date]]</f>
        <v/>
      </c>
      <c r="B4475" s="92"/>
      <c r="C4475" s="92"/>
      <c r="D4475" s="101"/>
      <c r="E4475" s="79"/>
      <c r="F4475" s="79"/>
      <c r="G4475" s="79"/>
      <c r="H4475" s="79"/>
    </row>
    <row r="4476" spans="1:8">
      <c r="A4476" s="79" t="str">
        <f>LeaveData[[#This Row],[ EMP ID]]&amp;LeaveData[[#This Row],[Date]]</f>
        <v/>
      </c>
      <c r="B4476" s="92"/>
      <c r="C4476" s="92"/>
      <c r="D4476" s="101"/>
      <c r="E4476" s="79"/>
      <c r="F4476" s="79"/>
      <c r="G4476" s="79"/>
      <c r="H4476" s="79"/>
    </row>
    <row r="4477" spans="1:8">
      <c r="A4477" s="79" t="str">
        <f>LeaveData[[#This Row],[ EMP ID]]&amp;LeaveData[[#This Row],[Date]]</f>
        <v/>
      </c>
      <c r="B4477" s="92"/>
      <c r="C4477" s="92"/>
      <c r="D4477" s="101"/>
      <c r="E4477" s="79"/>
      <c r="F4477" s="79"/>
      <c r="G4477" s="79"/>
      <c r="H4477" s="79"/>
    </row>
    <row r="4478" spans="1:8">
      <c r="A4478" s="79" t="str">
        <f>LeaveData[[#This Row],[ EMP ID]]&amp;LeaveData[[#This Row],[Date]]</f>
        <v/>
      </c>
      <c r="B4478" s="92"/>
      <c r="C4478" s="92"/>
      <c r="D4478" s="101"/>
      <c r="E4478" s="79"/>
      <c r="F4478" s="79"/>
      <c r="G4478" s="79"/>
      <c r="H4478" s="79"/>
    </row>
    <row r="4479" spans="1:8">
      <c r="A4479" s="79" t="str">
        <f>LeaveData[[#This Row],[ EMP ID]]&amp;LeaveData[[#This Row],[Date]]</f>
        <v/>
      </c>
      <c r="B4479" s="92"/>
      <c r="C4479" s="92"/>
      <c r="D4479" s="101"/>
      <c r="E4479" s="79"/>
      <c r="F4479" s="79"/>
      <c r="G4479" s="79"/>
      <c r="H4479" s="79"/>
    </row>
    <row r="4480" spans="1:8">
      <c r="A4480" s="79" t="str">
        <f>LeaveData[[#This Row],[ EMP ID]]&amp;LeaveData[[#This Row],[Date]]</f>
        <v/>
      </c>
      <c r="B4480" s="92"/>
      <c r="C4480" s="92"/>
      <c r="D4480" s="101"/>
      <c r="E4480" s="79"/>
      <c r="F4480" s="79"/>
      <c r="G4480" s="79"/>
      <c r="H4480" s="79"/>
    </row>
    <row r="4481" spans="1:8">
      <c r="A4481" s="79" t="str">
        <f>LeaveData[[#This Row],[ EMP ID]]&amp;LeaveData[[#This Row],[Date]]</f>
        <v/>
      </c>
      <c r="B4481" s="92"/>
      <c r="C4481" s="92"/>
      <c r="D4481" s="101"/>
      <c r="E4481" s="79"/>
      <c r="F4481" s="79"/>
      <c r="G4481" s="79"/>
      <c r="H4481" s="79"/>
    </row>
    <row r="4482" spans="1:8">
      <c r="A4482" s="79" t="str">
        <f>LeaveData[[#This Row],[ EMP ID]]&amp;LeaveData[[#This Row],[Date]]</f>
        <v/>
      </c>
      <c r="B4482" s="92"/>
      <c r="C4482" s="92"/>
      <c r="D4482" s="101"/>
      <c r="E4482" s="79"/>
      <c r="F4482" s="79"/>
      <c r="G4482" s="79"/>
      <c r="H4482" s="79"/>
    </row>
    <row r="4483" spans="1:8">
      <c r="A4483" s="79" t="str">
        <f>LeaveData[[#This Row],[ EMP ID]]&amp;LeaveData[[#This Row],[Date]]</f>
        <v/>
      </c>
      <c r="B4483" s="92"/>
      <c r="C4483" s="92"/>
      <c r="D4483" s="101"/>
      <c r="E4483" s="79"/>
      <c r="F4483" s="79"/>
      <c r="G4483" s="79"/>
      <c r="H4483" s="79"/>
    </row>
    <row r="4484" spans="1:8">
      <c r="A4484" s="79" t="str">
        <f>LeaveData[[#This Row],[ EMP ID]]&amp;LeaveData[[#This Row],[Date]]</f>
        <v/>
      </c>
      <c r="B4484" s="92"/>
      <c r="C4484" s="92"/>
      <c r="D4484" s="101"/>
      <c r="E4484" s="79"/>
      <c r="F4484" s="79"/>
      <c r="G4484" s="79"/>
      <c r="H4484" s="79"/>
    </row>
    <row r="4485" spans="1:8">
      <c r="A4485" s="79" t="str">
        <f>LeaveData[[#This Row],[ EMP ID]]&amp;LeaveData[[#This Row],[Date]]</f>
        <v/>
      </c>
      <c r="B4485" s="92"/>
      <c r="C4485" s="92"/>
      <c r="D4485" s="101"/>
      <c r="E4485" s="79"/>
      <c r="F4485" s="79"/>
      <c r="G4485" s="79"/>
      <c r="H4485" s="79"/>
    </row>
    <row r="4486" spans="1:8">
      <c r="A4486" s="79" t="str">
        <f>LeaveData[[#This Row],[ EMP ID]]&amp;LeaveData[[#This Row],[Date]]</f>
        <v/>
      </c>
      <c r="B4486" s="92"/>
      <c r="C4486" s="92"/>
      <c r="D4486" s="101"/>
      <c r="E4486" s="79"/>
      <c r="F4486" s="79"/>
      <c r="G4486" s="79"/>
      <c r="H4486" s="79"/>
    </row>
    <row r="4487" spans="1:8">
      <c r="A4487" s="79" t="str">
        <f>LeaveData[[#This Row],[ EMP ID]]&amp;LeaveData[[#This Row],[Date]]</f>
        <v/>
      </c>
      <c r="B4487" s="92"/>
      <c r="C4487" s="92"/>
      <c r="D4487" s="101"/>
      <c r="E4487" s="79"/>
      <c r="F4487" s="79"/>
      <c r="G4487" s="79"/>
      <c r="H4487" s="79"/>
    </row>
    <row r="4488" spans="1:8">
      <c r="A4488" s="79" t="str">
        <f>LeaveData[[#This Row],[ EMP ID]]&amp;LeaveData[[#This Row],[Date]]</f>
        <v/>
      </c>
      <c r="B4488" s="92"/>
      <c r="C4488" s="92"/>
      <c r="D4488" s="101"/>
      <c r="E4488" s="79"/>
      <c r="F4488" s="79"/>
      <c r="G4488" s="79"/>
      <c r="H4488" s="79"/>
    </row>
    <row r="4489" spans="1:8">
      <c r="A4489" s="79" t="str">
        <f>LeaveData[[#This Row],[ EMP ID]]&amp;LeaveData[[#This Row],[Date]]</f>
        <v/>
      </c>
      <c r="B4489" s="92"/>
      <c r="C4489" s="92"/>
      <c r="D4489" s="101"/>
      <c r="E4489" s="79"/>
      <c r="F4489" s="79"/>
      <c r="G4489" s="79"/>
      <c r="H4489" s="79"/>
    </row>
    <row r="4490" spans="1:8">
      <c r="A4490" s="79" t="str">
        <f>LeaveData[[#This Row],[ EMP ID]]&amp;LeaveData[[#This Row],[Date]]</f>
        <v/>
      </c>
      <c r="B4490" s="92"/>
      <c r="C4490" s="92"/>
      <c r="D4490" s="101"/>
      <c r="E4490" s="79"/>
      <c r="F4490" s="79"/>
      <c r="G4490" s="79"/>
      <c r="H4490" s="79"/>
    </row>
    <row r="4491" spans="1:8">
      <c r="A4491" s="79" t="str">
        <f>LeaveData[[#This Row],[ EMP ID]]&amp;LeaveData[[#This Row],[Date]]</f>
        <v/>
      </c>
      <c r="B4491" s="92"/>
      <c r="C4491" s="92"/>
      <c r="D4491" s="101"/>
      <c r="E4491" s="79"/>
      <c r="F4491" s="79"/>
      <c r="G4491" s="79"/>
      <c r="H4491" s="79"/>
    </row>
    <row r="4492" spans="1:8">
      <c r="A4492" s="79" t="str">
        <f>LeaveData[[#This Row],[ EMP ID]]&amp;LeaveData[[#This Row],[Date]]</f>
        <v/>
      </c>
      <c r="B4492" s="92"/>
      <c r="C4492" s="92"/>
      <c r="D4492" s="101"/>
      <c r="E4492" s="79"/>
      <c r="F4492" s="79"/>
      <c r="G4492" s="79"/>
      <c r="H4492" s="79"/>
    </row>
    <row r="4493" spans="1:8">
      <c r="A4493" s="79" t="str">
        <f>LeaveData[[#This Row],[ EMP ID]]&amp;LeaveData[[#This Row],[Date]]</f>
        <v/>
      </c>
      <c r="B4493" s="92"/>
      <c r="C4493" s="92"/>
      <c r="D4493" s="101"/>
      <c r="E4493" s="79"/>
      <c r="F4493" s="79"/>
      <c r="G4493" s="79"/>
      <c r="H4493" s="79"/>
    </row>
    <row r="4494" spans="1:8">
      <c r="A4494" s="79" t="str">
        <f>LeaveData[[#This Row],[ EMP ID]]&amp;LeaveData[[#This Row],[Date]]</f>
        <v/>
      </c>
      <c r="B4494" s="92"/>
      <c r="C4494" s="92"/>
      <c r="D4494" s="101"/>
      <c r="E4494" s="79"/>
      <c r="F4494" s="79"/>
      <c r="G4494" s="79"/>
      <c r="H4494" s="79"/>
    </row>
    <row r="4495" spans="1:8">
      <c r="A4495" s="79" t="str">
        <f>LeaveData[[#This Row],[ EMP ID]]&amp;LeaveData[[#This Row],[Date]]</f>
        <v/>
      </c>
      <c r="B4495" s="92"/>
      <c r="C4495" s="92"/>
      <c r="D4495" s="101"/>
      <c r="E4495" s="79"/>
      <c r="F4495" s="79"/>
      <c r="G4495" s="79"/>
      <c r="H4495" s="79"/>
    </row>
    <row r="4496" spans="1:8">
      <c r="A4496" s="79"/>
      <c r="B4496" s="79"/>
      <c r="C4496" s="79"/>
      <c r="D4496" s="101"/>
      <c r="E4496" s="79"/>
      <c r="F4496" s="79"/>
      <c r="G4496" s="79"/>
      <c r="H4496" s="79"/>
    </row>
    <row r="4497" spans="6:6">
      <c r="F4497" s="126" t="s">
        <v>123</v>
      </c>
    </row>
  </sheetData>
  <dataConsolidate/>
  <phoneticPr fontId="46" type="noConversion"/>
  <conditionalFormatting sqref="E2:F410">
    <cfRule type="timePeriod" dxfId="100" priority="6" timePeriod="yesterday">
      <formula>FLOOR(E2,1)=TODAY()-1</formula>
    </cfRule>
  </conditionalFormatting>
  <conditionalFormatting sqref="F427:F431">
    <cfRule type="timePeriod" dxfId="99" priority="5" timePeriod="yesterday">
      <formula>FLOOR(F427,1)=TODAY()-1</formula>
    </cfRule>
  </conditionalFormatting>
  <conditionalFormatting sqref="F432 F421">
    <cfRule type="timePeriod" dxfId="98" priority="4" timePeriod="yesterday">
      <formula>FLOOR(F421,1)=TODAY()-1</formula>
    </cfRule>
  </conditionalFormatting>
  <dataValidations count="1">
    <dataValidation type="list" allowBlank="1" showInputMessage="1" showErrorMessage="1" sqref="C344:C345 C382:C383 C677 C682 C686 C688:C689 C2:C332 C1875:C1876 C1905 C1920 C1948:C1949 C2165 C2194 C2348 C2363 C2393:C2394 C2429 C2510:C2512 C2666:C2668 C2681:C2694 C2783:C2785 C2823 C2869 C2834:C2838" xr:uid="{09C70456-1111-4063-AC2D-A4DC315FFCC5}">
      <formula1>Employee_Name</formula1>
    </dataValidation>
  </dataValidations>
  <pageMargins left="0.7" right="0.7" top="0.75" bottom="0.75" header="0.3" footer="0.3"/>
  <pageSetup paperSize="9" orientation="portrait" r:id="rId1"/>
  <drawing r:id="rId2"/>
  <legacyDrawing r:id="rId3"/>
  <controls>
    <mc:AlternateContent xmlns:mc="http://schemas.openxmlformats.org/markup-compatibility/2006">
      <mc:Choice Requires="x14">
        <control shapeId="4112" r:id="rId4" name="CommandButton1">
          <controlPr defaultSize="0" autoLine="0" r:id="rId5">
            <anchor>
              <from>
                <xdr:col>7</xdr:col>
                <xdr:colOff>906780</xdr:colOff>
                <xdr:row>0</xdr:row>
                <xdr:rowOff>60960</xdr:rowOff>
              </from>
              <to>
                <xdr:col>7</xdr:col>
                <xdr:colOff>1828800</xdr:colOff>
                <xdr:row>0</xdr:row>
                <xdr:rowOff>365760</xdr:rowOff>
              </to>
            </anchor>
          </controlPr>
        </control>
      </mc:Choice>
      <mc:Fallback>
        <control shapeId="4112" r:id="rId4" name="CommandButton1"/>
      </mc:Fallback>
    </mc:AlternateContent>
  </controls>
  <tableParts count="1">
    <tablePart r:id="rId6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5A016B46-E60D-4EFC-A2A2-DF388B00829A}">
          <x14:formula1>
            <xm:f>Setting!$H$2:$H$19</xm:f>
          </x14:formula1>
          <xm:sqref>F2:F1501 F1592:F1785 F1504:F1584 F1586:F1590 F1900:F1950 F1787:F1898 F2225 F2441 F2592 F3081</xm:sqref>
        </x14:dataValidation>
        <x14:dataValidation type="list" allowBlank="1" showInputMessage="1" showErrorMessage="1" xr:uid="{B71884A0-520E-4348-8EBC-1A3AEF64F7FA}">
          <x14:formula1>
            <xm:f>Setting!$B:$B</xm:f>
          </x14:formula1>
          <xm:sqref>E2:E4495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B20D51-F908-4B96-A6C2-FEBFD2D7BC01}">
  <sheetPr codeName="Sheet4"/>
  <dimension ref="A1:J23"/>
  <sheetViews>
    <sheetView showGridLines="0" workbookViewId="0">
      <selection activeCell="B1" sqref="B1"/>
    </sheetView>
  </sheetViews>
  <sheetFormatPr defaultRowHeight="14.4"/>
  <cols>
    <col min="1" max="1" width="17.77734375" bestFit="1" customWidth="1"/>
    <col min="2" max="2" width="15.77734375" customWidth="1"/>
    <col min="5" max="5" width="17.21875" style="2" customWidth="1"/>
    <col min="8" max="8" width="16.44140625" bestFit="1" customWidth="1"/>
    <col min="10" max="10" width="15.21875" bestFit="1" customWidth="1"/>
  </cols>
  <sheetData>
    <row r="1" spans="1:10" ht="15" customHeight="1">
      <c r="A1" s="31" t="s">
        <v>99</v>
      </c>
      <c r="B1" s="31" t="s">
        <v>462</v>
      </c>
      <c r="E1" s="1" t="s">
        <v>463</v>
      </c>
      <c r="H1" s="31" t="s">
        <v>464</v>
      </c>
      <c r="J1" s="31" t="s">
        <v>465</v>
      </c>
    </row>
    <row r="2" spans="1:10" ht="15" customHeight="1">
      <c r="A2" s="30" t="s">
        <v>5</v>
      </c>
      <c r="B2" s="30" t="s">
        <v>12</v>
      </c>
      <c r="E2" s="16">
        <v>45292</v>
      </c>
      <c r="H2" s="32" t="s">
        <v>114</v>
      </c>
      <c r="J2" s="32" t="s">
        <v>466</v>
      </c>
    </row>
    <row r="3" spans="1:10" ht="15" customHeight="1">
      <c r="A3" s="30" t="s">
        <v>6</v>
      </c>
      <c r="B3" s="30" t="s">
        <v>13</v>
      </c>
      <c r="E3" s="16">
        <v>45323</v>
      </c>
      <c r="H3" s="32" t="s">
        <v>104</v>
      </c>
      <c r="J3" s="32" t="s">
        <v>467</v>
      </c>
    </row>
    <row r="4" spans="1:10" ht="15" customHeight="1">
      <c r="A4" s="30" t="s">
        <v>468</v>
      </c>
      <c r="B4" s="30" t="s">
        <v>16</v>
      </c>
      <c r="E4" s="16">
        <v>45352</v>
      </c>
      <c r="H4" s="32" t="s">
        <v>128</v>
      </c>
    </row>
    <row r="5" spans="1:10" ht="15" customHeight="1">
      <c r="A5" s="30" t="s">
        <v>469</v>
      </c>
      <c r="B5" s="30" t="s">
        <v>15</v>
      </c>
      <c r="E5" s="16">
        <v>45383</v>
      </c>
      <c r="H5" s="32" t="s">
        <v>45</v>
      </c>
    </row>
    <row r="6" spans="1:10" ht="15" customHeight="1">
      <c r="A6" s="30" t="s">
        <v>7</v>
      </c>
      <c r="B6" s="30" t="s">
        <v>14</v>
      </c>
      <c r="E6" s="16">
        <v>45413</v>
      </c>
      <c r="H6" s="32" t="s">
        <v>27</v>
      </c>
    </row>
    <row r="7" spans="1:10" ht="15" customHeight="1">
      <c r="A7" s="30" t="s">
        <v>470</v>
      </c>
      <c r="B7" s="30" t="s">
        <v>216</v>
      </c>
      <c r="E7" s="16">
        <v>45444</v>
      </c>
      <c r="H7" s="32" t="s">
        <v>471</v>
      </c>
    </row>
    <row r="8" spans="1:10" ht="15" customHeight="1">
      <c r="A8" s="30" t="s">
        <v>73</v>
      </c>
      <c r="B8" s="30" t="s">
        <v>79</v>
      </c>
      <c r="E8" s="16">
        <v>45474</v>
      </c>
      <c r="H8" s="70" t="s">
        <v>111</v>
      </c>
    </row>
    <row r="9" spans="1:10" ht="15" customHeight="1">
      <c r="A9" s="30" t="s">
        <v>75</v>
      </c>
      <c r="B9" s="30" t="s">
        <v>81</v>
      </c>
      <c r="E9" s="16">
        <v>45505</v>
      </c>
      <c r="H9" s="32" t="s">
        <v>125</v>
      </c>
    </row>
    <row r="10" spans="1:10" ht="15" customHeight="1">
      <c r="A10" s="30" t="s">
        <v>74</v>
      </c>
      <c r="B10" s="30" t="s">
        <v>80</v>
      </c>
      <c r="E10" s="16">
        <v>45536</v>
      </c>
      <c r="H10" s="32" t="s">
        <v>118</v>
      </c>
    </row>
    <row r="11" spans="1:10" ht="15" customHeight="1">
      <c r="A11" s="30" t="s">
        <v>472</v>
      </c>
      <c r="B11" s="30" t="s">
        <v>318</v>
      </c>
      <c r="E11" s="16">
        <v>45566</v>
      </c>
      <c r="H11" s="32" t="s">
        <v>106</v>
      </c>
    </row>
    <row r="12" spans="1:10" ht="15" customHeight="1">
      <c r="A12" s="30" t="s">
        <v>473</v>
      </c>
      <c r="B12" s="30" t="s">
        <v>154</v>
      </c>
      <c r="E12" s="16">
        <v>45597</v>
      </c>
      <c r="H12" s="32" t="s">
        <v>43</v>
      </c>
    </row>
    <row r="13" spans="1:10" ht="15" customHeight="1">
      <c r="A13" s="30" t="s">
        <v>474</v>
      </c>
      <c r="B13" s="30" t="s">
        <v>184</v>
      </c>
      <c r="E13" s="16">
        <v>45627</v>
      </c>
      <c r="H13" s="32" t="s">
        <v>29</v>
      </c>
    </row>
    <row r="14" spans="1:10">
      <c r="A14" s="30" t="s">
        <v>211</v>
      </c>
      <c r="B14" s="30" t="s">
        <v>130</v>
      </c>
      <c r="E14" s="3"/>
      <c r="H14" s="70" t="s">
        <v>206</v>
      </c>
    </row>
    <row r="15" spans="1:10">
      <c r="A15" s="32" t="s">
        <v>475</v>
      </c>
      <c r="B15" s="30" t="s">
        <v>199</v>
      </c>
      <c r="H15" s="70" t="s">
        <v>83</v>
      </c>
    </row>
    <row r="16" spans="1:10">
      <c r="A16" s="32" t="s">
        <v>476</v>
      </c>
      <c r="B16" s="30" t="s">
        <v>195</v>
      </c>
      <c r="H16" s="70" t="s">
        <v>1365</v>
      </c>
    </row>
    <row r="17" spans="1:8">
      <c r="A17" s="30" t="s">
        <v>477</v>
      </c>
      <c r="B17" s="30" t="s">
        <v>406</v>
      </c>
      <c r="H17" s="70" t="s">
        <v>1366</v>
      </c>
    </row>
    <row r="18" spans="1:8">
      <c r="A18" s="30" t="s">
        <v>835</v>
      </c>
      <c r="B18" s="30" t="s">
        <v>836</v>
      </c>
      <c r="H18" s="70" t="s">
        <v>246</v>
      </c>
    </row>
    <row r="19" spans="1:8">
      <c r="A19" s="30" t="s">
        <v>841</v>
      </c>
      <c r="B19" s="30" t="s">
        <v>840</v>
      </c>
      <c r="H19" s="32" t="s">
        <v>235</v>
      </c>
    </row>
    <row r="20" spans="1:8">
      <c r="A20" s="30" t="s">
        <v>1432</v>
      </c>
      <c r="B20" s="30" t="s">
        <v>1433</v>
      </c>
    </row>
    <row r="21" spans="1:8">
      <c r="A21" s="30" t="s">
        <v>70</v>
      </c>
      <c r="B21" s="30" t="s">
        <v>1434</v>
      </c>
    </row>
    <row r="22" spans="1:8">
      <c r="A22" s="30" t="s">
        <v>277</v>
      </c>
      <c r="B22" s="30" t="s">
        <v>1437</v>
      </c>
    </row>
    <row r="23" spans="1:8">
      <c r="A23" s="30" t="s">
        <v>1435</v>
      </c>
      <c r="B23" s="30" t="s">
        <v>1436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F48A88-B12A-458C-87C1-74795ECABCFB}">
  <sheetPr codeName="Sheet6"/>
  <dimension ref="A1:M563"/>
  <sheetViews>
    <sheetView workbookViewId="0">
      <selection activeCell="C1" sqref="C1"/>
    </sheetView>
  </sheetViews>
  <sheetFormatPr defaultColWidth="8.77734375" defaultRowHeight="14.4"/>
  <cols>
    <col min="1" max="1" width="7.21875" style="33" bestFit="1" customWidth="1"/>
    <col min="2" max="2" width="28.44140625" style="33" bestFit="1" customWidth="1"/>
    <col min="3" max="3" width="12.5546875" style="33" bestFit="1" customWidth="1"/>
    <col min="4" max="4" width="12.21875" style="33" bestFit="1" customWidth="1"/>
    <col min="5" max="5" width="14.77734375" style="33" bestFit="1" customWidth="1"/>
    <col min="6" max="6" width="7.44140625" style="33" bestFit="1" customWidth="1"/>
    <col min="7" max="7" width="17" style="33" bestFit="1" customWidth="1"/>
    <col min="8" max="8" width="7.44140625" style="33" bestFit="1" customWidth="1"/>
    <col min="9" max="9" width="14.77734375" style="33" bestFit="1" customWidth="1"/>
    <col min="10" max="10" width="16.21875" style="33" bestFit="1" customWidth="1"/>
    <col min="11" max="11" width="13.77734375" style="33" bestFit="1" customWidth="1"/>
    <col min="12" max="12" width="11.21875" style="33" bestFit="1" customWidth="1"/>
    <col min="13" max="13" width="6.5546875" style="33" bestFit="1" customWidth="1"/>
    <col min="14" max="16384" width="8.77734375" style="33"/>
  </cols>
  <sheetData>
    <row r="1" spans="1:13" ht="14.55" customHeight="1">
      <c r="A1" s="35" t="s">
        <v>97</v>
      </c>
      <c r="B1" s="35" t="s">
        <v>478</v>
      </c>
      <c r="C1" s="35" t="s">
        <v>479</v>
      </c>
      <c r="D1" s="35" t="s">
        <v>98</v>
      </c>
      <c r="E1" s="36" t="s">
        <v>480</v>
      </c>
      <c r="F1" s="35"/>
      <c r="G1" s="36" t="s">
        <v>481</v>
      </c>
      <c r="H1" s="35"/>
      <c r="I1" s="36" t="s">
        <v>482</v>
      </c>
      <c r="J1" s="36" t="s">
        <v>483</v>
      </c>
      <c r="K1" s="36" t="s">
        <v>484</v>
      </c>
      <c r="L1" s="36" t="s">
        <v>485</v>
      </c>
      <c r="M1" s="35" t="s">
        <v>486</v>
      </c>
    </row>
    <row r="2" spans="1:13">
      <c r="A2" s="35"/>
      <c r="B2" s="35"/>
      <c r="C2" s="35"/>
      <c r="D2" s="35"/>
      <c r="E2" s="37" t="s">
        <v>487</v>
      </c>
      <c r="F2" s="38" t="s">
        <v>488</v>
      </c>
      <c r="G2" s="37" t="s">
        <v>487</v>
      </c>
      <c r="H2" s="38" t="s">
        <v>488</v>
      </c>
      <c r="I2" s="36"/>
      <c r="J2" s="36"/>
      <c r="K2" s="36"/>
      <c r="L2" s="36"/>
      <c r="M2" s="35" t="s">
        <v>102</v>
      </c>
    </row>
    <row r="3" spans="1:13" ht="15">
      <c r="A3" s="43">
        <v>23023</v>
      </c>
      <c r="B3" s="44" t="s">
        <v>37</v>
      </c>
      <c r="C3" s="44" t="s">
        <v>489</v>
      </c>
      <c r="D3" s="45" t="s">
        <v>490</v>
      </c>
      <c r="E3" s="46"/>
      <c r="F3" s="46"/>
      <c r="G3" s="46"/>
      <c r="H3" s="46"/>
      <c r="I3" s="43">
        <v>0</v>
      </c>
      <c r="J3" s="43">
        <v>0</v>
      </c>
      <c r="K3" s="43">
        <v>540</v>
      </c>
      <c r="L3" s="43">
        <v>540</v>
      </c>
      <c r="M3" s="43"/>
    </row>
    <row r="4" spans="1:13" ht="15">
      <c r="A4" s="43">
        <v>23023</v>
      </c>
      <c r="B4" s="44" t="s">
        <v>37</v>
      </c>
      <c r="C4" s="44" t="s">
        <v>489</v>
      </c>
      <c r="D4" s="45" t="s">
        <v>491</v>
      </c>
      <c r="E4" s="46"/>
      <c r="F4" s="46"/>
      <c r="G4" s="46"/>
      <c r="H4" s="46"/>
      <c r="I4" s="43">
        <v>0</v>
      </c>
      <c r="J4" s="43">
        <v>0</v>
      </c>
      <c r="K4" s="43">
        <v>540</v>
      </c>
      <c r="L4" s="43">
        <v>540</v>
      </c>
      <c r="M4" s="43" t="s">
        <v>492</v>
      </c>
    </row>
    <row r="5" spans="1:13" ht="15">
      <c r="A5" s="43">
        <v>23023</v>
      </c>
      <c r="B5" s="44" t="s">
        <v>37</v>
      </c>
      <c r="C5" s="44" t="s">
        <v>489</v>
      </c>
      <c r="D5" s="45" t="s">
        <v>493</v>
      </c>
      <c r="E5" s="46"/>
      <c r="F5" s="46"/>
      <c r="G5" s="46"/>
      <c r="H5" s="46"/>
      <c r="I5" s="43">
        <v>0</v>
      </c>
      <c r="J5" s="43">
        <v>0</v>
      </c>
      <c r="K5" s="43">
        <v>540</v>
      </c>
      <c r="L5" s="43">
        <v>540</v>
      </c>
      <c r="M5" s="43" t="s">
        <v>492</v>
      </c>
    </row>
    <row r="6" spans="1:13" s="47" customFormat="1" ht="15">
      <c r="A6" s="43">
        <v>23023</v>
      </c>
      <c r="B6" s="44" t="s">
        <v>37</v>
      </c>
      <c r="C6" s="44" t="s">
        <v>489</v>
      </c>
      <c r="D6" s="45" t="s">
        <v>494</v>
      </c>
      <c r="E6" s="46"/>
      <c r="F6" s="46"/>
      <c r="G6" s="46"/>
      <c r="H6" s="46"/>
      <c r="I6" s="43">
        <v>0</v>
      </c>
      <c r="J6" s="43">
        <v>0</v>
      </c>
      <c r="K6" s="43">
        <v>540</v>
      </c>
      <c r="L6" s="43">
        <v>540</v>
      </c>
      <c r="M6" s="43" t="s">
        <v>492</v>
      </c>
    </row>
    <row r="7" spans="1:13" s="47" customFormat="1" ht="15">
      <c r="A7" s="43">
        <v>23023</v>
      </c>
      <c r="B7" s="44" t="s">
        <v>37</v>
      </c>
      <c r="C7" s="44" t="s">
        <v>489</v>
      </c>
      <c r="D7" s="45" t="s">
        <v>495</v>
      </c>
      <c r="E7" s="46"/>
      <c r="F7" s="46"/>
      <c r="G7" s="46"/>
      <c r="H7" s="46"/>
      <c r="I7" s="43">
        <v>0</v>
      </c>
      <c r="J7" s="43">
        <v>0</v>
      </c>
      <c r="K7" s="43">
        <v>540</v>
      </c>
      <c r="L7" s="43">
        <v>540</v>
      </c>
      <c r="M7" s="43" t="s">
        <v>492</v>
      </c>
    </row>
    <row r="8" spans="1:13" s="47" customFormat="1" ht="15">
      <c r="A8" s="43">
        <v>23023</v>
      </c>
      <c r="B8" s="44" t="s">
        <v>37</v>
      </c>
      <c r="C8" s="44" t="s">
        <v>489</v>
      </c>
      <c r="D8" s="45" t="s">
        <v>496</v>
      </c>
      <c r="E8" s="46"/>
      <c r="F8" s="46"/>
      <c r="G8" s="46"/>
      <c r="H8" s="46"/>
      <c r="I8" s="43">
        <v>0</v>
      </c>
      <c r="J8" s="43">
        <v>0</v>
      </c>
      <c r="K8" s="43">
        <v>540</v>
      </c>
      <c r="L8" s="43">
        <v>540</v>
      </c>
      <c r="M8" s="43" t="s">
        <v>492</v>
      </c>
    </row>
    <row r="9" spans="1:13" s="47" customFormat="1" ht="15">
      <c r="A9" s="43">
        <v>23023</v>
      </c>
      <c r="B9" s="44" t="s">
        <v>37</v>
      </c>
      <c r="C9" s="44" t="s">
        <v>489</v>
      </c>
      <c r="D9" s="45" t="s">
        <v>497</v>
      </c>
      <c r="E9" s="46"/>
      <c r="F9" s="46"/>
      <c r="G9" s="46"/>
      <c r="H9" s="46"/>
      <c r="I9" s="43">
        <v>0</v>
      </c>
      <c r="J9" s="43">
        <v>0</v>
      </c>
      <c r="K9" s="43">
        <v>540</v>
      </c>
      <c r="L9" s="43">
        <v>540</v>
      </c>
      <c r="M9" s="43" t="s">
        <v>492</v>
      </c>
    </row>
    <row r="10" spans="1:13" s="47" customFormat="1" ht="15">
      <c r="A10" s="43">
        <v>23023</v>
      </c>
      <c r="B10" s="44" t="s">
        <v>37</v>
      </c>
      <c r="C10" s="44" t="s">
        <v>489</v>
      </c>
      <c r="D10" s="45" t="s">
        <v>498</v>
      </c>
      <c r="E10" s="46"/>
      <c r="F10" s="46"/>
      <c r="G10" s="46"/>
      <c r="H10" s="46"/>
      <c r="I10" s="43">
        <v>0</v>
      </c>
      <c r="J10" s="43">
        <v>0</v>
      </c>
      <c r="K10" s="43">
        <v>540</v>
      </c>
      <c r="L10" s="43">
        <v>540</v>
      </c>
      <c r="M10" s="43" t="s">
        <v>492</v>
      </c>
    </row>
    <row r="11" spans="1:13" s="47" customFormat="1" ht="15">
      <c r="A11" s="43">
        <v>23023</v>
      </c>
      <c r="B11" s="44" t="s">
        <v>37</v>
      </c>
      <c r="C11" s="44" t="s">
        <v>489</v>
      </c>
      <c r="D11" s="45" t="s">
        <v>499</v>
      </c>
      <c r="E11" s="46"/>
      <c r="F11" s="46"/>
      <c r="G11" s="46"/>
      <c r="H11" s="46"/>
      <c r="I11" s="43">
        <v>0</v>
      </c>
      <c r="J11" s="43">
        <v>0</v>
      </c>
      <c r="K11" s="43">
        <v>540</v>
      </c>
      <c r="L11" s="43">
        <v>540</v>
      </c>
      <c r="M11" s="43" t="s">
        <v>492</v>
      </c>
    </row>
    <row r="12" spans="1:13">
      <c r="A12" s="39">
        <v>23023</v>
      </c>
      <c r="B12" s="40" t="s">
        <v>37</v>
      </c>
      <c r="C12" s="40" t="s">
        <v>489</v>
      </c>
      <c r="D12" s="41" t="s">
        <v>500</v>
      </c>
      <c r="E12" s="42"/>
      <c r="F12" s="42"/>
      <c r="G12" s="42"/>
      <c r="H12" s="42"/>
      <c r="I12" s="39">
        <v>0</v>
      </c>
      <c r="J12" s="39">
        <v>0</v>
      </c>
      <c r="K12" s="39">
        <v>540</v>
      </c>
      <c r="L12" s="39">
        <v>540</v>
      </c>
      <c r="M12" s="39" t="s">
        <v>492</v>
      </c>
    </row>
    <row r="13" spans="1:13">
      <c r="A13" s="39">
        <v>23023</v>
      </c>
      <c r="B13" s="40" t="s">
        <v>37</v>
      </c>
      <c r="C13" s="40" t="s">
        <v>489</v>
      </c>
      <c r="D13" s="41" t="s">
        <v>501</v>
      </c>
      <c r="E13" s="42"/>
      <c r="F13" s="42" t="s">
        <v>502</v>
      </c>
      <c r="G13" s="42"/>
      <c r="H13" s="42"/>
      <c r="I13" s="39">
        <v>0</v>
      </c>
      <c r="J13" s="39">
        <v>0</v>
      </c>
      <c r="K13" s="39">
        <v>540</v>
      </c>
      <c r="L13" s="39">
        <v>540</v>
      </c>
      <c r="M13" s="39" t="s">
        <v>492</v>
      </c>
    </row>
    <row r="14" spans="1:13">
      <c r="A14" s="39">
        <v>23023</v>
      </c>
      <c r="B14" s="40" t="s">
        <v>37</v>
      </c>
      <c r="C14" s="40" t="s">
        <v>489</v>
      </c>
      <c r="D14" s="41" t="s">
        <v>503</v>
      </c>
      <c r="E14" s="42" t="s">
        <v>504</v>
      </c>
      <c r="F14" s="42"/>
      <c r="G14" s="42"/>
      <c r="H14" s="42"/>
      <c r="I14" s="39">
        <v>0</v>
      </c>
      <c r="J14" s="39">
        <v>0</v>
      </c>
      <c r="K14" s="39">
        <v>540</v>
      </c>
      <c r="L14" s="39">
        <v>540</v>
      </c>
      <c r="M14" s="39" t="s">
        <v>505</v>
      </c>
    </row>
    <row r="15" spans="1:13">
      <c r="A15" s="39">
        <v>23023</v>
      </c>
      <c r="B15" s="40" t="s">
        <v>37</v>
      </c>
      <c r="C15" s="40" t="s">
        <v>489</v>
      </c>
      <c r="D15" s="41" t="s">
        <v>506</v>
      </c>
      <c r="E15" s="42"/>
      <c r="F15" s="42"/>
      <c r="G15" s="42"/>
      <c r="H15" s="42"/>
      <c r="I15" s="39">
        <v>0</v>
      </c>
      <c r="J15" s="39">
        <v>0</v>
      </c>
      <c r="K15" s="39">
        <v>540</v>
      </c>
      <c r="L15" s="39">
        <v>540</v>
      </c>
      <c r="M15" s="39" t="s">
        <v>492</v>
      </c>
    </row>
    <row r="16" spans="1:13">
      <c r="A16" s="39">
        <v>23023</v>
      </c>
      <c r="B16" s="40" t="s">
        <v>37</v>
      </c>
      <c r="C16" s="40" t="s">
        <v>489</v>
      </c>
      <c r="D16" s="41" t="s">
        <v>507</v>
      </c>
      <c r="E16" s="42"/>
      <c r="F16" s="42"/>
      <c r="G16" s="42"/>
      <c r="H16" s="42"/>
      <c r="I16" s="39">
        <v>0</v>
      </c>
      <c r="J16" s="39">
        <v>0</v>
      </c>
      <c r="K16" s="39">
        <v>540</v>
      </c>
      <c r="L16" s="39">
        <v>540</v>
      </c>
      <c r="M16" s="39" t="s">
        <v>492</v>
      </c>
    </row>
    <row r="17" spans="1:13">
      <c r="A17" s="39">
        <v>23023</v>
      </c>
      <c r="B17" s="40" t="s">
        <v>37</v>
      </c>
      <c r="C17" s="40" t="s">
        <v>489</v>
      </c>
      <c r="D17" s="41" t="s">
        <v>508</v>
      </c>
      <c r="E17" s="42"/>
      <c r="F17" s="42"/>
      <c r="G17" s="42"/>
      <c r="H17" s="42"/>
      <c r="I17" s="39">
        <v>0</v>
      </c>
      <c r="J17" s="39">
        <v>0</v>
      </c>
      <c r="K17" s="39">
        <v>540</v>
      </c>
      <c r="L17" s="39">
        <v>540</v>
      </c>
      <c r="M17" s="39" t="s">
        <v>492</v>
      </c>
    </row>
    <row r="18" spans="1:13">
      <c r="A18" s="39">
        <v>23023</v>
      </c>
      <c r="B18" s="40" t="s">
        <v>37</v>
      </c>
      <c r="C18" s="40" t="s">
        <v>489</v>
      </c>
      <c r="D18" s="41" t="s">
        <v>509</v>
      </c>
      <c r="E18" s="42" t="s">
        <v>504</v>
      </c>
      <c r="F18" s="42"/>
      <c r="G18" s="42"/>
      <c r="H18" s="42"/>
      <c r="I18" s="39">
        <v>0</v>
      </c>
      <c r="J18" s="39">
        <v>0</v>
      </c>
      <c r="K18" s="39">
        <v>540</v>
      </c>
      <c r="L18" s="39">
        <v>540</v>
      </c>
      <c r="M18" s="39" t="s">
        <v>505</v>
      </c>
    </row>
    <row r="19" spans="1:13">
      <c r="A19" s="39">
        <v>23023</v>
      </c>
      <c r="B19" s="40" t="s">
        <v>37</v>
      </c>
      <c r="C19" s="40" t="s">
        <v>489</v>
      </c>
      <c r="D19" s="41" t="s">
        <v>510</v>
      </c>
      <c r="E19" s="42" t="s">
        <v>511</v>
      </c>
      <c r="F19" s="42"/>
      <c r="G19" s="42"/>
      <c r="H19" s="42"/>
      <c r="I19" s="39">
        <v>0</v>
      </c>
      <c r="J19" s="39">
        <v>0</v>
      </c>
      <c r="K19" s="39">
        <v>540</v>
      </c>
      <c r="L19" s="39">
        <v>540</v>
      </c>
      <c r="M19" s="39" t="s">
        <v>505</v>
      </c>
    </row>
    <row r="20" spans="1:13">
      <c r="A20" s="39">
        <v>23023</v>
      </c>
      <c r="B20" s="40" t="s">
        <v>37</v>
      </c>
      <c r="C20" s="40" t="s">
        <v>489</v>
      </c>
      <c r="D20" s="41" t="s">
        <v>512</v>
      </c>
      <c r="E20" s="42"/>
      <c r="F20" s="42"/>
      <c r="G20" s="42"/>
      <c r="H20" s="42"/>
      <c r="I20" s="39">
        <v>0</v>
      </c>
      <c r="J20" s="39">
        <v>0</v>
      </c>
      <c r="K20" s="39">
        <v>540</v>
      </c>
      <c r="L20" s="39">
        <v>540</v>
      </c>
      <c r="M20" s="39" t="s">
        <v>492</v>
      </c>
    </row>
    <row r="21" spans="1:13">
      <c r="A21" s="39">
        <v>23023</v>
      </c>
      <c r="B21" s="40" t="s">
        <v>37</v>
      </c>
      <c r="C21" s="40" t="s">
        <v>489</v>
      </c>
      <c r="D21" s="41" t="s">
        <v>513</v>
      </c>
      <c r="E21" s="42" t="s">
        <v>514</v>
      </c>
      <c r="F21" s="42"/>
      <c r="G21" s="42"/>
      <c r="H21" s="42"/>
      <c r="I21" s="39">
        <v>0</v>
      </c>
      <c r="J21" s="39">
        <v>0</v>
      </c>
      <c r="K21" s="39">
        <v>540</v>
      </c>
      <c r="L21" s="39">
        <v>540</v>
      </c>
      <c r="M21" s="39" t="s">
        <v>505</v>
      </c>
    </row>
    <row r="22" spans="1:13">
      <c r="A22" s="39">
        <v>23023</v>
      </c>
      <c r="B22" s="40" t="s">
        <v>37</v>
      </c>
      <c r="C22" s="40" t="s">
        <v>489</v>
      </c>
      <c r="D22" s="41" t="s">
        <v>515</v>
      </c>
      <c r="E22" s="42"/>
      <c r="F22" s="42" t="s">
        <v>516</v>
      </c>
      <c r="G22" s="42"/>
      <c r="H22" s="42"/>
      <c r="I22" s="39">
        <v>0</v>
      </c>
      <c r="J22" s="39">
        <v>0</v>
      </c>
      <c r="K22" s="39">
        <v>540</v>
      </c>
      <c r="L22" s="39">
        <v>540</v>
      </c>
      <c r="M22" s="39" t="s">
        <v>492</v>
      </c>
    </row>
    <row r="23" spans="1:13">
      <c r="A23" s="39">
        <v>23023</v>
      </c>
      <c r="B23" s="40" t="s">
        <v>37</v>
      </c>
      <c r="C23" s="40" t="s">
        <v>489</v>
      </c>
      <c r="D23" s="41" t="s">
        <v>517</v>
      </c>
      <c r="E23" s="42"/>
      <c r="F23" s="42"/>
      <c r="G23" s="42"/>
      <c r="H23" s="42"/>
      <c r="I23" s="39">
        <v>0</v>
      </c>
      <c r="J23" s="39">
        <v>0</v>
      </c>
      <c r="K23" s="39">
        <v>540</v>
      </c>
      <c r="L23" s="39">
        <v>540</v>
      </c>
      <c r="M23" s="39" t="s">
        <v>492</v>
      </c>
    </row>
    <row r="24" spans="1:13">
      <c r="A24" s="39">
        <v>23023</v>
      </c>
      <c r="B24" s="40" t="s">
        <v>37</v>
      </c>
      <c r="C24" s="40" t="s">
        <v>489</v>
      </c>
      <c r="D24" s="41" t="s">
        <v>518</v>
      </c>
      <c r="E24" s="42" t="s">
        <v>519</v>
      </c>
      <c r="F24" s="42"/>
      <c r="G24" s="42"/>
      <c r="H24" s="42"/>
      <c r="I24" s="39">
        <v>0</v>
      </c>
      <c r="J24" s="39">
        <v>0</v>
      </c>
      <c r="K24" s="39">
        <v>540</v>
      </c>
      <c r="L24" s="39">
        <v>540</v>
      </c>
      <c r="M24" s="39" t="s">
        <v>505</v>
      </c>
    </row>
    <row r="25" spans="1:13">
      <c r="A25" s="39">
        <v>23035</v>
      </c>
      <c r="B25" s="40" t="s">
        <v>45</v>
      </c>
      <c r="C25" s="40" t="s">
        <v>489</v>
      </c>
      <c r="D25" s="41" t="s">
        <v>490</v>
      </c>
      <c r="E25" s="42"/>
      <c r="F25" s="42"/>
      <c r="G25" s="42"/>
      <c r="H25" s="42"/>
      <c r="I25" s="39">
        <v>0</v>
      </c>
      <c r="J25" s="39">
        <v>0</v>
      </c>
      <c r="K25" s="39">
        <v>540</v>
      </c>
      <c r="L25" s="39">
        <v>540</v>
      </c>
      <c r="M25" s="39" t="s">
        <v>492</v>
      </c>
    </row>
    <row r="26" spans="1:13">
      <c r="A26" s="39">
        <v>23035</v>
      </c>
      <c r="B26" s="40" t="s">
        <v>45</v>
      </c>
      <c r="C26" s="40" t="s">
        <v>489</v>
      </c>
      <c r="D26" s="41" t="s">
        <v>491</v>
      </c>
      <c r="E26" s="42"/>
      <c r="F26" s="42"/>
      <c r="G26" s="42"/>
      <c r="H26" s="42"/>
      <c r="I26" s="39">
        <v>0</v>
      </c>
      <c r="J26" s="39">
        <v>0</v>
      </c>
      <c r="K26" s="39">
        <v>540</v>
      </c>
      <c r="L26" s="39">
        <v>540</v>
      </c>
      <c r="M26" s="39" t="s">
        <v>492</v>
      </c>
    </row>
    <row r="27" spans="1:13">
      <c r="A27" s="39">
        <v>23035</v>
      </c>
      <c r="B27" s="40" t="s">
        <v>45</v>
      </c>
      <c r="C27" s="40" t="s">
        <v>489</v>
      </c>
      <c r="D27" s="41" t="s">
        <v>493</v>
      </c>
      <c r="E27" s="42"/>
      <c r="F27" s="42"/>
      <c r="G27" s="42"/>
      <c r="H27" s="42"/>
      <c r="I27" s="39">
        <v>0</v>
      </c>
      <c r="J27" s="39">
        <v>0</v>
      </c>
      <c r="K27" s="39">
        <v>540</v>
      </c>
      <c r="L27" s="39">
        <v>540</v>
      </c>
      <c r="M27" s="39" t="s">
        <v>492</v>
      </c>
    </row>
    <row r="28" spans="1:13">
      <c r="A28" s="39">
        <v>23035</v>
      </c>
      <c r="B28" s="40" t="s">
        <v>45</v>
      </c>
      <c r="C28" s="40" t="s">
        <v>489</v>
      </c>
      <c r="D28" s="41" t="s">
        <v>494</v>
      </c>
      <c r="E28" s="42"/>
      <c r="F28" s="42"/>
      <c r="G28" s="42"/>
      <c r="H28" s="42"/>
      <c r="I28" s="39">
        <v>0</v>
      </c>
      <c r="J28" s="39">
        <v>0</v>
      </c>
      <c r="K28" s="39">
        <v>540</v>
      </c>
      <c r="L28" s="39">
        <v>540</v>
      </c>
      <c r="M28" s="39" t="s">
        <v>492</v>
      </c>
    </row>
    <row r="29" spans="1:13">
      <c r="A29" s="39">
        <v>23035</v>
      </c>
      <c r="B29" s="40" t="s">
        <v>45</v>
      </c>
      <c r="C29" s="40" t="s">
        <v>489</v>
      </c>
      <c r="D29" s="41" t="s">
        <v>495</v>
      </c>
      <c r="E29" s="42"/>
      <c r="F29" s="42"/>
      <c r="G29" s="42"/>
      <c r="H29" s="42"/>
      <c r="I29" s="39">
        <v>0</v>
      </c>
      <c r="J29" s="39">
        <v>0</v>
      </c>
      <c r="K29" s="39">
        <v>540</v>
      </c>
      <c r="L29" s="39">
        <v>540</v>
      </c>
      <c r="M29" s="39" t="s">
        <v>492</v>
      </c>
    </row>
    <row r="30" spans="1:13">
      <c r="A30" s="39">
        <v>23035</v>
      </c>
      <c r="B30" s="40" t="s">
        <v>45</v>
      </c>
      <c r="C30" s="40" t="s">
        <v>489</v>
      </c>
      <c r="D30" s="41" t="s">
        <v>496</v>
      </c>
      <c r="E30" s="42"/>
      <c r="F30" s="42"/>
      <c r="G30" s="42"/>
      <c r="H30" s="42"/>
      <c r="I30" s="39">
        <v>0</v>
      </c>
      <c r="J30" s="39">
        <v>0</v>
      </c>
      <c r="K30" s="39">
        <v>540</v>
      </c>
      <c r="L30" s="39">
        <v>540</v>
      </c>
      <c r="M30" s="39" t="s">
        <v>492</v>
      </c>
    </row>
    <row r="31" spans="1:13">
      <c r="A31" s="39">
        <v>23035</v>
      </c>
      <c r="B31" s="40" t="s">
        <v>45</v>
      </c>
      <c r="C31" s="40" t="s">
        <v>489</v>
      </c>
      <c r="D31" s="41" t="s">
        <v>497</v>
      </c>
      <c r="E31" s="42" t="s">
        <v>520</v>
      </c>
      <c r="F31" s="42" t="s">
        <v>521</v>
      </c>
      <c r="G31" s="42"/>
      <c r="H31" s="42"/>
      <c r="I31" s="39">
        <v>101</v>
      </c>
      <c r="J31" s="39">
        <v>0</v>
      </c>
      <c r="K31" s="39">
        <v>0</v>
      </c>
      <c r="L31" s="39">
        <v>101</v>
      </c>
      <c r="M31" s="39" t="s">
        <v>522</v>
      </c>
    </row>
    <row r="32" spans="1:13">
      <c r="A32" s="39">
        <v>23035</v>
      </c>
      <c r="B32" s="40" t="s">
        <v>45</v>
      </c>
      <c r="C32" s="40" t="s">
        <v>489</v>
      </c>
      <c r="D32" s="41" t="s">
        <v>498</v>
      </c>
      <c r="E32" s="42" t="s">
        <v>523</v>
      </c>
      <c r="F32" s="42" t="s">
        <v>524</v>
      </c>
      <c r="G32" s="42"/>
      <c r="H32" s="42"/>
      <c r="I32" s="39">
        <v>29</v>
      </c>
      <c r="J32" s="39">
        <v>0</v>
      </c>
      <c r="K32" s="39">
        <v>0</v>
      </c>
      <c r="L32" s="39">
        <v>29</v>
      </c>
      <c r="M32" s="39" t="s">
        <v>505</v>
      </c>
    </row>
    <row r="33" spans="1:13">
      <c r="A33" s="39">
        <v>23035</v>
      </c>
      <c r="B33" s="40" t="s">
        <v>45</v>
      </c>
      <c r="C33" s="40" t="s">
        <v>489</v>
      </c>
      <c r="D33" s="41" t="s">
        <v>499</v>
      </c>
      <c r="E33" s="42" t="s">
        <v>525</v>
      </c>
      <c r="F33" s="42" t="s">
        <v>526</v>
      </c>
      <c r="G33" s="42"/>
      <c r="H33" s="42"/>
      <c r="I33" s="39">
        <v>40</v>
      </c>
      <c r="J33" s="39">
        <v>0</v>
      </c>
      <c r="K33" s="39">
        <v>0</v>
      </c>
      <c r="L33" s="39">
        <v>40</v>
      </c>
      <c r="M33" s="39" t="s">
        <v>522</v>
      </c>
    </row>
    <row r="34" spans="1:13">
      <c r="A34" s="39">
        <v>23035</v>
      </c>
      <c r="B34" s="40" t="s">
        <v>45</v>
      </c>
      <c r="C34" s="40" t="s">
        <v>489</v>
      </c>
      <c r="D34" s="41" t="s">
        <v>500</v>
      </c>
      <c r="E34" s="42" t="s">
        <v>527</v>
      </c>
      <c r="F34" s="42" t="s">
        <v>528</v>
      </c>
      <c r="G34" s="42"/>
      <c r="H34" s="42"/>
      <c r="I34" s="39">
        <v>53</v>
      </c>
      <c r="J34" s="39">
        <v>0</v>
      </c>
      <c r="K34" s="39">
        <v>0</v>
      </c>
      <c r="L34" s="39">
        <v>53</v>
      </c>
      <c r="M34" s="39" t="s">
        <v>522</v>
      </c>
    </row>
    <row r="35" spans="1:13">
      <c r="A35" s="39">
        <v>23035</v>
      </c>
      <c r="B35" s="40" t="s">
        <v>45</v>
      </c>
      <c r="C35" s="40" t="s">
        <v>489</v>
      </c>
      <c r="D35" s="41" t="s">
        <v>501</v>
      </c>
      <c r="E35" s="42" t="s">
        <v>529</v>
      </c>
      <c r="F35" s="42" t="s">
        <v>530</v>
      </c>
      <c r="G35" s="42"/>
      <c r="H35" s="42"/>
      <c r="I35" s="39">
        <v>63</v>
      </c>
      <c r="J35" s="39">
        <v>0</v>
      </c>
      <c r="K35" s="39">
        <v>0</v>
      </c>
      <c r="L35" s="39">
        <v>63</v>
      </c>
      <c r="M35" s="39" t="s">
        <v>522</v>
      </c>
    </row>
    <row r="36" spans="1:13">
      <c r="A36" s="39">
        <v>23035</v>
      </c>
      <c r="B36" s="40" t="s">
        <v>45</v>
      </c>
      <c r="C36" s="40" t="s">
        <v>489</v>
      </c>
      <c r="D36" s="41" t="s">
        <v>503</v>
      </c>
      <c r="E36" s="42" t="s">
        <v>531</v>
      </c>
      <c r="F36" s="42" t="s">
        <v>532</v>
      </c>
      <c r="G36" s="42"/>
      <c r="H36" s="42"/>
      <c r="I36" s="39">
        <v>65</v>
      </c>
      <c r="J36" s="39">
        <v>0</v>
      </c>
      <c r="K36" s="39">
        <v>0</v>
      </c>
      <c r="L36" s="39">
        <v>65</v>
      </c>
      <c r="M36" s="39" t="s">
        <v>522</v>
      </c>
    </row>
    <row r="37" spans="1:13">
      <c r="A37" s="39">
        <v>23035</v>
      </c>
      <c r="B37" s="40" t="s">
        <v>45</v>
      </c>
      <c r="C37" s="40" t="s">
        <v>489</v>
      </c>
      <c r="D37" s="41" t="s">
        <v>506</v>
      </c>
      <c r="E37" s="42"/>
      <c r="F37" s="42"/>
      <c r="G37" s="42"/>
      <c r="H37" s="42"/>
      <c r="I37" s="39">
        <v>0</v>
      </c>
      <c r="J37" s="39">
        <v>0</v>
      </c>
      <c r="K37" s="39">
        <v>540</v>
      </c>
      <c r="L37" s="39">
        <v>540</v>
      </c>
      <c r="M37" s="39" t="s">
        <v>492</v>
      </c>
    </row>
    <row r="38" spans="1:13">
      <c r="A38" s="39">
        <v>23035</v>
      </c>
      <c r="B38" s="40" t="s">
        <v>45</v>
      </c>
      <c r="C38" s="40" t="s">
        <v>489</v>
      </c>
      <c r="D38" s="41" t="s">
        <v>507</v>
      </c>
      <c r="E38" s="42"/>
      <c r="F38" s="42" t="s">
        <v>533</v>
      </c>
      <c r="G38" s="42"/>
      <c r="H38" s="42"/>
      <c r="I38" s="39">
        <v>0</v>
      </c>
      <c r="J38" s="39">
        <v>0</v>
      </c>
      <c r="K38" s="39">
        <v>540</v>
      </c>
      <c r="L38" s="39">
        <v>540</v>
      </c>
      <c r="M38" s="39" t="s">
        <v>492</v>
      </c>
    </row>
    <row r="39" spans="1:13">
      <c r="A39" s="39">
        <v>23035</v>
      </c>
      <c r="B39" s="40" t="s">
        <v>45</v>
      </c>
      <c r="C39" s="40" t="s">
        <v>489</v>
      </c>
      <c r="D39" s="41" t="s">
        <v>508</v>
      </c>
      <c r="E39" s="42"/>
      <c r="F39" s="42"/>
      <c r="G39" s="42"/>
      <c r="H39" s="42"/>
      <c r="I39" s="39">
        <v>0</v>
      </c>
      <c r="J39" s="39">
        <v>0</v>
      </c>
      <c r="K39" s="39">
        <v>540</v>
      </c>
      <c r="L39" s="39">
        <v>540</v>
      </c>
      <c r="M39" s="39" t="s">
        <v>492</v>
      </c>
    </row>
    <row r="40" spans="1:13">
      <c r="A40" s="39">
        <v>23035</v>
      </c>
      <c r="B40" s="40" t="s">
        <v>45</v>
      </c>
      <c r="C40" s="40" t="s">
        <v>489</v>
      </c>
      <c r="D40" s="41" t="s">
        <v>534</v>
      </c>
      <c r="E40" s="42"/>
      <c r="F40" s="42"/>
      <c r="G40" s="42"/>
      <c r="H40" s="42"/>
      <c r="I40" s="39">
        <v>0</v>
      </c>
      <c r="J40" s="39">
        <v>0</v>
      </c>
      <c r="K40" s="39">
        <v>540</v>
      </c>
      <c r="L40" s="39">
        <v>540</v>
      </c>
      <c r="M40" s="39" t="s">
        <v>492</v>
      </c>
    </row>
    <row r="41" spans="1:13">
      <c r="A41" s="39">
        <v>23035</v>
      </c>
      <c r="B41" s="40" t="s">
        <v>45</v>
      </c>
      <c r="C41" s="40" t="s">
        <v>489</v>
      </c>
      <c r="D41" s="41" t="s">
        <v>535</v>
      </c>
      <c r="E41" s="42"/>
      <c r="F41" s="42"/>
      <c r="G41" s="42"/>
      <c r="H41" s="42"/>
      <c r="I41" s="39">
        <v>0</v>
      </c>
      <c r="J41" s="39">
        <v>0</v>
      </c>
      <c r="K41" s="39">
        <v>540</v>
      </c>
      <c r="L41" s="39">
        <v>540</v>
      </c>
      <c r="M41" s="39" t="s">
        <v>492</v>
      </c>
    </row>
    <row r="42" spans="1:13">
      <c r="A42" s="39">
        <v>23035</v>
      </c>
      <c r="B42" s="40" t="s">
        <v>45</v>
      </c>
      <c r="C42" s="40" t="s">
        <v>489</v>
      </c>
      <c r="D42" s="41" t="s">
        <v>509</v>
      </c>
      <c r="E42" s="42" t="s">
        <v>536</v>
      </c>
      <c r="F42" s="42"/>
      <c r="G42" s="42"/>
      <c r="H42" s="42"/>
      <c r="I42" s="39">
        <v>69</v>
      </c>
      <c r="J42" s="39">
        <v>0</v>
      </c>
      <c r="K42" s="39">
        <v>471</v>
      </c>
      <c r="L42" s="39">
        <v>540</v>
      </c>
      <c r="M42" s="39" t="s">
        <v>522</v>
      </c>
    </row>
    <row r="43" spans="1:13">
      <c r="A43" s="39">
        <v>23035</v>
      </c>
      <c r="B43" s="40" t="s">
        <v>45</v>
      </c>
      <c r="C43" s="40" t="s">
        <v>489</v>
      </c>
      <c r="D43" s="41" t="s">
        <v>510</v>
      </c>
      <c r="E43" s="42" t="s">
        <v>537</v>
      </c>
      <c r="F43" s="42" t="s">
        <v>533</v>
      </c>
      <c r="G43" s="42"/>
      <c r="H43" s="42"/>
      <c r="I43" s="39">
        <v>81</v>
      </c>
      <c r="J43" s="39">
        <v>0</v>
      </c>
      <c r="K43" s="39">
        <v>0</v>
      </c>
      <c r="L43" s="39">
        <v>81</v>
      </c>
      <c r="M43" s="39" t="s">
        <v>522</v>
      </c>
    </row>
    <row r="44" spans="1:13">
      <c r="A44" s="39">
        <v>23035</v>
      </c>
      <c r="B44" s="40" t="s">
        <v>45</v>
      </c>
      <c r="C44" s="40" t="s">
        <v>489</v>
      </c>
      <c r="D44" s="41" t="s">
        <v>538</v>
      </c>
      <c r="E44" s="42"/>
      <c r="F44" s="42" t="s">
        <v>539</v>
      </c>
      <c r="G44" s="42"/>
      <c r="H44" s="42"/>
      <c r="I44" s="39">
        <v>0</v>
      </c>
      <c r="J44" s="39">
        <v>0</v>
      </c>
      <c r="K44" s="39">
        <v>540</v>
      </c>
      <c r="L44" s="39">
        <v>540</v>
      </c>
      <c r="M44" s="39" t="s">
        <v>492</v>
      </c>
    </row>
    <row r="45" spans="1:13">
      <c r="A45" s="39">
        <v>23035</v>
      </c>
      <c r="B45" s="40" t="s">
        <v>45</v>
      </c>
      <c r="C45" s="40" t="s">
        <v>489</v>
      </c>
      <c r="D45" s="41" t="s">
        <v>540</v>
      </c>
      <c r="E45" s="42" t="s">
        <v>541</v>
      </c>
      <c r="F45" s="42" t="s">
        <v>542</v>
      </c>
      <c r="G45" s="42"/>
      <c r="H45" s="42"/>
      <c r="I45" s="39">
        <v>76</v>
      </c>
      <c r="J45" s="39">
        <v>0</v>
      </c>
      <c r="K45" s="39">
        <v>0</v>
      </c>
      <c r="L45" s="39">
        <v>76</v>
      </c>
      <c r="M45" s="39" t="s">
        <v>522</v>
      </c>
    </row>
    <row r="46" spans="1:13">
      <c r="A46" s="39">
        <v>23035</v>
      </c>
      <c r="B46" s="40" t="s">
        <v>45</v>
      </c>
      <c r="C46" s="40" t="s">
        <v>489</v>
      </c>
      <c r="D46" s="41" t="s">
        <v>543</v>
      </c>
      <c r="E46" s="42" t="s">
        <v>544</v>
      </c>
      <c r="F46" s="42" t="s">
        <v>545</v>
      </c>
      <c r="G46" s="42"/>
      <c r="H46" s="42"/>
      <c r="I46" s="39">
        <v>86</v>
      </c>
      <c r="J46" s="39">
        <v>64</v>
      </c>
      <c r="K46" s="39">
        <v>0</v>
      </c>
      <c r="L46" s="39">
        <v>150</v>
      </c>
      <c r="M46" s="39" t="s">
        <v>522</v>
      </c>
    </row>
    <row r="47" spans="1:13">
      <c r="A47" s="39">
        <v>23035</v>
      </c>
      <c r="B47" s="40" t="s">
        <v>45</v>
      </c>
      <c r="C47" s="40" t="s">
        <v>489</v>
      </c>
      <c r="D47" s="41" t="s">
        <v>512</v>
      </c>
      <c r="E47" s="42"/>
      <c r="F47" s="42"/>
      <c r="G47" s="42"/>
      <c r="H47" s="42"/>
      <c r="I47" s="39">
        <v>0</v>
      </c>
      <c r="J47" s="39">
        <v>0</v>
      </c>
      <c r="K47" s="39">
        <v>540</v>
      </c>
      <c r="L47" s="39">
        <v>540</v>
      </c>
      <c r="M47" s="39" t="s">
        <v>492</v>
      </c>
    </row>
    <row r="48" spans="1:13">
      <c r="A48" s="39">
        <v>23035</v>
      </c>
      <c r="B48" s="40" t="s">
        <v>45</v>
      </c>
      <c r="C48" s="40" t="s">
        <v>489</v>
      </c>
      <c r="D48" s="41" t="s">
        <v>513</v>
      </c>
      <c r="E48" s="42"/>
      <c r="F48" s="42"/>
      <c r="G48" s="42"/>
      <c r="H48" s="42"/>
      <c r="I48" s="39">
        <v>0</v>
      </c>
      <c r="J48" s="39">
        <v>0</v>
      </c>
      <c r="K48" s="39">
        <v>540</v>
      </c>
      <c r="L48" s="39">
        <v>540</v>
      </c>
      <c r="M48" s="39" t="s">
        <v>492</v>
      </c>
    </row>
    <row r="49" spans="1:13">
      <c r="A49" s="39">
        <v>23035</v>
      </c>
      <c r="B49" s="40" t="s">
        <v>45</v>
      </c>
      <c r="C49" s="40" t="s">
        <v>489</v>
      </c>
      <c r="D49" s="41" t="s">
        <v>515</v>
      </c>
      <c r="E49" s="42" t="s">
        <v>546</v>
      </c>
      <c r="F49" s="42"/>
      <c r="G49" s="42"/>
      <c r="H49" s="42"/>
      <c r="I49" s="39">
        <v>135</v>
      </c>
      <c r="J49" s="39">
        <v>0</v>
      </c>
      <c r="K49" s="39">
        <v>405</v>
      </c>
      <c r="L49" s="39">
        <v>540</v>
      </c>
      <c r="M49" s="39" t="s">
        <v>522</v>
      </c>
    </row>
    <row r="50" spans="1:13">
      <c r="A50" s="39">
        <v>23035</v>
      </c>
      <c r="B50" s="40" t="s">
        <v>45</v>
      </c>
      <c r="C50" s="40" t="s">
        <v>489</v>
      </c>
      <c r="D50" s="41" t="s">
        <v>517</v>
      </c>
      <c r="E50" s="42" t="s">
        <v>547</v>
      </c>
      <c r="F50" s="42" t="s">
        <v>548</v>
      </c>
      <c r="G50" s="42"/>
      <c r="H50" s="42"/>
      <c r="I50" s="39">
        <v>41</v>
      </c>
      <c r="J50" s="39">
        <v>0</v>
      </c>
      <c r="K50" s="39">
        <v>0</v>
      </c>
      <c r="L50" s="39">
        <v>41</v>
      </c>
      <c r="M50" s="39" t="s">
        <v>522</v>
      </c>
    </row>
    <row r="51" spans="1:13">
      <c r="A51" s="39">
        <v>23035</v>
      </c>
      <c r="B51" s="40" t="s">
        <v>45</v>
      </c>
      <c r="C51" s="40" t="s">
        <v>489</v>
      </c>
      <c r="D51" s="41" t="s">
        <v>518</v>
      </c>
      <c r="E51" s="42" t="s">
        <v>549</v>
      </c>
      <c r="F51" s="42"/>
      <c r="G51" s="42"/>
      <c r="H51" s="42"/>
      <c r="I51" s="39">
        <v>66</v>
      </c>
      <c r="J51" s="39">
        <v>0</v>
      </c>
      <c r="K51" s="39">
        <v>474</v>
      </c>
      <c r="L51" s="39">
        <v>540</v>
      </c>
      <c r="M51" s="39" t="s">
        <v>522</v>
      </c>
    </row>
    <row r="52" spans="1:13">
      <c r="A52" s="39">
        <v>23042</v>
      </c>
      <c r="B52" s="40" t="s">
        <v>52</v>
      </c>
      <c r="C52" s="40" t="s">
        <v>489</v>
      </c>
      <c r="D52" s="41" t="s">
        <v>490</v>
      </c>
      <c r="E52" s="42"/>
      <c r="F52" s="42"/>
      <c r="G52" s="42"/>
      <c r="H52" s="42"/>
      <c r="I52" s="39">
        <v>0</v>
      </c>
      <c r="J52" s="39">
        <v>0</v>
      </c>
      <c r="K52" s="39">
        <v>540</v>
      </c>
      <c r="L52" s="39">
        <v>540</v>
      </c>
      <c r="M52" s="39" t="s">
        <v>492</v>
      </c>
    </row>
    <row r="53" spans="1:13">
      <c r="A53" s="39">
        <v>23042</v>
      </c>
      <c r="B53" s="40" t="s">
        <v>52</v>
      </c>
      <c r="C53" s="40" t="s">
        <v>489</v>
      </c>
      <c r="D53" s="41" t="s">
        <v>491</v>
      </c>
      <c r="E53" s="42"/>
      <c r="F53" s="42"/>
      <c r="G53" s="42"/>
      <c r="H53" s="42"/>
      <c r="I53" s="39">
        <v>0</v>
      </c>
      <c r="J53" s="39">
        <v>0</v>
      </c>
      <c r="K53" s="39">
        <v>540</v>
      </c>
      <c r="L53" s="39">
        <v>540</v>
      </c>
      <c r="M53" s="39" t="s">
        <v>492</v>
      </c>
    </row>
    <row r="54" spans="1:13">
      <c r="A54" s="39">
        <v>23042</v>
      </c>
      <c r="B54" s="40" t="s">
        <v>52</v>
      </c>
      <c r="C54" s="40" t="s">
        <v>489</v>
      </c>
      <c r="D54" s="41" t="s">
        <v>493</v>
      </c>
      <c r="E54" s="42"/>
      <c r="F54" s="42"/>
      <c r="G54" s="42"/>
      <c r="H54" s="42"/>
      <c r="I54" s="39">
        <v>0</v>
      </c>
      <c r="J54" s="39">
        <v>0</v>
      </c>
      <c r="K54" s="39">
        <v>540</v>
      </c>
      <c r="L54" s="39">
        <v>540</v>
      </c>
      <c r="M54" s="39" t="s">
        <v>492</v>
      </c>
    </row>
    <row r="55" spans="1:13">
      <c r="A55" s="39">
        <v>23042</v>
      </c>
      <c r="B55" s="40" t="s">
        <v>52</v>
      </c>
      <c r="C55" s="40" t="s">
        <v>489</v>
      </c>
      <c r="D55" s="41" t="s">
        <v>494</v>
      </c>
      <c r="E55" s="42" t="s">
        <v>550</v>
      </c>
      <c r="F55" s="42" t="s">
        <v>528</v>
      </c>
      <c r="G55" s="42"/>
      <c r="H55" s="42"/>
      <c r="I55" s="39">
        <v>94</v>
      </c>
      <c r="J55" s="39">
        <v>0</v>
      </c>
      <c r="K55" s="39">
        <v>0</v>
      </c>
      <c r="L55" s="39">
        <v>94</v>
      </c>
      <c r="M55" s="39" t="s">
        <v>522</v>
      </c>
    </row>
    <row r="56" spans="1:13">
      <c r="A56" s="39">
        <v>23042</v>
      </c>
      <c r="B56" s="40" t="s">
        <v>52</v>
      </c>
      <c r="C56" s="40" t="s">
        <v>489</v>
      </c>
      <c r="D56" s="41" t="s">
        <v>495</v>
      </c>
      <c r="E56" s="42" t="s">
        <v>551</v>
      </c>
      <c r="F56" s="42" t="s">
        <v>552</v>
      </c>
      <c r="G56" s="42"/>
      <c r="H56" s="42"/>
      <c r="I56" s="39">
        <v>51</v>
      </c>
      <c r="J56" s="39">
        <v>0</v>
      </c>
      <c r="K56" s="39">
        <v>0</v>
      </c>
      <c r="L56" s="39">
        <v>51</v>
      </c>
      <c r="M56" s="39" t="s">
        <v>522</v>
      </c>
    </row>
    <row r="57" spans="1:13">
      <c r="A57" s="39">
        <v>23042</v>
      </c>
      <c r="B57" s="40" t="s">
        <v>52</v>
      </c>
      <c r="C57" s="40" t="s">
        <v>489</v>
      </c>
      <c r="D57" s="41" t="s">
        <v>496</v>
      </c>
      <c r="E57" s="42" t="s">
        <v>536</v>
      </c>
      <c r="F57" s="42"/>
      <c r="G57" s="42"/>
      <c r="H57" s="42"/>
      <c r="I57" s="39">
        <v>69</v>
      </c>
      <c r="J57" s="39">
        <v>0</v>
      </c>
      <c r="K57" s="39">
        <v>471</v>
      </c>
      <c r="L57" s="39">
        <v>540</v>
      </c>
      <c r="M57" s="39" t="s">
        <v>522</v>
      </c>
    </row>
    <row r="58" spans="1:13">
      <c r="A58" s="39">
        <v>23042</v>
      </c>
      <c r="B58" s="40" t="s">
        <v>52</v>
      </c>
      <c r="C58" s="40" t="s">
        <v>489</v>
      </c>
      <c r="D58" s="41" t="s">
        <v>497</v>
      </c>
      <c r="E58" s="42" t="s">
        <v>553</v>
      </c>
      <c r="F58" s="42" t="s">
        <v>554</v>
      </c>
      <c r="G58" s="42"/>
      <c r="H58" s="42"/>
      <c r="I58" s="39">
        <v>226</v>
      </c>
      <c r="J58" s="39">
        <v>0</v>
      </c>
      <c r="K58" s="39">
        <v>0</v>
      </c>
      <c r="L58" s="39">
        <v>226</v>
      </c>
      <c r="M58" s="39" t="s">
        <v>522</v>
      </c>
    </row>
    <row r="59" spans="1:13">
      <c r="A59" s="39">
        <v>23042</v>
      </c>
      <c r="B59" s="40" t="s">
        <v>52</v>
      </c>
      <c r="C59" s="40" t="s">
        <v>489</v>
      </c>
      <c r="D59" s="41" t="s">
        <v>498</v>
      </c>
      <c r="E59" s="42" t="s">
        <v>555</v>
      </c>
      <c r="F59" s="42"/>
      <c r="G59" s="42"/>
      <c r="H59" s="42"/>
      <c r="I59" s="39">
        <v>31</v>
      </c>
      <c r="J59" s="39">
        <v>0</v>
      </c>
      <c r="K59" s="39">
        <v>509</v>
      </c>
      <c r="L59" s="39">
        <v>540</v>
      </c>
      <c r="M59" s="39" t="s">
        <v>522</v>
      </c>
    </row>
    <row r="60" spans="1:13">
      <c r="A60" s="39">
        <v>23042</v>
      </c>
      <c r="B60" s="40" t="s">
        <v>52</v>
      </c>
      <c r="C60" s="40" t="s">
        <v>489</v>
      </c>
      <c r="D60" s="41" t="s">
        <v>500</v>
      </c>
      <c r="E60" s="42" t="s">
        <v>556</v>
      </c>
      <c r="F60" s="42"/>
      <c r="G60" s="42"/>
      <c r="H60" s="42"/>
      <c r="I60" s="39">
        <v>32</v>
      </c>
      <c r="J60" s="39">
        <v>0</v>
      </c>
      <c r="K60" s="39">
        <v>508</v>
      </c>
      <c r="L60" s="39">
        <v>540</v>
      </c>
      <c r="M60" s="39" t="s">
        <v>522</v>
      </c>
    </row>
    <row r="61" spans="1:13">
      <c r="A61" s="39">
        <v>23042</v>
      </c>
      <c r="B61" s="40" t="s">
        <v>52</v>
      </c>
      <c r="C61" s="40" t="s">
        <v>489</v>
      </c>
      <c r="D61" s="41" t="s">
        <v>501</v>
      </c>
      <c r="E61" s="42" t="s">
        <v>557</v>
      </c>
      <c r="F61" s="42" t="s">
        <v>530</v>
      </c>
      <c r="G61" s="42"/>
      <c r="H61" s="42"/>
      <c r="I61" s="39">
        <v>46</v>
      </c>
      <c r="J61" s="39">
        <v>0</v>
      </c>
      <c r="K61" s="39">
        <v>0</v>
      </c>
      <c r="L61" s="39">
        <v>46</v>
      </c>
      <c r="M61" s="39" t="s">
        <v>522</v>
      </c>
    </row>
    <row r="62" spans="1:13">
      <c r="A62" s="39">
        <v>23042</v>
      </c>
      <c r="B62" s="40" t="s">
        <v>52</v>
      </c>
      <c r="C62" s="40" t="s">
        <v>489</v>
      </c>
      <c r="D62" s="41" t="s">
        <v>503</v>
      </c>
      <c r="E62" s="42" t="s">
        <v>558</v>
      </c>
      <c r="F62" s="42" t="s">
        <v>533</v>
      </c>
      <c r="G62" s="42"/>
      <c r="H62" s="42"/>
      <c r="I62" s="39">
        <v>57</v>
      </c>
      <c r="J62" s="39">
        <v>0</v>
      </c>
      <c r="K62" s="39">
        <v>0</v>
      </c>
      <c r="L62" s="39">
        <v>57</v>
      </c>
      <c r="M62" s="39" t="s">
        <v>522</v>
      </c>
    </row>
    <row r="63" spans="1:13">
      <c r="A63" s="39">
        <v>23042</v>
      </c>
      <c r="B63" s="40" t="s">
        <v>52</v>
      </c>
      <c r="C63" s="40" t="s">
        <v>489</v>
      </c>
      <c r="D63" s="41" t="s">
        <v>506</v>
      </c>
      <c r="E63" s="42"/>
      <c r="F63" s="42"/>
      <c r="G63" s="42"/>
      <c r="H63" s="42"/>
      <c r="I63" s="39">
        <v>0</v>
      </c>
      <c r="J63" s="39">
        <v>0</v>
      </c>
      <c r="K63" s="39">
        <v>540</v>
      </c>
      <c r="L63" s="39">
        <v>540</v>
      </c>
      <c r="M63" s="39" t="s">
        <v>492</v>
      </c>
    </row>
    <row r="64" spans="1:13">
      <c r="A64" s="39">
        <v>23042</v>
      </c>
      <c r="B64" s="40" t="s">
        <v>52</v>
      </c>
      <c r="C64" s="40" t="s">
        <v>489</v>
      </c>
      <c r="D64" s="41" t="s">
        <v>507</v>
      </c>
      <c r="E64" s="42"/>
      <c r="F64" s="42" t="s">
        <v>559</v>
      </c>
      <c r="G64" s="42"/>
      <c r="H64" s="42"/>
      <c r="I64" s="39">
        <v>0</v>
      </c>
      <c r="J64" s="39">
        <v>0</v>
      </c>
      <c r="K64" s="39">
        <v>540</v>
      </c>
      <c r="L64" s="39">
        <v>540</v>
      </c>
      <c r="M64" s="39" t="s">
        <v>492</v>
      </c>
    </row>
    <row r="65" spans="1:13">
      <c r="A65" s="39">
        <v>23042</v>
      </c>
      <c r="B65" s="40" t="s">
        <v>52</v>
      </c>
      <c r="C65" s="40" t="s">
        <v>489</v>
      </c>
      <c r="D65" s="41" t="s">
        <v>508</v>
      </c>
      <c r="E65" s="42"/>
      <c r="F65" s="42"/>
      <c r="G65" s="42"/>
      <c r="H65" s="42"/>
      <c r="I65" s="39">
        <v>0</v>
      </c>
      <c r="J65" s="39">
        <v>0</v>
      </c>
      <c r="K65" s="39">
        <v>540</v>
      </c>
      <c r="L65" s="39">
        <v>540</v>
      </c>
      <c r="M65" s="39" t="s">
        <v>492</v>
      </c>
    </row>
    <row r="66" spans="1:13">
      <c r="A66" s="39">
        <v>23042</v>
      </c>
      <c r="B66" s="40" t="s">
        <v>52</v>
      </c>
      <c r="C66" s="40" t="s">
        <v>489</v>
      </c>
      <c r="D66" s="41" t="s">
        <v>534</v>
      </c>
      <c r="E66" s="42"/>
      <c r="F66" s="42"/>
      <c r="G66" s="42"/>
      <c r="H66" s="42"/>
      <c r="I66" s="39">
        <v>0</v>
      </c>
      <c r="J66" s="39">
        <v>0</v>
      </c>
      <c r="K66" s="39">
        <v>540</v>
      </c>
      <c r="L66" s="39">
        <v>540</v>
      </c>
      <c r="M66" s="39" t="s">
        <v>492</v>
      </c>
    </row>
    <row r="67" spans="1:13">
      <c r="A67" s="39">
        <v>23042</v>
      </c>
      <c r="B67" s="40" t="s">
        <v>52</v>
      </c>
      <c r="C67" s="40" t="s">
        <v>489</v>
      </c>
      <c r="D67" s="41" t="s">
        <v>535</v>
      </c>
      <c r="E67" s="42"/>
      <c r="F67" s="42"/>
      <c r="G67" s="42"/>
      <c r="H67" s="42"/>
      <c r="I67" s="39">
        <v>0</v>
      </c>
      <c r="J67" s="39">
        <v>0</v>
      </c>
      <c r="K67" s="39">
        <v>540</v>
      </c>
      <c r="L67" s="39">
        <v>540</v>
      </c>
      <c r="M67" s="39" t="s">
        <v>492</v>
      </c>
    </row>
    <row r="68" spans="1:13">
      <c r="A68" s="39">
        <v>23042</v>
      </c>
      <c r="B68" s="40" t="s">
        <v>52</v>
      </c>
      <c r="C68" s="40" t="s">
        <v>489</v>
      </c>
      <c r="D68" s="41" t="s">
        <v>509</v>
      </c>
      <c r="E68" s="42"/>
      <c r="F68" s="42"/>
      <c r="G68" s="42"/>
      <c r="H68" s="42"/>
      <c r="I68" s="39">
        <v>0</v>
      </c>
      <c r="J68" s="39">
        <v>0</v>
      </c>
      <c r="K68" s="39">
        <v>540</v>
      </c>
      <c r="L68" s="39">
        <v>540</v>
      </c>
      <c r="M68" s="39" t="s">
        <v>492</v>
      </c>
    </row>
    <row r="69" spans="1:13">
      <c r="A69" s="39">
        <v>23042</v>
      </c>
      <c r="B69" s="40" t="s">
        <v>52</v>
      </c>
      <c r="C69" s="40" t="s">
        <v>489</v>
      </c>
      <c r="D69" s="41" t="s">
        <v>510</v>
      </c>
      <c r="E69" s="42" t="s">
        <v>527</v>
      </c>
      <c r="F69" s="42" t="s">
        <v>560</v>
      </c>
      <c r="G69" s="42"/>
      <c r="H69" s="42"/>
      <c r="I69" s="39">
        <v>53</v>
      </c>
      <c r="J69" s="39">
        <v>0</v>
      </c>
      <c r="K69" s="39">
        <v>0</v>
      </c>
      <c r="L69" s="39">
        <v>53</v>
      </c>
      <c r="M69" s="39" t="s">
        <v>522</v>
      </c>
    </row>
    <row r="70" spans="1:13">
      <c r="A70" s="39">
        <v>23042</v>
      </c>
      <c r="B70" s="40" t="s">
        <v>52</v>
      </c>
      <c r="C70" s="40" t="s">
        <v>489</v>
      </c>
      <c r="D70" s="41" t="s">
        <v>538</v>
      </c>
      <c r="E70" s="42"/>
      <c r="F70" s="42"/>
      <c r="G70" s="42"/>
      <c r="H70" s="42"/>
      <c r="I70" s="39">
        <v>0</v>
      </c>
      <c r="J70" s="39">
        <v>0</v>
      </c>
      <c r="K70" s="39">
        <v>540</v>
      </c>
      <c r="L70" s="39">
        <v>540</v>
      </c>
      <c r="M70" s="39" t="s">
        <v>492</v>
      </c>
    </row>
    <row r="71" spans="1:13">
      <c r="A71" s="39">
        <v>23042</v>
      </c>
      <c r="B71" s="40" t="s">
        <v>52</v>
      </c>
      <c r="C71" s="40" t="s">
        <v>489</v>
      </c>
      <c r="D71" s="41" t="s">
        <v>540</v>
      </c>
      <c r="E71" s="42"/>
      <c r="F71" s="42"/>
      <c r="G71" s="42"/>
      <c r="H71" s="42"/>
      <c r="I71" s="39">
        <v>0</v>
      </c>
      <c r="J71" s="39">
        <v>0</v>
      </c>
      <c r="K71" s="39">
        <v>540</v>
      </c>
      <c r="L71" s="39">
        <v>540</v>
      </c>
      <c r="M71" s="39" t="s">
        <v>492</v>
      </c>
    </row>
    <row r="72" spans="1:13">
      <c r="A72" s="39">
        <v>23042</v>
      </c>
      <c r="B72" s="40" t="s">
        <v>52</v>
      </c>
      <c r="C72" s="40" t="s">
        <v>489</v>
      </c>
      <c r="D72" s="41" t="s">
        <v>543</v>
      </c>
      <c r="E72" s="42" t="s">
        <v>561</v>
      </c>
      <c r="F72" s="42" t="s">
        <v>502</v>
      </c>
      <c r="G72" s="42"/>
      <c r="H72" s="42"/>
      <c r="I72" s="39">
        <v>247</v>
      </c>
      <c r="J72" s="39">
        <v>0</v>
      </c>
      <c r="K72" s="39">
        <v>0</v>
      </c>
      <c r="L72" s="39">
        <v>247</v>
      </c>
      <c r="M72" s="39" t="s">
        <v>522</v>
      </c>
    </row>
    <row r="73" spans="1:13">
      <c r="A73" s="39">
        <v>23042</v>
      </c>
      <c r="B73" s="40" t="s">
        <v>52</v>
      </c>
      <c r="C73" s="40" t="s">
        <v>489</v>
      </c>
      <c r="D73" s="41" t="s">
        <v>512</v>
      </c>
      <c r="E73" s="42"/>
      <c r="F73" s="42"/>
      <c r="G73" s="42"/>
      <c r="H73" s="42"/>
      <c r="I73" s="39">
        <v>0</v>
      </c>
      <c r="J73" s="39">
        <v>0</v>
      </c>
      <c r="K73" s="39">
        <v>540</v>
      </c>
      <c r="L73" s="39">
        <v>540</v>
      </c>
      <c r="M73" s="39" t="s">
        <v>492</v>
      </c>
    </row>
    <row r="74" spans="1:13">
      <c r="A74" s="39">
        <v>23042</v>
      </c>
      <c r="B74" s="40" t="s">
        <v>52</v>
      </c>
      <c r="C74" s="40" t="s">
        <v>489</v>
      </c>
      <c r="D74" s="41" t="s">
        <v>513</v>
      </c>
      <c r="E74" s="42"/>
      <c r="F74" s="42"/>
      <c r="G74" s="42"/>
      <c r="H74" s="42"/>
      <c r="I74" s="39">
        <v>0</v>
      </c>
      <c r="J74" s="39">
        <v>0</v>
      </c>
      <c r="K74" s="39">
        <v>540</v>
      </c>
      <c r="L74" s="39">
        <v>540</v>
      </c>
      <c r="M74" s="39" t="s">
        <v>492</v>
      </c>
    </row>
    <row r="75" spans="1:13">
      <c r="A75" s="39">
        <v>23042</v>
      </c>
      <c r="B75" s="40" t="s">
        <v>52</v>
      </c>
      <c r="C75" s="40" t="s">
        <v>489</v>
      </c>
      <c r="D75" s="41" t="s">
        <v>515</v>
      </c>
      <c r="E75" s="42"/>
      <c r="F75" s="42"/>
      <c r="G75" s="42"/>
      <c r="H75" s="42"/>
      <c r="I75" s="39">
        <v>0</v>
      </c>
      <c r="J75" s="39">
        <v>0</v>
      </c>
      <c r="K75" s="39">
        <v>540</v>
      </c>
      <c r="L75" s="39">
        <v>540</v>
      </c>
      <c r="M75" s="39" t="s">
        <v>492</v>
      </c>
    </row>
    <row r="76" spans="1:13">
      <c r="A76" s="39">
        <v>23042</v>
      </c>
      <c r="B76" s="40" t="s">
        <v>52</v>
      </c>
      <c r="C76" s="40" t="s">
        <v>489</v>
      </c>
      <c r="D76" s="41" t="s">
        <v>517</v>
      </c>
      <c r="E76" s="42"/>
      <c r="F76" s="42"/>
      <c r="G76" s="42"/>
      <c r="H76" s="42"/>
      <c r="I76" s="39">
        <v>0</v>
      </c>
      <c r="J76" s="39">
        <v>0</v>
      </c>
      <c r="K76" s="39">
        <v>540</v>
      </c>
      <c r="L76" s="39">
        <v>540</v>
      </c>
      <c r="M76" s="39" t="s">
        <v>492</v>
      </c>
    </row>
    <row r="77" spans="1:13">
      <c r="A77" s="39">
        <v>23042</v>
      </c>
      <c r="B77" s="40" t="s">
        <v>52</v>
      </c>
      <c r="C77" s="40" t="s">
        <v>489</v>
      </c>
      <c r="D77" s="41" t="s">
        <v>518</v>
      </c>
      <c r="E77" s="42"/>
      <c r="F77" s="42"/>
      <c r="G77" s="42"/>
      <c r="H77" s="42"/>
      <c r="I77" s="39">
        <v>0</v>
      </c>
      <c r="J77" s="39">
        <v>0</v>
      </c>
      <c r="K77" s="39">
        <v>540</v>
      </c>
      <c r="L77" s="39">
        <v>540</v>
      </c>
      <c r="M77" s="39" t="s">
        <v>492</v>
      </c>
    </row>
    <row r="78" spans="1:13">
      <c r="A78" s="39">
        <v>23033</v>
      </c>
      <c r="B78" s="40" t="s">
        <v>43</v>
      </c>
      <c r="C78" s="40" t="s">
        <v>489</v>
      </c>
      <c r="D78" s="41" t="s">
        <v>490</v>
      </c>
      <c r="E78" s="42"/>
      <c r="F78" s="42"/>
      <c r="G78" s="42"/>
      <c r="H78" s="42"/>
      <c r="I78" s="39">
        <v>0</v>
      </c>
      <c r="J78" s="39">
        <v>0</v>
      </c>
      <c r="K78" s="39">
        <v>540</v>
      </c>
      <c r="L78" s="39">
        <v>540</v>
      </c>
      <c r="M78" s="39" t="s">
        <v>492</v>
      </c>
    </row>
    <row r="79" spans="1:13">
      <c r="A79" s="39">
        <v>23033</v>
      </c>
      <c r="B79" s="40" t="s">
        <v>43</v>
      </c>
      <c r="C79" s="40" t="s">
        <v>489</v>
      </c>
      <c r="D79" s="41" t="s">
        <v>491</v>
      </c>
      <c r="E79" s="42"/>
      <c r="F79" s="42"/>
      <c r="G79" s="42"/>
      <c r="H79" s="42"/>
      <c r="I79" s="39">
        <v>0</v>
      </c>
      <c r="J79" s="39">
        <v>0</v>
      </c>
      <c r="K79" s="39">
        <v>540</v>
      </c>
      <c r="L79" s="39">
        <v>540</v>
      </c>
      <c r="M79" s="39" t="s">
        <v>492</v>
      </c>
    </row>
    <row r="80" spans="1:13">
      <c r="A80" s="39">
        <v>23033</v>
      </c>
      <c r="B80" s="40" t="s">
        <v>43</v>
      </c>
      <c r="C80" s="40" t="s">
        <v>489</v>
      </c>
      <c r="D80" s="41" t="s">
        <v>493</v>
      </c>
      <c r="E80" s="42"/>
      <c r="F80" s="42" t="s">
        <v>562</v>
      </c>
      <c r="G80" s="42"/>
      <c r="H80" s="42"/>
      <c r="I80" s="39">
        <v>0</v>
      </c>
      <c r="J80" s="39">
        <v>0</v>
      </c>
      <c r="K80" s="39">
        <v>540</v>
      </c>
      <c r="L80" s="39">
        <v>540</v>
      </c>
      <c r="M80" s="39" t="s">
        <v>492</v>
      </c>
    </row>
    <row r="81" spans="1:13">
      <c r="A81" s="39">
        <v>23033</v>
      </c>
      <c r="B81" s="40" t="s">
        <v>43</v>
      </c>
      <c r="C81" s="40" t="s">
        <v>489</v>
      </c>
      <c r="D81" s="41" t="s">
        <v>494</v>
      </c>
      <c r="E81" s="42" t="s">
        <v>563</v>
      </c>
      <c r="F81" s="42" t="s">
        <v>528</v>
      </c>
      <c r="G81" s="42"/>
      <c r="H81" s="42"/>
      <c r="I81" s="39">
        <v>92</v>
      </c>
      <c r="J81" s="39">
        <v>0</v>
      </c>
      <c r="K81" s="39">
        <v>0</v>
      </c>
      <c r="L81" s="39">
        <v>92</v>
      </c>
      <c r="M81" s="39" t="s">
        <v>522</v>
      </c>
    </row>
    <row r="82" spans="1:13">
      <c r="A82" s="39">
        <v>23033</v>
      </c>
      <c r="B82" s="40" t="s">
        <v>43</v>
      </c>
      <c r="C82" s="40" t="s">
        <v>489</v>
      </c>
      <c r="D82" s="41" t="s">
        <v>495</v>
      </c>
      <c r="E82" s="42" t="s">
        <v>551</v>
      </c>
      <c r="F82" s="42" t="s">
        <v>564</v>
      </c>
      <c r="G82" s="42"/>
      <c r="H82" s="42"/>
      <c r="I82" s="39">
        <v>51</v>
      </c>
      <c r="J82" s="39">
        <v>0</v>
      </c>
      <c r="K82" s="39">
        <v>0</v>
      </c>
      <c r="L82" s="39">
        <v>51</v>
      </c>
      <c r="M82" s="39" t="s">
        <v>522</v>
      </c>
    </row>
    <row r="83" spans="1:13">
      <c r="A83" s="39">
        <v>23033</v>
      </c>
      <c r="B83" s="40" t="s">
        <v>43</v>
      </c>
      <c r="C83" s="40" t="s">
        <v>489</v>
      </c>
      <c r="D83" s="41" t="s">
        <v>496</v>
      </c>
      <c r="E83" s="42" t="s">
        <v>536</v>
      </c>
      <c r="F83" s="42" t="s">
        <v>565</v>
      </c>
      <c r="G83" s="42"/>
      <c r="H83" s="42"/>
      <c r="I83" s="39">
        <v>69</v>
      </c>
      <c r="J83" s="39">
        <v>0</v>
      </c>
      <c r="K83" s="39">
        <v>0</v>
      </c>
      <c r="L83" s="39">
        <v>69</v>
      </c>
      <c r="M83" s="39" t="s">
        <v>522</v>
      </c>
    </row>
    <row r="84" spans="1:13">
      <c r="A84" s="39">
        <v>23033</v>
      </c>
      <c r="B84" s="40" t="s">
        <v>43</v>
      </c>
      <c r="C84" s="40" t="s">
        <v>489</v>
      </c>
      <c r="D84" s="41" t="s">
        <v>497</v>
      </c>
      <c r="E84" s="42" t="s">
        <v>566</v>
      </c>
      <c r="F84" s="42"/>
      <c r="G84" s="42"/>
      <c r="H84" s="42"/>
      <c r="I84" s="39">
        <v>98</v>
      </c>
      <c r="J84" s="39">
        <v>0</v>
      </c>
      <c r="K84" s="39">
        <v>442</v>
      </c>
      <c r="L84" s="39">
        <v>540</v>
      </c>
      <c r="M84" s="39" t="s">
        <v>522</v>
      </c>
    </row>
    <row r="85" spans="1:13">
      <c r="A85" s="39">
        <v>23033</v>
      </c>
      <c r="B85" s="40" t="s">
        <v>43</v>
      </c>
      <c r="C85" s="40" t="s">
        <v>489</v>
      </c>
      <c r="D85" s="41" t="s">
        <v>498</v>
      </c>
      <c r="E85" s="42" t="s">
        <v>555</v>
      </c>
      <c r="F85" s="42"/>
      <c r="G85" s="42"/>
      <c r="H85" s="42"/>
      <c r="I85" s="39">
        <v>31</v>
      </c>
      <c r="J85" s="39">
        <v>0</v>
      </c>
      <c r="K85" s="39">
        <v>509</v>
      </c>
      <c r="L85" s="39">
        <v>540</v>
      </c>
      <c r="M85" s="39" t="s">
        <v>522</v>
      </c>
    </row>
    <row r="86" spans="1:13">
      <c r="A86" s="39">
        <v>23033</v>
      </c>
      <c r="B86" s="40" t="s">
        <v>43</v>
      </c>
      <c r="C86" s="40" t="s">
        <v>489</v>
      </c>
      <c r="D86" s="41" t="s">
        <v>499</v>
      </c>
      <c r="E86" s="42" t="s">
        <v>567</v>
      </c>
      <c r="F86" s="42" t="s">
        <v>526</v>
      </c>
      <c r="G86" s="42"/>
      <c r="H86" s="42"/>
      <c r="I86" s="39">
        <v>39</v>
      </c>
      <c r="J86" s="39">
        <v>0</v>
      </c>
      <c r="K86" s="39">
        <v>0</v>
      </c>
      <c r="L86" s="39">
        <v>39</v>
      </c>
      <c r="M86" s="39" t="s">
        <v>522</v>
      </c>
    </row>
    <row r="87" spans="1:13">
      <c r="A87" s="39">
        <v>23033</v>
      </c>
      <c r="B87" s="40" t="s">
        <v>43</v>
      </c>
      <c r="C87" s="40" t="s">
        <v>489</v>
      </c>
      <c r="D87" s="41" t="s">
        <v>500</v>
      </c>
      <c r="E87" s="42" t="s">
        <v>527</v>
      </c>
      <c r="F87" s="42" t="s">
        <v>528</v>
      </c>
      <c r="G87" s="42"/>
      <c r="H87" s="42"/>
      <c r="I87" s="39">
        <v>53</v>
      </c>
      <c r="J87" s="39">
        <v>0</v>
      </c>
      <c r="K87" s="39">
        <v>0</v>
      </c>
      <c r="L87" s="39">
        <v>53</v>
      </c>
      <c r="M87" s="39" t="s">
        <v>522</v>
      </c>
    </row>
    <row r="88" spans="1:13">
      <c r="A88" s="39">
        <v>23033</v>
      </c>
      <c r="B88" s="40" t="s">
        <v>43</v>
      </c>
      <c r="C88" s="40" t="s">
        <v>489</v>
      </c>
      <c r="D88" s="41" t="s">
        <v>501</v>
      </c>
      <c r="E88" s="42" t="s">
        <v>529</v>
      </c>
      <c r="F88" s="42" t="s">
        <v>568</v>
      </c>
      <c r="G88" s="42"/>
      <c r="H88" s="42"/>
      <c r="I88" s="39">
        <v>63</v>
      </c>
      <c r="J88" s="39">
        <v>0</v>
      </c>
      <c r="K88" s="39">
        <v>0</v>
      </c>
      <c r="L88" s="39">
        <v>63</v>
      </c>
      <c r="M88" s="39" t="s">
        <v>522</v>
      </c>
    </row>
    <row r="89" spans="1:13">
      <c r="A89" s="39">
        <v>23033</v>
      </c>
      <c r="B89" s="40" t="s">
        <v>43</v>
      </c>
      <c r="C89" s="40" t="s">
        <v>489</v>
      </c>
      <c r="D89" s="41" t="s">
        <v>503</v>
      </c>
      <c r="E89" s="42" t="s">
        <v>569</v>
      </c>
      <c r="F89" s="42"/>
      <c r="G89" s="42"/>
      <c r="H89" s="42"/>
      <c r="I89" s="39">
        <v>67</v>
      </c>
      <c r="J89" s="39">
        <v>0</v>
      </c>
      <c r="K89" s="39">
        <v>473</v>
      </c>
      <c r="L89" s="39">
        <v>540</v>
      </c>
      <c r="M89" s="39" t="s">
        <v>522</v>
      </c>
    </row>
    <row r="90" spans="1:13">
      <c r="A90" s="39">
        <v>23033</v>
      </c>
      <c r="B90" s="40" t="s">
        <v>43</v>
      </c>
      <c r="C90" s="40" t="s">
        <v>489</v>
      </c>
      <c r="D90" s="41" t="s">
        <v>506</v>
      </c>
      <c r="E90" s="42"/>
      <c r="F90" s="42"/>
      <c r="G90" s="42"/>
      <c r="H90" s="42"/>
      <c r="I90" s="39">
        <v>0</v>
      </c>
      <c r="J90" s="39">
        <v>0</v>
      </c>
      <c r="K90" s="39">
        <v>540</v>
      </c>
      <c r="L90" s="39">
        <v>540</v>
      </c>
      <c r="M90" s="39" t="s">
        <v>492</v>
      </c>
    </row>
    <row r="91" spans="1:13">
      <c r="A91" s="39">
        <v>23033</v>
      </c>
      <c r="B91" s="40" t="s">
        <v>43</v>
      </c>
      <c r="C91" s="40" t="s">
        <v>489</v>
      </c>
      <c r="D91" s="41" t="s">
        <v>507</v>
      </c>
      <c r="E91" s="42"/>
      <c r="F91" s="42" t="s">
        <v>533</v>
      </c>
      <c r="G91" s="42"/>
      <c r="H91" s="42"/>
      <c r="I91" s="39">
        <v>0</v>
      </c>
      <c r="J91" s="39">
        <v>0</v>
      </c>
      <c r="K91" s="39">
        <v>540</v>
      </c>
      <c r="L91" s="39">
        <v>540</v>
      </c>
      <c r="M91" s="39" t="s">
        <v>492</v>
      </c>
    </row>
    <row r="92" spans="1:13">
      <c r="A92" s="39">
        <v>23033</v>
      </c>
      <c r="B92" s="40" t="s">
        <v>43</v>
      </c>
      <c r="C92" s="40" t="s">
        <v>489</v>
      </c>
      <c r="D92" s="41" t="s">
        <v>508</v>
      </c>
      <c r="E92" s="42"/>
      <c r="F92" s="42"/>
      <c r="G92" s="42"/>
      <c r="H92" s="42"/>
      <c r="I92" s="39">
        <v>0</v>
      </c>
      <c r="J92" s="39">
        <v>0</v>
      </c>
      <c r="K92" s="39">
        <v>540</v>
      </c>
      <c r="L92" s="39">
        <v>540</v>
      </c>
      <c r="M92" s="39" t="s">
        <v>492</v>
      </c>
    </row>
    <row r="93" spans="1:13">
      <c r="A93" s="39">
        <v>23033</v>
      </c>
      <c r="B93" s="40" t="s">
        <v>43</v>
      </c>
      <c r="C93" s="40" t="s">
        <v>489</v>
      </c>
      <c r="D93" s="41" t="s">
        <v>534</v>
      </c>
      <c r="E93" s="42"/>
      <c r="F93" s="42"/>
      <c r="G93" s="42"/>
      <c r="H93" s="42"/>
      <c r="I93" s="39">
        <v>0</v>
      </c>
      <c r="J93" s="39">
        <v>0</v>
      </c>
      <c r="K93" s="39">
        <v>540</v>
      </c>
      <c r="L93" s="39">
        <v>540</v>
      </c>
      <c r="M93" s="39" t="s">
        <v>492</v>
      </c>
    </row>
    <row r="94" spans="1:13">
      <c r="A94" s="39">
        <v>23033</v>
      </c>
      <c r="B94" s="40" t="s">
        <v>43</v>
      </c>
      <c r="C94" s="40" t="s">
        <v>489</v>
      </c>
      <c r="D94" s="41" t="s">
        <v>535</v>
      </c>
      <c r="E94" s="42" t="s">
        <v>570</v>
      </c>
      <c r="F94" s="42"/>
      <c r="G94" s="42"/>
      <c r="H94" s="42"/>
      <c r="I94" s="39">
        <v>133</v>
      </c>
      <c r="J94" s="39">
        <v>0</v>
      </c>
      <c r="K94" s="39">
        <v>407</v>
      </c>
      <c r="L94" s="39">
        <v>540</v>
      </c>
      <c r="M94" s="39" t="s">
        <v>522</v>
      </c>
    </row>
    <row r="95" spans="1:13">
      <c r="A95" s="39">
        <v>23033</v>
      </c>
      <c r="B95" s="40" t="s">
        <v>43</v>
      </c>
      <c r="C95" s="40" t="s">
        <v>489</v>
      </c>
      <c r="D95" s="41" t="s">
        <v>509</v>
      </c>
      <c r="E95" s="42" t="s">
        <v>571</v>
      </c>
      <c r="F95" s="42" t="s">
        <v>542</v>
      </c>
      <c r="G95" s="42"/>
      <c r="H95" s="42"/>
      <c r="I95" s="39">
        <v>64</v>
      </c>
      <c r="J95" s="39">
        <v>0</v>
      </c>
      <c r="K95" s="39">
        <v>0</v>
      </c>
      <c r="L95" s="39">
        <v>64</v>
      </c>
      <c r="M95" s="39" t="s">
        <v>522</v>
      </c>
    </row>
    <row r="96" spans="1:13">
      <c r="A96" s="39">
        <v>23033</v>
      </c>
      <c r="B96" s="40" t="s">
        <v>43</v>
      </c>
      <c r="C96" s="40" t="s">
        <v>489</v>
      </c>
      <c r="D96" s="41" t="s">
        <v>510</v>
      </c>
      <c r="E96" s="42" t="s">
        <v>544</v>
      </c>
      <c r="F96" s="42"/>
      <c r="G96" s="42"/>
      <c r="H96" s="42"/>
      <c r="I96" s="39">
        <v>86</v>
      </c>
      <c r="J96" s="39">
        <v>0</v>
      </c>
      <c r="K96" s="39">
        <v>454</v>
      </c>
      <c r="L96" s="39">
        <v>540</v>
      </c>
      <c r="M96" s="39" t="s">
        <v>522</v>
      </c>
    </row>
    <row r="97" spans="1:13">
      <c r="A97" s="39">
        <v>23033</v>
      </c>
      <c r="B97" s="40" t="s">
        <v>43</v>
      </c>
      <c r="C97" s="40" t="s">
        <v>489</v>
      </c>
      <c r="D97" s="41" t="s">
        <v>538</v>
      </c>
      <c r="E97" s="42" t="s">
        <v>572</v>
      </c>
      <c r="F97" s="42" t="s">
        <v>539</v>
      </c>
      <c r="G97" s="42"/>
      <c r="H97" s="42"/>
      <c r="I97" s="39">
        <v>93</v>
      </c>
      <c r="J97" s="39">
        <v>0</v>
      </c>
      <c r="K97" s="39">
        <v>0</v>
      </c>
      <c r="L97" s="39">
        <v>93</v>
      </c>
      <c r="M97" s="39" t="s">
        <v>522</v>
      </c>
    </row>
    <row r="98" spans="1:13">
      <c r="A98" s="39">
        <v>23033</v>
      </c>
      <c r="B98" s="40" t="s">
        <v>43</v>
      </c>
      <c r="C98" s="40" t="s">
        <v>489</v>
      </c>
      <c r="D98" s="41" t="s">
        <v>540</v>
      </c>
      <c r="E98" s="42" t="s">
        <v>541</v>
      </c>
      <c r="F98" s="42" t="s">
        <v>542</v>
      </c>
      <c r="G98" s="42"/>
      <c r="H98" s="42"/>
      <c r="I98" s="39">
        <v>76</v>
      </c>
      <c r="J98" s="39">
        <v>0</v>
      </c>
      <c r="K98" s="39">
        <v>0</v>
      </c>
      <c r="L98" s="39">
        <v>76</v>
      </c>
      <c r="M98" s="39" t="s">
        <v>522</v>
      </c>
    </row>
    <row r="99" spans="1:13">
      <c r="A99" s="39">
        <v>23033</v>
      </c>
      <c r="B99" s="40" t="s">
        <v>43</v>
      </c>
      <c r="C99" s="40" t="s">
        <v>489</v>
      </c>
      <c r="D99" s="41" t="s">
        <v>543</v>
      </c>
      <c r="E99" s="42" t="s">
        <v>573</v>
      </c>
      <c r="F99" s="42"/>
      <c r="G99" s="42"/>
      <c r="H99" s="42"/>
      <c r="I99" s="39">
        <v>82</v>
      </c>
      <c r="J99" s="39">
        <v>0</v>
      </c>
      <c r="K99" s="39">
        <v>458</v>
      </c>
      <c r="L99" s="39">
        <v>540</v>
      </c>
      <c r="M99" s="39" t="s">
        <v>522</v>
      </c>
    </row>
    <row r="100" spans="1:13">
      <c r="A100" s="39">
        <v>23033</v>
      </c>
      <c r="B100" s="40" t="s">
        <v>43</v>
      </c>
      <c r="C100" s="40" t="s">
        <v>489</v>
      </c>
      <c r="D100" s="41" t="s">
        <v>512</v>
      </c>
      <c r="E100" s="42"/>
      <c r="F100" s="42"/>
      <c r="G100" s="42"/>
      <c r="H100" s="42"/>
      <c r="I100" s="39">
        <v>0</v>
      </c>
      <c r="J100" s="39">
        <v>0</v>
      </c>
      <c r="K100" s="39">
        <v>540</v>
      </c>
      <c r="L100" s="39">
        <v>540</v>
      </c>
      <c r="M100" s="39" t="s">
        <v>492</v>
      </c>
    </row>
    <row r="101" spans="1:13">
      <c r="A101" s="39">
        <v>23033</v>
      </c>
      <c r="B101" s="40" t="s">
        <v>43</v>
      </c>
      <c r="C101" s="40" t="s">
        <v>489</v>
      </c>
      <c r="D101" s="41" t="s">
        <v>513</v>
      </c>
      <c r="E101" s="42"/>
      <c r="F101" s="42"/>
      <c r="G101" s="42"/>
      <c r="H101" s="42"/>
      <c r="I101" s="39">
        <v>0</v>
      </c>
      <c r="J101" s="39">
        <v>0</v>
      </c>
      <c r="K101" s="39">
        <v>540</v>
      </c>
      <c r="L101" s="39">
        <v>540</v>
      </c>
      <c r="M101" s="39" t="s">
        <v>492</v>
      </c>
    </row>
    <row r="102" spans="1:13">
      <c r="A102" s="39">
        <v>23033</v>
      </c>
      <c r="B102" s="40" t="s">
        <v>43</v>
      </c>
      <c r="C102" s="40" t="s">
        <v>489</v>
      </c>
      <c r="D102" s="41" t="s">
        <v>515</v>
      </c>
      <c r="E102" s="42" t="s">
        <v>574</v>
      </c>
      <c r="F102" s="42"/>
      <c r="G102" s="42"/>
      <c r="H102" s="42"/>
      <c r="I102" s="39">
        <v>158</v>
      </c>
      <c r="J102" s="39">
        <v>0</v>
      </c>
      <c r="K102" s="39">
        <v>382</v>
      </c>
      <c r="L102" s="39">
        <v>540</v>
      </c>
      <c r="M102" s="39" t="s">
        <v>522</v>
      </c>
    </row>
    <row r="103" spans="1:13">
      <c r="A103" s="39">
        <v>23033</v>
      </c>
      <c r="B103" s="40" t="s">
        <v>43</v>
      </c>
      <c r="C103" s="40" t="s">
        <v>489</v>
      </c>
      <c r="D103" s="41" t="s">
        <v>517</v>
      </c>
      <c r="E103" s="42" t="s">
        <v>525</v>
      </c>
      <c r="F103" s="42"/>
      <c r="G103" s="42"/>
      <c r="H103" s="42"/>
      <c r="I103" s="39">
        <v>40</v>
      </c>
      <c r="J103" s="39">
        <v>0</v>
      </c>
      <c r="K103" s="39">
        <v>500</v>
      </c>
      <c r="L103" s="39">
        <v>540</v>
      </c>
      <c r="M103" s="39" t="s">
        <v>522</v>
      </c>
    </row>
    <row r="104" spans="1:13">
      <c r="A104" s="39">
        <v>23033</v>
      </c>
      <c r="B104" s="40" t="s">
        <v>43</v>
      </c>
      <c r="C104" s="40" t="s">
        <v>489</v>
      </c>
      <c r="D104" s="41" t="s">
        <v>518</v>
      </c>
      <c r="E104" s="42" t="s">
        <v>549</v>
      </c>
      <c r="F104" s="42"/>
      <c r="G104" s="42"/>
      <c r="H104" s="42"/>
      <c r="I104" s="39">
        <v>66</v>
      </c>
      <c r="J104" s="39">
        <v>0</v>
      </c>
      <c r="K104" s="39">
        <v>474</v>
      </c>
      <c r="L104" s="39">
        <v>540</v>
      </c>
      <c r="M104" s="39" t="s">
        <v>522</v>
      </c>
    </row>
    <row r="105" spans="1:13">
      <c r="A105" s="39">
        <v>23044</v>
      </c>
      <c r="B105" s="40" t="s">
        <v>54</v>
      </c>
      <c r="C105" s="40" t="s">
        <v>489</v>
      </c>
      <c r="D105" s="41" t="s">
        <v>490</v>
      </c>
      <c r="E105" s="42"/>
      <c r="F105" s="42"/>
      <c r="G105" s="42"/>
      <c r="H105" s="42"/>
      <c r="I105" s="39">
        <v>0</v>
      </c>
      <c r="J105" s="39">
        <v>0</v>
      </c>
      <c r="K105" s="39">
        <v>540</v>
      </c>
      <c r="L105" s="39">
        <v>540</v>
      </c>
      <c r="M105" s="39" t="s">
        <v>492</v>
      </c>
    </row>
    <row r="106" spans="1:13">
      <c r="A106" s="39">
        <v>23044</v>
      </c>
      <c r="B106" s="40" t="s">
        <v>54</v>
      </c>
      <c r="C106" s="40" t="s">
        <v>489</v>
      </c>
      <c r="D106" s="41" t="s">
        <v>491</v>
      </c>
      <c r="E106" s="42"/>
      <c r="F106" s="42"/>
      <c r="G106" s="42"/>
      <c r="H106" s="42"/>
      <c r="I106" s="39">
        <v>0</v>
      </c>
      <c r="J106" s="39">
        <v>0</v>
      </c>
      <c r="K106" s="39">
        <v>540</v>
      </c>
      <c r="L106" s="39">
        <v>540</v>
      </c>
      <c r="M106" s="39" t="s">
        <v>492</v>
      </c>
    </row>
    <row r="107" spans="1:13">
      <c r="A107" s="39">
        <v>23044</v>
      </c>
      <c r="B107" s="40" t="s">
        <v>54</v>
      </c>
      <c r="C107" s="40" t="s">
        <v>489</v>
      </c>
      <c r="D107" s="41" t="s">
        <v>493</v>
      </c>
      <c r="E107" s="42" t="s">
        <v>575</v>
      </c>
      <c r="F107" s="42" t="s">
        <v>576</v>
      </c>
      <c r="G107" s="42"/>
      <c r="H107" s="42"/>
      <c r="I107" s="39">
        <v>254</v>
      </c>
      <c r="J107" s="39">
        <v>0</v>
      </c>
      <c r="K107" s="39">
        <v>0</v>
      </c>
      <c r="L107" s="39">
        <v>254</v>
      </c>
      <c r="M107" s="39" t="s">
        <v>522</v>
      </c>
    </row>
    <row r="108" spans="1:13">
      <c r="A108" s="39">
        <v>23044</v>
      </c>
      <c r="B108" s="40" t="s">
        <v>54</v>
      </c>
      <c r="C108" s="40" t="s">
        <v>489</v>
      </c>
      <c r="D108" s="41" t="s">
        <v>496</v>
      </c>
      <c r="E108" s="42"/>
      <c r="F108" s="42"/>
      <c r="G108" s="42"/>
      <c r="H108" s="42"/>
      <c r="I108" s="39">
        <v>0</v>
      </c>
      <c r="J108" s="39">
        <v>0</v>
      </c>
      <c r="K108" s="39">
        <v>540</v>
      </c>
      <c r="L108" s="39">
        <v>540</v>
      </c>
      <c r="M108" s="39" t="s">
        <v>492</v>
      </c>
    </row>
    <row r="109" spans="1:13">
      <c r="A109" s="39">
        <v>23044</v>
      </c>
      <c r="B109" s="40" t="s">
        <v>54</v>
      </c>
      <c r="C109" s="40" t="s">
        <v>489</v>
      </c>
      <c r="D109" s="41" t="s">
        <v>497</v>
      </c>
      <c r="E109" s="42"/>
      <c r="F109" s="42"/>
      <c r="G109" s="42"/>
      <c r="H109" s="42"/>
      <c r="I109" s="39">
        <v>0</v>
      </c>
      <c r="J109" s="39">
        <v>0</v>
      </c>
      <c r="K109" s="39">
        <v>540</v>
      </c>
      <c r="L109" s="39">
        <v>540</v>
      </c>
      <c r="M109" s="39" t="s">
        <v>492</v>
      </c>
    </row>
    <row r="110" spans="1:13">
      <c r="A110" s="39">
        <v>23044</v>
      </c>
      <c r="B110" s="40" t="s">
        <v>54</v>
      </c>
      <c r="C110" s="40" t="s">
        <v>489</v>
      </c>
      <c r="D110" s="41" t="s">
        <v>506</v>
      </c>
      <c r="E110" s="42"/>
      <c r="F110" s="42"/>
      <c r="G110" s="42"/>
      <c r="H110" s="42"/>
      <c r="I110" s="39">
        <v>0</v>
      </c>
      <c r="J110" s="39">
        <v>0</v>
      </c>
      <c r="K110" s="39">
        <v>540</v>
      </c>
      <c r="L110" s="39">
        <v>540</v>
      </c>
      <c r="M110" s="39" t="s">
        <v>492</v>
      </c>
    </row>
    <row r="111" spans="1:13">
      <c r="A111" s="39">
        <v>23044</v>
      </c>
      <c r="B111" s="40" t="s">
        <v>54</v>
      </c>
      <c r="C111" s="40" t="s">
        <v>489</v>
      </c>
      <c r="D111" s="41" t="s">
        <v>507</v>
      </c>
      <c r="E111" s="42" t="s">
        <v>504</v>
      </c>
      <c r="F111" s="42"/>
      <c r="G111" s="42"/>
      <c r="H111" s="42"/>
      <c r="I111" s="39">
        <v>0</v>
      </c>
      <c r="J111" s="39">
        <v>0</v>
      </c>
      <c r="K111" s="39">
        <v>540</v>
      </c>
      <c r="L111" s="39">
        <v>540</v>
      </c>
      <c r="M111" s="39" t="s">
        <v>505</v>
      </c>
    </row>
    <row r="112" spans="1:13">
      <c r="A112" s="39">
        <v>23044</v>
      </c>
      <c r="B112" s="40" t="s">
        <v>54</v>
      </c>
      <c r="C112" s="40" t="s">
        <v>489</v>
      </c>
      <c r="D112" s="41" t="s">
        <v>509</v>
      </c>
      <c r="E112" s="42"/>
      <c r="F112" s="42"/>
      <c r="G112" s="42"/>
      <c r="H112" s="42"/>
      <c r="I112" s="39">
        <v>0</v>
      </c>
      <c r="J112" s="39">
        <v>0</v>
      </c>
      <c r="K112" s="39">
        <v>540</v>
      </c>
      <c r="L112" s="39">
        <v>540</v>
      </c>
      <c r="M112" s="39" t="s">
        <v>492</v>
      </c>
    </row>
    <row r="113" spans="1:13">
      <c r="A113" s="39">
        <v>23044</v>
      </c>
      <c r="B113" s="40" t="s">
        <v>54</v>
      </c>
      <c r="C113" s="40" t="s">
        <v>489</v>
      </c>
      <c r="D113" s="41" t="s">
        <v>510</v>
      </c>
      <c r="E113" s="42"/>
      <c r="F113" s="42"/>
      <c r="G113" s="42"/>
      <c r="H113" s="42"/>
      <c r="I113" s="39">
        <v>0</v>
      </c>
      <c r="J113" s="39">
        <v>0</v>
      </c>
      <c r="K113" s="39">
        <v>540</v>
      </c>
      <c r="L113" s="39">
        <v>540</v>
      </c>
      <c r="M113" s="39" t="s">
        <v>492</v>
      </c>
    </row>
    <row r="114" spans="1:13">
      <c r="A114" s="39">
        <v>23044</v>
      </c>
      <c r="B114" s="40" t="s">
        <v>54</v>
      </c>
      <c r="C114" s="40" t="s">
        <v>489</v>
      </c>
      <c r="D114" s="41" t="s">
        <v>512</v>
      </c>
      <c r="E114" s="42"/>
      <c r="F114" s="42"/>
      <c r="G114" s="42"/>
      <c r="H114" s="42"/>
      <c r="I114" s="39">
        <v>0</v>
      </c>
      <c r="J114" s="39">
        <v>0</v>
      </c>
      <c r="K114" s="39">
        <v>540</v>
      </c>
      <c r="L114" s="39">
        <v>540</v>
      </c>
      <c r="M114" s="39" t="s">
        <v>492</v>
      </c>
    </row>
    <row r="115" spans="1:13">
      <c r="A115" s="39">
        <v>23044</v>
      </c>
      <c r="B115" s="40" t="s">
        <v>54</v>
      </c>
      <c r="C115" s="40" t="s">
        <v>489</v>
      </c>
      <c r="D115" s="41" t="s">
        <v>513</v>
      </c>
      <c r="E115" s="42"/>
      <c r="F115" s="42"/>
      <c r="G115" s="42"/>
      <c r="H115" s="42"/>
      <c r="I115" s="39">
        <v>0</v>
      </c>
      <c r="J115" s="39">
        <v>0</v>
      </c>
      <c r="K115" s="39">
        <v>540</v>
      </c>
      <c r="L115" s="39">
        <v>540</v>
      </c>
      <c r="M115" s="39" t="s">
        <v>492</v>
      </c>
    </row>
    <row r="116" spans="1:13">
      <c r="A116" s="39">
        <v>23044</v>
      </c>
      <c r="B116" s="40" t="s">
        <v>54</v>
      </c>
      <c r="C116" s="40" t="s">
        <v>489</v>
      </c>
      <c r="D116" s="41" t="s">
        <v>518</v>
      </c>
      <c r="E116" s="42" t="s">
        <v>577</v>
      </c>
      <c r="F116" s="42"/>
      <c r="G116" s="42"/>
      <c r="H116" s="42"/>
      <c r="I116" s="39">
        <v>0</v>
      </c>
      <c r="J116" s="39">
        <v>0</v>
      </c>
      <c r="K116" s="39">
        <v>540</v>
      </c>
      <c r="L116" s="39">
        <v>540</v>
      </c>
      <c r="M116" s="39" t="s">
        <v>505</v>
      </c>
    </row>
    <row r="117" spans="1:13">
      <c r="A117" s="39">
        <v>23032</v>
      </c>
      <c r="B117" s="40" t="s">
        <v>110</v>
      </c>
      <c r="C117" s="40" t="s">
        <v>489</v>
      </c>
      <c r="D117" s="41" t="s">
        <v>490</v>
      </c>
      <c r="E117" s="42"/>
      <c r="F117" s="42"/>
      <c r="G117" s="42"/>
      <c r="H117" s="42"/>
      <c r="I117" s="39">
        <v>0</v>
      </c>
      <c r="J117" s="39">
        <v>0</v>
      </c>
      <c r="K117" s="39">
        <v>540</v>
      </c>
      <c r="L117" s="39">
        <v>540</v>
      </c>
      <c r="M117" s="39" t="s">
        <v>492</v>
      </c>
    </row>
    <row r="118" spans="1:13">
      <c r="A118" s="39">
        <v>23032</v>
      </c>
      <c r="B118" s="40" t="s">
        <v>110</v>
      </c>
      <c r="C118" s="40" t="s">
        <v>489</v>
      </c>
      <c r="D118" s="41" t="s">
        <v>491</v>
      </c>
      <c r="E118" s="42" t="s">
        <v>578</v>
      </c>
      <c r="F118" s="42" t="s">
        <v>579</v>
      </c>
      <c r="G118" s="42"/>
      <c r="H118" s="42"/>
      <c r="I118" s="39">
        <v>264</v>
      </c>
      <c r="J118" s="39">
        <v>0</v>
      </c>
      <c r="K118" s="39">
        <v>0</v>
      </c>
      <c r="L118" s="39">
        <v>264</v>
      </c>
      <c r="M118" s="39" t="s">
        <v>522</v>
      </c>
    </row>
    <row r="119" spans="1:13">
      <c r="A119" s="39">
        <v>23032</v>
      </c>
      <c r="B119" s="40" t="s">
        <v>110</v>
      </c>
      <c r="C119" s="40" t="s">
        <v>489</v>
      </c>
      <c r="D119" s="41" t="s">
        <v>494</v>
      </c>
      <c r="E119" s="42" t="s">
        <v>580</v>
      </c>
      <c r="F119" s="42" t="s">
        <v>581</v>
      </c>
      <c r="G119" s="42"/>
      <c r="H119" s="42"/>
      <c r="I119" s="39">
        <v>44</v>
      </c>
      <c r="J119" s="39">
        <v>0</v>
      </c>
      <c r="K119" s="39">
        <v>0</v>
      </c>
      <c r="L119" s="39">
        <v>44</v>
      </c>
      <c r="M119" s="39" t="s">
        <v>522</v>
      </c>
    </row>
    <row r="120" spans="1:13">
      <c r="A120" s="39">
        <v>23032</v>
      </c>
      <c r="B120" s="40" t="s">
        <v>110</v>
      </c>
      <c r="C120" s="40" t="s">
        <v>489</v>
      </c>
      <c r="D120" s="41" t="s">
        <v>495</v>
      </c>
      <c r="E120" s="42"/>
      <c r="F120" s="42"/>
      <c r="G120" s="42"/>
      <c r="H120" s="42"/>
      <c r="I120" s="39">
        <v>0</v>
      </c>
      <c r="J120" s="39">
        <v>0</v>
      </c>
      <c r="K120" s="39">
        <v>540</v>
      </c>
      <c r="L120" s="39">
        <v>540</v>
      </c>
      <c r="M120" s="39" t="s">
        <v>492</v>
      </c>
    </row>
    <row r="121" spans="1:13">
      <c r="A121" s="39">
        <v>23032</v>
      </c>
      <c r="B121" s="40" t="s">
        <v>110</v>
      </c>
      <c r="C121" s="40" t="s">
        <v>489</v>
      </c>
      <c r="D121" s="41" t="s">
        <v>497</v>
      </c>
      <c r="E121" s="42" t="s">
        <v>519</v>
      </c>
      <c r="F121" s="42" t="s">
        <v>582</v>
      </c>
      <c r="G121" s="42"/>
      <c r="H121" s="42"/>
      <c r="I121" s="39">
        <v>0</v>
      </c>
      <c r="J121" s="39">
        <v>303</v>
      </c>
      <c r="K121" s="39">
        <v>0</v>
      </c>
      <c r="L121" s="39">
        <v>303</v>
      </c>
      <c r="M121" s="39" t="s">
        <v>505</v>
      </c>
    </row>
    <row r="122" spans="1:13">
      <c r="A122" s="39">
        <v>23032</v>
      </c>
      <c r="B122" s="40" t="s">
        <v>110</v>
      </c>
      <c r="C122" s="40" t="s">
        <v>489</v>
      </c>
      <c r="D122" s="41" t="s">
        <v>501</v>
      </c>
      <c r="E122" s="42" t="s">
        <v>583</v>
      </c>
      <c r="F122" s="42" t="s">
        <v>584</v>
      </c>
      <c r="G122" s="42"/>
      <c r="H122" s="42"/>
      <c r="I122" s="39">
        <v>107</v>
      </c>
      <c r="J122" s="39">
        <v>0</v>
      </c>
      <c r="K122" s="39">
        <v>0</v>
      </c>
      <c r="L122" s="39">
        <v>107</v>
      </c>
      <c r="M122" s="39" t="s">
        <v>522</v>
      </c>
    </row>
    <row r="123" spans="1:13">
      <c r="A123" s="39">
        <v>23032</v>
      </c>
      <c r="B123" s="40" t="s">
        <v>110</v>
      </c>
      <c r="C123" s="40" t="s">
        <v>489</v>
      </c>
      <c r="D123" s="41" t="s">
        <v>506</v>
      </c>
      <c r="E123" s="42"/>
      <c r="F123" s="42"/>
      <c r="G123" s="42"/>
      <c r="H123" s="42"/>
      <c r="I123" s="39">
        <v>0</v>
      </c>
      <c r="J123" s="39">
        <v>0</v>
      </c>
      <c r="K123" s="39">
        <v>540</v>
      </c>
      <c r="L123" s="39">
        <v>540</v>
      </c>
      <c r="M123" s="39" t="s">
        <v>492</v>
      </c>
    </row>
    <row r="124" spans="1:13">
      <c r="A124" s="39">
        <v>23032</v>
      </c>
      <c r="B124" s="40" t="s">
        <v>110</v>
      </c>
      <c r="C124" s="40" t="s">
        <v>489</v>
      </c>
      <c r="D124" s="41" t="s">
        <v>540</v>
      </c>
      <c r="E124" s="42" t="s">
        <v>523</v>
      </c>
      <c r="F124" s="42" t="s">
        <v>579</v>
      </c>
      <c r="G124" s="42"/>
      <c r="H124" s="42"/>
      <c r="I124" s="39">
        <v>29</v>
      </c>
      <c r="J124" s="39">
        <v>0</v>
      </c>
      <c r="K124" s="39">
        <v>0</v>
      </c>
      <c r="L124" s="39">
        <v>29</v>
      </c>
      <c r="M124" s="39" t="s">
        <v>505</v>
      </c>
    </row>
    <row r="125" spans="1:13">
      <c r="A125" s="39">
        <v>23032</v>
      </c>
      <c r="B125" s="40" t="s">
        <v>110</v>
      </c>
      <c r="C125" s="40" t="s">
        <v>489</v>
      </c>
      <c r="D125" s="41" t="s">
        <v>512</v>
      </c>
      <c r="E125" s="42"/>
      <c r="F125" s="42"/>
      <c r="G125" s="42"/>
      <c r="H125" s="42"/>
      <c r="I125" s="39">
        <v>0</v>
      </c>
      <c r="J125" s="39">
        <v>0</v>
      </c>
      <c r="K125" s="39">
        <v>540</v>
      </c>
      <c r="L125" s="39">
        <v>540</v>
      </c>
      <c r="M125" s="39" t="s">
        <v>492</v>
      </c>
    </row>
    <row r="126" spans="1:13">
      <c r="A126" s="39">
        <v>23032</v>
      </c>
      <c r="B126" s="40" t="s">
        <v>110</v>
      </c>
      <c r="C126" s="40" t="s">
        <v>489</v>
      </c>
      <c r="D126" s="41" t="s">
        <v>513</v>
      </c>
      <c r="E126" s="42" t="s">
        <v>514</v>
      </c>
      <c r="F126" s="42" t="s">
        <v>585</v>
      </c>
      <c r="G126" s="42"/>
      <c r="H126" s="42"/>
      <c r="I126" s="39">
        <v>0</v>
      </c>
      <c r="J126" s="39">
        <v>192</v>
      </c>
      <c r="K126" s="39">
        <v>0</v>
      </c>
      <c r="L126" s="39">
        <v>192</v>
      </c>
      <c r="M126" s="39" t="s">
        <v>505</v>
      </c>
    </row>
    <row r="127" spans="1:13">
      <c r="A127" s="39">
        <v>23032</v>
      </c>
      <c r="B127" s="40" t="s">
        <v>110</v>
      </c>
      <c r="C127" s="40" t="s">
        <v>489</v>
      </c>
      <c r="D127" s="41" t="s">
        <v>517</v>
      </c>
      <c r="E127" s="42" t="s">
        <v>523</v>
      </c>
      <c r="F127" s="42" t="s">
        <v>581</v>
      </c>
      <c r="G127" s="42"/>
      <c r="H127" s="42"/>
      <c r="I127" s="39">
        <v>29</v>
      </c>
      <c r="J127" s="39">
        <v>0</v>
      </c>
      <c r="K127" s="39">
        <v>0</v>
      </c>
      <c r="L127" s="39">
        <v>29</v>
      </c>
      <c r="M127" s="39" t="s">
        <v>505</v>
      </c>
    </row>
    <row r="128" spans="1:13">
      <c r="A128" s="39">
        <v>23032</v>
      </c>
      <c r="B128" s="40" t="s">
        <v>110</v>
      </c>
      <c r="C128" s="40" t="s">
        <v>489</v>
      </c>
      <c r="D128" s="41" t="s">
        <v>518</v>
      </c>
      <c r="E128" s="42" t="s">
        <v>586</v>
      </c>
      <c r="F128" s="42"/>
      <c r="G128" s="42"/>
      <c r="H128" s="42"/>
      <c r="I128" s="39">
        <v>0</v>
      </c>
      <c r="J128" s="39">
        <v>0</v>
      </c>
      <c r="K128" s="39">
        <v>540</v>
      </c>
      <c r="L128" s="39">
        <v>540</v>
      </c>
      <c r="M128" s="39" t="s">
        <v>505</v>
      </c>
    </row>
    <row r="129" spans="1:13">
      <c r="A129" s="39">
        <v>22017</v>
      </c>
      <c r="B129" s="40" t="s">
        <v>32</v>
      </c>
      <c r="C129" s="40" t="s">
        <v>489</v>
      </c>
      <c r="D129" s="41" t="s">
        <v>490</v>
      </c>
      <c r="E129" s="42"/>
      <c r="F129" s="42"/>
      <c r="G129" s="42"/>
      <c r="H129" s="42"/>
      <c r="I129" s="39">
        <v>0</v>
      </c>
      <c r="J129" s="39">
        <v>0</v>
      </c>
      <c r="K129" s="39">
        <v>540</v>
      </c>
      <c r="L129" s="39">
        <v>540</v>
      </c>
      <c r="M129" s="39" t="s">
        <v>492</v>
      </c>
    </row>
    <row r="130" spans="1:13">
      <c r="A130" s="39">
        <v>22017</v>
      </c>
      <c r="B130" s="40" t="s">
        <v>32</v>
      </c>
      <c r="C130" s="40" t="s">
        <v>489</v>
      </c>
      <c r="D130" s="41" t="s">
        <v>491</v>
      </c>
      <c r="E130" s="42" t="s">
        <v>587</v>
      </c>
      <c r="F130" s="42" t="s">
        <v>588</v>
      </c>
      <c r="G130" s="42"/>
      <c r="H130" s="42"/>
      <c r="I130" s="39">
        <v>243</v>
      </c>
      <c r="J130" s="39">
        <v>0</v>
      </c>
      <c r="K130" s="39">
        <v>0</v>
      </c>
      <c r="L130" s="39">
        <v>243</v>
      </c>
      <c r="M130" s="39" t="s">
        <v>522</v>
      </c>
    </row>
    <row r="131" spans="1:13">
      <c r="A131" s="39">
        <v>22017</v>
      </c>
      <c r="B131" s="40" t="s">
        <v>32</v>
      </c>
      <c r="C131" s="40" t="s">
        <v>489</v>
      </c>
      <c r="D131" s="41" t="s">
        <v>494</v>
      </c>
      <c r="E131" s="42"/>
      <c r="F131" s="42"/>
      <c r="G131" s="42"/>
      <c r="H131" s="42"/>
      <c r="I131" s="39">
        <v>0</v>
      </c>
      <c r="J131" s="39">
        <v>0</v>
      </c>
      <c r="K131" s="39">
        <v>540</v>
      </c>
      <c r="L131" s="39">
        <v>540</v>
      </c>
      <c r="M131" s="39" t="s">
        <v>492</v>
      </c>
    </row>
    <row r="132" spans="1:13">
      <c r="A132" s="39">
        <v>22017</v>
      </c>
      <c r="B132" s="40" t="s">
        <v>32</v>
      </c>
      <c r="C132" s="40" t="s">
        <v>489</v>
      </c>
      <c r="D132" s="41" t="s">
        <v>506</v>
      </c>
      <c r="E132" s="42"/>
      <c r="F132" s="42"/>
      <c r="G132" s="42"/>
      <c r="H132" s="42"/>
      <c r="I132" s="39">
        <v>0</v>
      </c>
      <c r="J132" s="39">
        <v>0</v>
      </c>
      <c r="K132" s="39">
        <v>540</v>
      </c>
      <c r="L132" s="39">
        <v>540</v>
      </c>
      <c r="M132" s="39" t="s">
        <v>492</v>
      </c>
    </row>
    <row r="133" spans="1:13">
      <c r="A133" s="39">
        <v>22017</v>
      </c>
      <c r="B133" s="40" t="s">
        <v>32</v>
      </c>
      <c r="C133" s="40" t="s">
        <v>489</v>
      </c>
      <c r="D133" s="41" t="s">
        <v>512</v>
      </c>
      <c r="E133" s="42"/>
      <c r="F133" s="42"/>
      <c r="G133" s="42"/>
      <c r="H133" s="42"/>
      <c r="I133" s="39">
        <v>0</v>
      </c>
      <c r="J133" s="39">
        <v>0</v>
      </c>
      <c r="K133" s="39">
        <v>540</v>
      </c>
      <c r="L133" s="39">
        <v>540</v>
      </c>
      <c r="M133" s="39" t="s">
        <v>492</v>
      </c>
    </row>
    <row r="134" spans="1:13">
      <c r="A134" s="39">
        <v>22017</v>
      </c>
      <c r="B134" s="40" t="s">
        <v>32</v>
      </c>
      <c r="C134" s="40" t="s">
        <v>489</v>
      </c>
      <c r="D134" s="41" t="s">
        <v>513</v>
      </c>
      <c r="E134" s="42" t="s">
        <v>589</v>
      </c>
      <c r="F134" s="42" t="s">
        <v>590</v>
      </c>
      <c r="G134" s="42"/>
      <c r="H134" s="42"/>
      <c r="I134" s="39">
        <v>0</v>
      </c>
      <c r="J134" s="39">
        <v>121</v>
      </c>
      <c r="K134" s="39">
        <v>0</v>
      </c>
      <c r="L134" s="39">
        <v>121</v>
      </c>
      <c r="M134" s="39" t="s">
        <v>505</v>
      </c>
    </row>
    <row r="135" spans="1:13">
      <c r="A135" s="39">
        <v>22017</v>
      </c>
      <c r="B135" s="40" t="s">
        <v>32</v>
      </c>
      <c r="C135" s="40" t="s">
        <v>489</v>
      </c>
      <c r="D135" s="41" t="s">
        <v>518</v>
      </c>
      <c r="E135" s="42" t="s">
        <v>504</v>
      </c>
      <c r="F135" s="42"/>
      <c r="G135" s="42"/>
      <c r="H135" s="42"/>
      <c r="I135" s="39">
        <v>0</v>
      </c>
      <c r="J135" s="39">
        <v>0</v>
      </c>
      <c r="K135" s="39">
        <v>540</v>
      </c>
      <c r="L135" s="39">
        <v>540</v>
      </c>
      <c r="M135" s="39" t="s">
        <v>505</v>
      </c>
    </row>
    <row r="136" spans="1:13">
      <c r="A136" s="39">
        <v>22014</v>
      </c>
      <c r="B136" s="40" t="s">
        <v>29</v>
      </c>
      <c r="C136" s="40" t="s">
        <v>489</v>
      </c>
      <c r="D136" s="41" t="s">
        <v>490</v>
      </c>
      <c r="E136" s="42"/>
      <c r="F136" s="42"/>
      <c r="G136" s="42"/>
      <c r="H136" s="42"/>
      <c r="I136" s="39">
        <v>0</v>
      </c>
      <c r="J136" s="39">
        <v>0</v>
      </c>
      <c r="K136" s="39">
        <v>540</v>
      </c>
      <c r="L136" s="39">
        <v>540</v>
      </c>
      <c r="M136" s="39" t="s">
        <v>492</v>
      </c>
    </row>
    <row r="137" spans="1:13">
      <c r="A137" s="39">
        <v>22014</v>
      </c>
      <c r="B137" s="40" t="s">
        <v>29</v>
      </c>
      <c r="C137" s="40" t="s">
        <v>489</v>
      </c>
      <c r="D137" s="41" t="s">
        <v>491</v>
      </c>
      <c r="E137" s="42" t="s">
        <v>591</v>
      </c>
      <c r="F137" s="42" t="s">
        <v>581</v>
      </c>
      <c r="G137" s="42"/>
      <c r="H137" s="42"/>
      <c r="I137" s="39">
        <v>260</v>
      </c>
      <c r="J137" s="39">
        <v>0</v>
      </c>
      <c r="K137" s="39">
        <v>0</v>
      </c>
      <c r="L137" s="39">
        <v>260</v>
      </c>
      <c r="M137" s="39" t="s">
        <v>522</v>
      </c>
    </row>
    <row r="138" spans="1:13">
      <c r="A138" s="39">
        <v>22014</v>
      </c>
      <c r="B138" s="40" t="s">
        <v>29</v>
      </c>
      <c r="C138" s="40" t="s">
        <v>489</v>
      </c>
      <c r="D138" s="41" t="s">
        <v>493</v>
      </c>
      <c r="E138" s="42" t="s">
        <v>592</v>
      </c>
      <c r="F138" s="42"/>
      <c r="G138" s="42"/>
      <c r="H138" s="42"/>
      <c r="I138" s="39">
        <v>0</v>
      </c>
      <c r="J138" s="39">
        <v>0</v>
      </c>
      <c r="K138" s="39">
        <v>540</v>
      </c>
      <c r="L138" s="39">
        <v>540</v>
      </c>
      <c r="M138" s="39" t="s">
        <v>505</v>
      </c>
    </row>
    <row r="139" spans="1:13">
      <c r="A139" s="39">
        <v>22014</v>
      </c>
      <c r="B139" s="40" t="s">
        <v>29</v>
      </c>
      <c r="C139" s="40" t="s">
        <v>489</v>
      </c>
      <c r="D139" s="41" t="s">
        <v>495</v>
      </c>
      <c r="E139" s="42"/>
      <c r="F139" s="42"/>
      <c r="G139" s="42"/>
      <c r="H139" s="42"/>
      <c r="I139" s="39">
        <v>0</v>
      </c>
      <c r="J139" s="39">
        <v>0</v>
      </c>
      <c r="K139" s="39">
        <v>540</v>
      </c>
      <c r="L139" s="39">
        <v>540</v>
      </c>
      <c r="M139" s="39" t="s">
        <v>492</v>
      </c>
    </row>
    <row r="140" spans="1:13">
      <c r="A140" s="39">
        <v>22014</v>
      </c>
      <c r="B140" s="40" t="s">
        <v>29</v>
      </c>
      <c r="C140" s="40" t="s">
        <v>489</v>
      </c>
      <c r="D140" s="41" t="s">
        <v>496</v>
      </c>
      <c r="E140" s="42" t="s">
        <v>593</v>
      </c>
      <c r="F140" s="42"/>
      <c r="G140" s="42"/>
      <c r="H140" s="42"/>
      <c r="I140" s="39">
        <v>0</v>
      </c>
      <c r="J140" s="39">
        <v>0</v>
      </c>
      <c r="K140" s="39">
        <v>540</v>
      </c>
      <c r="L140" s="39">
        <v>540</v>
      </c>
      <c r="M140" s="39" t="s">
        <v>505</v>
      </c>
    </row>
    <row r="141" spans="1:13">
      <c r="A141" s="39">
        <v>22014</v>
      </c>
      <c r="B141" s="40" t="s">
        <v>29</v>
      </c>
      <c r="C141" s="40" t="s">
        <v>489</v>
      </c>
      <c r="D141" s="41" t="s">
        <v>498</v>
      </c>
      <c r="E141" s="42" t="s">
        <v>593</v>
      </c>
      <c r="F141" s="42"/>
      <c r="G141" s="42"/>
      <c r="H141" s="42"/>
      <c r="I141" s="39">
        <v>0</v>
      </c>
      <c r="J141" s="39">
        <v>0</v>
      </c>
      <c r="K141" s="39">
        <v>540</v>
      </c>
      <c r="L141" s="39">
        <v>540</v>
      </c>
      <c r="M141" s="39" t="s">
        <v>505</v>
      </c>
    </row>
    <row r="142" spans="1:13">
      <c r="A142" s="39">
        <v>22014</v>
      </c>
      <c r="B142" s="40" t="s">
        <v>29</v>
      </c>
      <c r="C142" s="40" t="s">
        <v>489</v>
      </c>
      <c r="D142" s="41" t="s">
        <v>506</v>
      </c>
      <c r="E142" s="42"/>
      <c r="F142" s="42"/>
      <c r="G142" s="42"/>
      <c r="H142" s="42"/>
      <c r="I142" s="39">
        <v>0</v>
      </c>
      <c r="J142" s="39">
        <v>0</v>
      </c>
      <c r="K142" s="39">
        <v>540</v>
      </c>
      <c r="L142" s="39">
        <v>540</v>
      </c>
      <c r="M142" s="39" t="s">
        <v>492</v>
      </c>
    </row>
    <row r="143" spans="1:13">
      <c r="A143" s="39">
        <v>22014</v>
      </c>
      <c r="B143" s="40" t="s">
        <v>29</v>
      </c>
      <c r="C143" s="40" t="s">
        <v>489</v>
      </c>
      <c r="D143" s="41" t="s">
        <v>512</v>
      </c>
      <c r="E143" s="42"/>
      <c r="F143" s="42"/>
      <c r="G143" s="42"/>
      <c r="H143" s="42"/>
      <c r="I143" s="39">
        <v>0</v>
      </c>
      <c r="J143" s="39">
        <v>0</v>
      </c>
      <c r="K143" s="39">
        <v>540</v>
      </c>
      <c r="L143" s="39">
        <v>540</v>
      </c>
      <c r="M143" s="39" t="s">
        <v>492</v>
      </c>
    </row>
    <row r="144" spans="1:13">
      <c r="A144" s="39">
        <v>22014</v>
      </c>
      <c r="B144" s="40" t="s">
        <v>29</v>
      </c>
      <c r="C144" s="40" t="s">
        <v>489</v>
      </c>
      <c r="D144" s="41" t="s">
        <v>513</v>
      </c>
      <c r="E144" s="42"/>
      <c r="F144" s="42"/>
      <c r="G144" s="42"/>
      <c r="H144" s="42"/>
      <c r="I144" s="39">
        <v>0</v>
      </c>
      <c r="J144" s="39">
        <v>0</v>
      </c>
      <c r="K144" s="39">
        <v>540</v>
      </c>
      <c r="L144" s="39">
        <v>540</v>
      </c>
      <c r="M144" s="39" t="s">
        <v>492</v>
      </c>
    </row>
    <row r="145" spans="1:13">
      <c r="A145" s="39">
        <v>22014</v>
      </c>
      <c r="B145" s="40" t="s">
        <v>29</v>
      </c>
      <c r="C145" s="40" t="s">
        <v>489</v>
      </c>
      <c r="D145" s="41" t="s">
        <v>518</v>
      </c>
      <c r="E145" s="42" t="s">
        <v>594</v>
      </c>
      <c r="F145" s="42"/>
      <c r="G145" s="42"/>
      <c r="H145" s="42"/>
      <c r="I145" s="39">
        <v>0</v>
      </c>
      <c r="J145" s="39">
        <v>0</v>
      </c>
      <c r="K145" s="39">
        <v>540</v>
      </c>
      <c r="L145" s="39">
        <v>540</v>
      </c>
      <c r="M145" s="39" t="s">
        <v>505</v>
      </c>
    </row>
    <row r="146" spans="1:13">
      <c r="A146" s="39">
        <v>23037</v>
      </c>
      <c r="B146" s="40" t="s">
        <v>47</v>
      </c>
      <c r="C146" s="40" t="s">
        <v>489</v>
      </c>
      <c r="D146" s="41" t="s">
        <v>490</v>
      </c>
      <c r="E146" s="42"/>
      <c r="F146" s="42"/>
      <c r="G146" s="42"/>
      <c r="H146" s="42"/>
      <c r="I146" s="39">
        <v>0</v>
      </c>
      <c r="J146" s="39">
        <v>0</v>
      </c>
      <c r="K146" s="39">
        <v>540</v>
      </c>
      <c r="L146" s="39">
        <v>540</v>
      </c>
      <c r="M146" s="39" t="s">
        <v>492</v>
      </c>
    </row>
    <row r="147" spans="1:13">
      <c r="A147" s="39">
        <v>23037</v>
      </c>
      <c r="B147" s="40" t="s">
        <v>47</v>
      </c>
      <c r="C147" s="40" t="s">
        <v>489</v>
      </c>
      <c r="D147" s="41" t="s">
        <v>491</v>
      </c>
      <c r="E147" s="42" t="s">
        <v>595</v>
      </c>
      <c r="F147" s="42" t="s">
        <v>560</v>
      </c>
      <c r="G147" s="42"/>
      <c r="H147" s="42"/>
      <c r="I147" s="39">
        <v>259</v>
      </c>
      <c r="J147" s="39">
        <v>0</v>
      </c>
      <c r="K147" s="39">
        <v>0</v>
      </c>
      <c r="L147" s="39">
        <v>259</v>
      </c>
      <c r="M147" s="39" t="s">
        <v>522</v>
      </c>
    </row>
    <row r="148" spans="1:13">
      <c r="A148" s="39">
        <v>23037</v>
      </c>
      <c r="B148" s="40" t="s">
        <v>47</v>
      </c>
      <c r="C148" s="40" t="s">
        <v>489</v>
      </c>
      <c r="D148" s="41" t="s">
        <v>498</v>
      </c>
      <c r="E148" s="42" t="s">
        <v>596</v>
      </c>
      <c r="F148" s="42" t="s">
        <v>552</v>
      </c>
      <c r="G148" s="42"/>
      <c r="H148" s="42"/>
      <c r="I148" s="39">
        <v>218</v>
      </c>
      <c r="J148" s="39">
        <v>0</v>
      </c>
      <c r="K148" s="39">
        <v>0</v>
      </c>
      <c r="L148" s="39">
        <v>218</v>
      </c>
      <c r="M148" s="39" t="s">
        <v>522</v>
      </c>
    </row>
    <row r="149" spans="1:13">
      <c r="A149" s="39">
        <v>23037</v>
      </c>
      <c r="B149" s="40" t="s">
        <v>47</v>
      </c>
      <c r="C149" s="40" t="s">
        <v>489</v>
      </c>
      <c r="D149" s="41" t="s">
        <v>506</v>
      </c>
      <c r="E149" s="42"/>
      <c r="F149" s="42"/>
      <c r="G149" s="42"/>
      <c r="H149" s="42"/>
      <c r="I149" s="39">
        <v>0</v>
      </c>
      <c r="J149" s="39">
        <v>0</v>
      </c>
      <c r="K149" s="39">
        <v>540</v>
      </c>
      <c r="L149" s="39">
        <v>540</v>
      </c>
      <c r="M149" s="39" t="s">
        <v>492</v>
      </c>
    </row>
    <row r="150" spans="1:13">
      <c r="A150" s="39">
        <v>23037</v>
      </c>
      <c r="B150" s="40" t="s">
        <v>47</v>
      </c>
      <c r="C150" s="40" t="s">
        <v>489</v>
      </c>
      <c r="D150" s="41" t="s">
        <v>543</v>
      </c>
      <c r="E150" s="42"/>
      <c r="F150" s="42"/>
      <c r="G150" s="42"/>
      <c r="H150" s="42"/>
      <c r="I150" s="39">
        <v>0</v>
      </c>
      <c r="J150" s="39">
        <v>0</v>
      </c>
      <c r="K150" s="39">
        <v>540</v>
      </c>
      <c r="L150" s="39">
        <v>540</v>
      </c>
      <c r="M150" s="39" t="s">
        <v>492</v>
      </c>
    </row>
    <row r="151" spans="1:13">
      <c r="A151" s="39">
        <v>23037</v>
      </c>
      <c r="B151" s="40" t="s">
        <v>47</v>
      </c>
      <c r="C151" s="40" t="s">
        <v>489</v>
      </c>
      <c r="D151" s="41" t="s">
        <v>512</v>
      </c>
      <c r="E151" s="42"/>
      <c r="F151" s="42"/>
      <c r="G151" s="42"/>
      <c r="H151" s="42"/>
      <c r="I151" s="39">
        <v>0</v>
      </c>
      <c r="J151" s="39">
        <v>0</v>
      </c>
      <c r="K151" s="39">
        <v>540</v>
      </c>
      <c r="L151" s="39">
        <v>540</v>
      </c>
      <c r="M151" s="39" t="s">
        <v>492</v>
      </c>
    </row>
    <row r="152" spans="1:13">
      <c r="A152" s="39">
        <v>23037</v>
      </c>
      <c r="B152" s="40" t="s">
        <v>47</v>
      </c>
      <c r="C152" s="40" t="s">
        <v>489</v>
      </c>
      <c r="D152" s="41" t="s">
        <v>513</v>
      </c>
      <c r="E152" s="42" t="s">
        <v>589</v>
      </c>
      <c r="F152" s="42" t="s">
        <v>597</v>
      </c>
      <c r="G152" s="42"/>
      <c r="H152" s="42"/>
      <c r="I152" s="39">
        <v>0</v>
      </c>
      <c r="J152" s="39">
        <v>122</v>
      </c>
      <c r="K152" s="39">
        <v>0</v>
      </c>
      <c r="L152" s="39">
        <v>122</v>
      </c>
      <c r="M152" s="39" t="s">
        <v>505</v>
      </c>
    </row>
    <row r="153" spans="1:13">
      <c r="A153" s="39">
        <v>23037</v>
      </c>
      <c r="B153" s="40" t="s">
        <v>47</v>
      </c>
      <c r="C153" s="40" t="s">
        <v>489</v>
      </c>
      <c r="D153" s="41" t="s">
        <v>518</v>
      </c>
      <c r="E153" s="42" t="s">
        <v>598</v>
      </c>
      <c r="F153" s="42"/>
      <c r="G153" s="42"/>
      <c r="H153" s="42"/>
      <c r="I153" s="39">
        <v>0</v>
      </c>
      <c r="J153" s="39">
        <v>0</v>
      </c>
      <c r="K153" s="39">
        <v>540</v>
      </c>
      <c r="L153" s="39">
        <v>540</v>
      </c>
      <c r="M153" s="39" t="s">
        <v>505</v>
      </c>
    </row>
    <row r="154" spans="1:13">
      <c r="A154" s="39">
        <v>23047</v>
      </c>
      <c r="B154" s="40" t="s">
        <v>57</v>
      </c>
      <c r="C154" s="40" t="s">
        <v>489</v>
      </c>
      <c r="D154" s="41" t="s">
        <v>490</v>
      </c>
      <c r="E154" s="42"/>
      <c r="F154" s="42"/>
      <c r="G154" s="42"/>
      <c r="H154" s="42"/>
      <c r="I154" s="39">
        <v>0</v>
      </c>
      <c r="J154" s="39">
        <v>0</v>
      </c>
      <c r="K154" s="39">
        <v>540</v>
      </c>
      <c r="L154" s="39">
        <v>540</v>
      </c>
      <c r="M154" s="39" t="s">
        <v>492</v>
      </c>
    </row>
    <row r="155" spans="1:13">
      <c r="A155" s="39">
        <v>23047</v>
      </c>
      <c r="B155" s="40" t="s">
        <v>57</v>
      </c>
      <c r="C155" s="40" t="s">
        <v>489</v>
      </c>
      <c r="D155" s="41" t="s">
        <v>491</v>
      </c>
      <c r="E155" s="42" t="s">
        <v>599</v>
      </c>
      <c r="F155" s="42" t="s">
        <v>600</v>
      </c>
      <c r="G155" s="42"/>
      <c r="H155" s="42"/>
      <c r="I155" s="39">
        <v>258</v>
      </c>
      <c r="J155" s="39">
        <v>131</v>
      </c>
      <c r="K155" s="39">
        <v>0</v>
      </c>
      <c r="L155" s="39">
        <v>389</v>
      </c>
      <c r="M155" s="39" t="s">
        <v>522</v>
      </c>
    </row>
    <row r="156" spans="1:13">
      <c r="A156" s="39">
        <v>23047</v>
      </c>
      <c r="B156" s="40" t="s">
        <v>57</v>
      </c>
      <c r="C156" s="40" t="s">
        <v>489</v>
      </c>
      <c r="D156" s="41" t="s">
        <v>493</v>
      </c>
      <c r="E156" s="42"/>
      <c r="F156" s="42"/>
      <c r="G156" s="42"/>
      <c r="H156" s="42"/>
      <c r="I156" s="39">
        <v>0</v>
      </c>
      <c r="J156" s="39">
        <v>0</v>
      </c>
      <c r="K156" s="39">
        <v>540</v>
      </c>
      <c r="L156" s="39">
        <v>540</v>
      </c>
      <c r="M156" s="39" t="s">
        <v>492</v>
      </c>
    </row>
    <row r="157" spans="1:13">
      <c r="A157" s="39">
        <v>23047</v>
      </c>
      <c r="B157" s="40" t="s">
        <v>57</v>
      </c>
      <c r="C157" s="40" t="s">
        <v>489</v>
      </c>
      <c r="D157" s="41" t="s">
        <v>494</v>
      </c>
      <c r="E157" s="42"/>
      <c r="F157" s="42"/>
      <c r="G157" s="42"/>
      <c r="H157" s="42"/>
      <c r="I157" s="39">
        <v>0</v>
      </c>
      <c r="J157" s="39">
        <v>0</v>
      </c>
      <c r="K157" s="39">
        <v>540</v>
      </c>
      <c r="L157" s="39">
        <v>540</v>
      </c>
      <c r="M157" s="39" t="s">
        <v>492</v>
      </c>
    </row>
    <row r="158" spans="1:13">
      <c r="A158" s="39">
        <v>23047</v>
      </c>
      <c r="B158" s="40" t="s">
        <v>57</v>
      </c>
      <c r="C158" s="40" t="s">
        <v>489</v>
      </c>
      <c r="D158" s="41" t="s">
        <v>495</v>
      </c>
      <c r="E158" s="42"/>
      <c r="F158" s="42"/>
      <c r="G158" s="42"/>
      <c r="H158" s="42"/>
      <c r="I158" s="39">
        <v>0</v>
      </c>
      <c r="J158" s="39">
        <v>0</v>
      </c>
      <c r="K158" s="39">
        <v>540</v>
      </c>
      <c r="L158" s="39">
        <v>540</v>
      </c>
      <c r="M158" s="39" t="s">
        <v>492</v>
      </c>
    </row>
    <row r="159" spans="1:13">
      <c r="A159" s="39">
        <v>23047</v>
      </c>
      <c r="B159" s="40" t="s">
        <v>57</v>
      </c>
      <c r="C159" s="40" t="s">
        <v>489</v>
      </c>
      <c r="D159" s="41" t="s">
        <v>496</v>
      </c>
      <c r="E159" s="42"/>
      <c r="F159" s="42"/>
      <c r="G159" s="42"/>
      <c r="H159" s="42"/>
      <c r="I159" s="39">
        <v>0</v>
      </c>
      <c r="J159" s="39">
        <v>0</v>
      </c>
      <c r="K159" s="39">
        <v>540</v>
      </c>
      <c r="L159" s="39">
        <v>540</v>
      </c>
      <c r="M159" s="39" t="s">
        <v>492</v>
      </c>
    </row>
    <row r="160" spans="1:13">
      <c r="A160" s="39">
        <v>23047</v>
      </c>
      <c r="B160" s="40" t="s">
        <v>57</v>
      </c>
      <c r="C160" s="40" t="s">
        <v>489</v>
      </c>
      <c r="D160" s="41" t="s">
        <v>497</v>
      </c>
      <c r="E160" s="42" t="s">
        <v>511</v>
      </c>
      <c r="F160" s="42"/>
      <c r="G160" s="42"/>
      <c r="H160" s="42"/>
      <c r="I160" s="39">
        <v>0</v>
      </c>
      <c r="J160" s="39">
        <v>0</v>
      </c>
      <c r="K160" s="39">
        <v>540</v>
      </c>
      <c r="L160" s="39">
        <v>540</v>
      </c>
      <c r="M160" s="39" t="s">
        <v>505</v>
      </c>
    </row>
    <row r="161" spans="1:13">
      <c r="A161" s="39">
        <v>23047</v>
      </c>
      <c r="B161" s="40" t="s">
        <v>57</v>
      </c>
      <c r="C161" s="40" t="s">
        <v>489</v>
      </c>
      <c r="D161" s="41" t="s">
        <v>506</v>
      </c>
      <c r="E161" s="42"/>
      <c r="F161" s="42"/>
      <c r="G161" s="42"/>
      <c r="H161" s="42"/>
      <c r="I161" s="39">
        <v>0</v>
      </c>
      <c r="J161" s="39">
        <v>0</v>
      </c>
      <c r="K161" s="39">
        <v>540</v>
      </c>
      <c r="L161" s="39">
        <v>540</v>
      </c>
      <c r="M161" s="39" t="s">
        <v>492</v>
      </c>
    </row>
    <row r="162" spans="1:13">
      <c r="A162" s="39">
        <v>23047</v>
      </c>
      <c r="B162" s="40" t="s">
        <v>57</v>
      </c>
      <c r="C162" s="40" t="s">
        <v>489</v>
      </c>
      <c r="D162" s="41" t="s">
        <v>507</v>
      </c>
      <c r="E162" s="42"/>
      <c r="F162" s="42"/>
      <c r="G162" s="42"/>
      <c r="H162" s="42"/>
      <c r="I162" s="39">
        <v>0</v>
      </c>
      <c r="J162" s="39">
        <v>0</v>
      </c>
      <c r="K162" s="39">
        <v>540</v>
      </c>
      <c r="L162" s="39">
        <v>540</v>
      </c>
      <c r="M162" s="39" t="s">
        <v>492</v>
      </c>
    </row>
    <row r="163" spans="1:13">
      <c r="A163" s="39">
        <v>23047</v>
      </c>
      <c r="B163" s="40" t="s">
        <v>57</v>
      </c>
      <c r="C163" s="40" t="s">
        <v>489</v>
      </c>
      <c r="D163" s="41" t="s">
        <v>508</v>
      </c>
      <c r="E163" s="42"/>
      <c r="F163" s="42" t="s">
        <v>601</v>
      </c>
      <c r="G163" s="42"/>
      <c r="H163" s="42"/>
      <c r="I163" s="39">
        <v>0</v>
      </c>
      <c r="J163" s="39">
        <v>0</v>
      </c>
      <c r="K163" s="39">
        <v>540</v>
      </c>
      <c r="L163" s="39">
        <v>540</v>
      </c>
      <c r="M163" s="39" t="s">
        <v>492</v>
      </c>
    </row>
    <row r="164" spans="1:13">
      <c r="A164" s="39">
        <v>23047</v>
      </c>
      <c r="B164" s="40" t="s">
        <v>57</v>
      </c>
      <c r="C164" s="40" t="s">
        <v>489</v>
      </c>
      <c r="D164" s="41" t="s">
        <v>509</v>
      </c>
      <c r="E164" s="42" t="s">
        <v>504</v>
      </c>
      <c r="F164" s="42"/>
      <c r="G164" s="42"/>
      <c r="H164" s="42"/>
      <c r="I164" s="39">
        <v>0</v>
      </c>
      <c r="J164" s="39">
        <v>0</v>
      </c>
      <c r="K164" s="39">
        <v>540</v>
      </c>
      <c r="L164" s="39">
        <v>540</v>
      </c>
      <c r="M164" s="39" t="s">
        <v>505</v>
      </c>
    </row>
    <row r="165" spans="1:13">
      <c r="A165" s="39">
        <v>23047</v>
      </c>
      <c r="B165" s="40" t="s">
        <v>57</v>
      </c>
      <c r="C165" s="40" t="s">
        <v>489</v>
      </c>
      <c r="D165" s="41" t="s">
        <v>512</v>
      </c>
      <c r="E165" s="42"/>
      <c r="F165" s="42"/>
      <c r="G165" s="42"/>
      <c r="H165" s="42"/>
      <c r="I165" s="39">
        <v>0</v>
      </c>
      <c r="J165" s="39">
        <v>0</v>
      </c>
      <c r="K165" s="39">
        <v>540</v>
      </c>
      <c r="L165" s="39">
        <v>540</v>
      </c>
      <c r="M165" s="39" t="s">
        <v>492</v>
      </c>
    </row>
    <row r="166" spans="1:13">
      <c r="A166" s="39">
        <v>23047</v>
      </c>
      <c r="B166" s="40" t="s">
        <v>57</v>
      </c>
      <c r="C166" s="40" t="s">
        <v>489</v>
      </c>
      <c r="D166" s="41" t="s">
        <v>513</v>
      </c>
      <c r="E166" s="42"/>
      <c r="F166" s="42"/>
      <c r="G166" s="42"/>
      <c r="H166" s="42"/>
      <c r="I166" s="39">
        <v>0</v>
      </c>
      <c r="J166" s="39">
        <v>0</v>
      </c>
      <c r="K166" s="39">
        <v>540</v>
      </c>
      <c r="L166" s="39">
        <v>540</v>
      </c>
      <c r="M166" s="39" t="s">
        <v>492</v>
      </c>
    </row>
    <row r="167" spans="1:13">
      <c r="A167" s="39">
        <v>23047</v>
      </c>
      <c r="B167" s="40" t="s">
        <v>57</v>
      </c>
      <c r="C167" s="40" t="s">
        <v>489</v>
      </c>
      <c r="D167" s="41" t="s">
        <v>518</v>
      </c>
      <c r="E167" s="42" t="s">
        <v>602</v>
      </c>
      <c r="F167" s="42"/>
      <c r="G167" s="42"/>
      <c r="H167" s="42"/>
      <c r="I167" s="39">
        <v>0</v>
      </c>
      <c r="J167" s="39">
        <v>0</v>
      </c>
      <c r="K167" s="39">
        <v>540</v>
      </c>
      <c r="L167" s="39">
        <v>540</v>
      </c>
      <c r="M167" s="39" t="s">
        <v>505</v>
      </c>
    </row>
    <row r="168" spans="1:13">
      <c r="A168" s="39">
        <v>22015</v>
      </c>
      <c r="B168" s="40" t="s">
        <v>30</v>
      </c>
      <c r="C168" s="40" t="s">
        <v>489</v>
      </c>
      <c r="D168" s="41" t="s">
        <v>493</v>
      </c>
      <c r="E168" s="42" t="s">
        <v>603</v>
      </c>
      <c r="F168" s="42" t="s">
        <v>562</v>
      </c>
      <c r="G168" s="42"/>
      <c r="H168" s="42"/>
      <c r="I168" s="39">
        <v>45</v>
      </c>
      <c r="J168" s="39">
        <v>0</v>
      </c>
      <c r="K168" s="39">
        <v>0</v>
      </c>
      <c r="L168" s="39">
        <v>45</v>
      </c>
      <c r="M168" s="39" t="s">
        <v>522</v>
      </c>
    </row>
    <row r="169" spans="1:13">
      <c r="A169" s="39">
        <v>22015</v>
      </c>
      <c r="B169" s="40" t="s">
        <v>30</v>
      </c>
      <c r="C169" s="40" t="s">
        <v>489</v>
      </c>
      <c r="D169" s="41" t="s">
        <v>494</v>
      </c>
      <c r="E169" s="42" t="s">
        <v>527</v>
      </c>
      <c r="F169" s="42" t="s">
        <v>604</v>
      </c>
      <c r="G169" s="42"/>
      <c r="H169" s="42"/>
      <c r="I169" s="39">
        <v>53</v>
      </c>
      <c r="J169" s="39">
        <v>0</v>
      </c>
      <c r="K169" s="39">
        <v>0</v>
      </c>
      <c r="L169" s="39">
        <v>53</v>
      </c>
      <c r="M169" s="39" t="s">
        <v>522</v>
      </c>
    </row>
    <row r="170" spans="1:13">
      <c r="A170" s="33">
        <v>22015</v>
      </c>
      <c r="B170" s="33" t="s">
        <v>30</v>
      </c>
      <c r="C170" s="33" t="s">
        <v>489</v>
      </c>
      <c r="D170" s="33" t="s">
        <v>495</v>
      </c>
      <c r="E170" s="33" t="s">
        <v>558</v>
      </c>
      <c r="F170" s="33" t="s">
        <v>533</v>
      </c>
      <c r="I170" s="33">
        <v>57</v>
      </c>
      <c r="J170" s="33">
        <v>0</v>
      </c>
      <c r="K170" s="33">
        <v>0</v>
      </c>
      <c r="L170" s="33">
        <v>57</v>
      </c>
      <c r="M170" s="33" t="s">
        <v>522</v>
      </c>
    </row>
    <row r="171" spans="1:13">
      <c r="A171" s="33">
        <v>22015</v>
      </c>
      <c r="B171" s="33" t="s">
        <v>30</v>
      </c>
      <c r="C171" s="33" t="s">
        <v>489</v>
      </c>
      <c r="D171" s="33" t="s">
        <v>496</v>
      </c>
      <c r="E171" s="33" t="s">
        <v>569</v>
      </c>
      <c r="F171" s="33" t="s">
        <v>605</v>
      </c>
      <c r="I171" s="33">
        <v>67</v>
      </c>
      <c r="J171" s="33">
        <v>0</v>
      </c>
      <c r="K171" s="33">
        <v>0</v>
      </c>
      <c r="L171" s="33">
        <v>67</v>
      </c>
      <c r="M171" s="33" t="s">
        <v>522</v>
      </c>
    </row>
    <row r="172" spans="1:13">
      <c r="A172" s="33">
        <v>22015</v>
      </c>
      <c r="B172" s="33" t="s">
        <v>30</v>
      </c>
      <c r="C172" s="33" t="s">
        <v>489</v>
      </c>
      <c r="D172" s="33" t="s">
        <v>497</v>
      </c>
      <c r="E172" s="33" t="s">
        <v>571</v>
      </c>
      <c r="F172" s="33" t="s">
        <v>554</v>
      </c>
      <c r="I172" s="33">
        <v>64</v>
      </c>
      <c r="J172" s="33">
        <v>0</v>
      </c>
      <c r="K172" s="33">
        <v>0</v>
      </c>
      <c r="L172" s="33">
        <v>64</v>
      </c>
      <c r="M172" s="33" t="s">
        <v>522</v>
      </c>
    </row>
    <row r="173" spans="1:13">
      <c r="A173" s="33">
        <v>22015</v>
      </c>
      <c r="B173" s="33" t="s">
        <v>30</v>
      </c>
      <c r="C173" s="33" t="s">
        <v>489</v>
      </c>
      <c r="D173" s="33" t="s">
        <v>498</v>
      </c>
      <c r="E173" s="33" t="s">
        <v>606</v>
      </c>
      <c r="F173" s="33" t="s">
        <v>607</v>
      </c>
      <c r="I173" s="33">
        <v>48</v>
      </c>
      <c r="J173" s="33">
        <v>0</v>
      </c>
      <c r="K173" s="33">
        <v>0</v>
      </c>
      <c r="L173" s="33">
        <v>48</v>
      </c>
      <c r="M173" s="33" t="s">
        <v>522</v>
      </c>
    </row>
    <row r="174" spans="1:13">
      <c r="A174" s="33">
        <v>22015</v>
      </c>
      <c r="B174" s="33" t="s">
        <v>30</v>
      </c>
      <c r="C174" s="33" t="s">
        <v>489</v>
      </c>
      <c r="D174" s="33" t="s">
        <v>499</v>
      </c>
      <c r="E174" s="33" t="s">
        <v>580</v>
      </c>
      <c r="F174" s="33" t="s">
        <v>608</v>
      </c>
      <c r="I174" s="33">
        <v>44</v>
      </c>
      <c r="J174" s="33">
        <v>0</v>
      </c>
      <c r="K174" s="33">
        <v>0</v>
      </c>
      <c r="L174" s="33">
        <v>44</v>
      </c>
      <c r="M174" s="33" t="s">
        <v>522</v>
      </c>
    </row>
    <row r="175" spans="1:13">
      <c r="A175" s="33">
        <v>22015</v>
      </c>
      <c r="B175" s="33" t="s">
        <v>30</v>
      </c>
      <c r="C175" s="33" t="s">
        <v>489</v>
      </c>
      <c r="D175" s="33" t="s">
        <v>500</v>
      </c>
      <c r="E175" s="33" t="s">
        <v>556</v>
      </c>
      <c r="F175" s="33" t="s">
        <v>604</v>
      </c>
      <c r="I175" s="33">
        <v>32</v>
      </c>
      <c r="J175" s="33">
        <v>0</v>
      </c>
      <c r="K175" s="33">
        <v>0</v>
      </c>
      <c r="L175" s="33">
        <v>32</v>
      </c>
      <c r="M175" s="33" t="s">
        <v>522</v>
      </c>
    </row>
    <row r="176" spans="1:13">
      <c r="A176" s="33">
        <v>22015</v>
      </c>
      <c r="B176" s="33" t="s">
        <v>30</v>
      </c>
      <c r="C176" s="33" t="s">
        <v>489</v>
      </c>
      <c r="D176" s="33" t="s">
        <v>501</v>
      </c>
      <c r="E176" s="33" t="s">
        <v>609</v>
      </c>
      <c r="F176" s="33" t="s">
        <v>568</v>
      </c>
      <c r="I176" s="33">
        <v>217</v>
      </c>
      <c r="J176" s="33">
        <v>0</v>
      </c>
      <c r="K176" s="33">
        <v>0</v>
      </c>
      <c r="L176" s="33">
        <v>217</v>
      </c>
      <c r="M176" s="33" t="s">
        <v>522</v>
      </c>
    </row>
    <row r="177" spans="1:13">
      <c r="A177" s="33">
        <v>22015</v>
      </c>
      <c r="B177" s="33" t="s">
        <v>30</v>
      </c>
      <c r="C177" s="33" t="s">
        <v>489</v>
      </c>
      <c r="D177" s="33" t="s">
        <v>503</v>
      </c>
      <c r="E177" s="33" t="s">
        <v>610</v>
      </c>
      <c r="F177" s="33" t="s">
        <v>533</v>
      </c>
      <c r="I177" s="33">
        <v>56</v>
      </c>
      <c r="J177" s="33">
        <v>0</v>
      </c>
      <c r="K177" s="33">
        <v>0</v>
      </c>
      <c r="L177" s="33">
        <v>56</v>
      </c>
      <c r="M177" s="33" t="s">
        <v>522</v>
      </c>
    </row>
    <row r="178" spans="1:13">
      <c r="A178" s="33">
        <v>22015</v>
      </c>
      <c r="B178" s="33" t="s">
        <v>30</v>
      </c>
      <c r="C178" s="33" t="s">
        <v>489</v>
      </c>
      <c r="D178" s="33" t="s">
        <v>506</v>
      </c>
      <c r="I178" s="33">
        <v>0</v>
      </c>
      <c r="J178" s="33">
        <v>0</v>
      </c>
      <c r="K178" s="33">
        <v>540</v>
      </c>
      <c r="L178" s="33">
        <v>540</v>
      </c>
      <c r="M178" s="33" t="s">
        <v>492</v>
      </c>
    </row>
    <row r="179" spans="1:13">
      <c r="A179" s="33">
        <v>22015</v>
      </c>
      <c r="B179" s="33" t="s">
        <v>30</v>
      </c>
      <c r="C179" s="33" t="s">
        <v>489</v>
      </c>
      <c r="D179" s="33" t="s">
        <v>507</v>
      </c>
      <c r="E179" s="33" t="s">
        <v>558</v>
      </c>
      <c r="F179" s="33" t="s">
        <v>611</v>
      </c>
      <c r="I179" s="33">
        <v>57</v>
      </c>
      <c r="J179" s="33">
        <v>0</v>
      </c>
      <c r="K179" s="33">
        <v>0</v>
      </c>
      <c r="L179" s="33">
        <v>57</v>
      </c>
      <c r="M179" s="33" t="s">
        <v>522</v>
      </c>
    </row>
    <row r="180" spans="1:13">
      <c r="A180" s="33">
        <v>22015</v>
      </c>
      <c r="B180" s="33" t="s">
        <v>30</v>
      </c>
      <c r="C180" s="33" t="s">
        <v>489</v>
      </c>
      <c r="D180" s="33" t="s">
        <v>508</v>
      </c>
      <c r="E180" s="33" t="s">
        <v>612</v>
      </c>
      <c r="F180" s="33" t="s">
        <v>613</v>
      </c>
      <c r="I180" s="33">
        <v>79</v>
      </c>
      <c r="J180" s="33">
        <v>0</v>
      </c>
      <c r="K180" s="33">
        <v>0</v>
      </c>
      <c r="L180" s="33">
        <v>79</v>
      </c>
      <c r="M180" s="33" t="s">
        <v>522</v>
      </c>
    </row>
    <row r="181" spans="1:13">
      <c r="A181" s="33">
        <v>22015</v>
      </c>
      <c r="B181" s="33" t="s">
        <v>30</v>
      </c>
      <c r="C181" s="33" t="s">
        <v>489</v>
      </c>
      <c r="D181" s="33" t="s">
        <v>534</v>
      </c>
      <c r="E181" s="33" t="s">
        <v>558</v>
      </c>
      <c r="I181" s="33">
        <v>57</v>
      </c>
      <c r="J181" s="33">
        <v>0</v>
      </c>
      <c r="K181" s="33">
        <v>483</v>
      </c>
      <c r="L181" s="33">
        <v>540</v>
      </c>
      <c r="M181" s="33" t="s">
        <v>522</v>
      </c>
    </row>
    <row r="182" spans="1:13">
      <c r="A182" s="33">
        <v>22015</v>
      </c>
      <c r="B182" s="33" t="s">
        <v>30</v>
      </c>
      <c r="C182" s="33" t="s">
        <v>489</v>
      </c>
      <c r="D182" s="33" t="s">
        <v>535</v>
      </c>
      <c r="E182" s="33" t="s">
        <v>558</v>
      </c>
      <c r="F182" s="33" t="s">
        <v>614</v>
      </c>
      <c r="I182" s="33">
        <v>57</v>
      </c>
      <c r="J182" s="33">
        <v>0</v>
      </c>
      <c r="K182" s="33">
        <v>0</v>
      </c>
      <c r="L182" s="33">
        <v>57</v>
      </c>
      <c r="M182" s="33" t="s">
        <v>522</v>
      </c>
    </row>
    <row r="183" spans="1:13">
      <c r="A183" s="33">
        <v>22015</v>
      </c>
      <c r="B183" s="33" t="s">
        <v>30</v>
      </c>
      <c r="C183" s="33" t="s">
        <v>489</v>
      </c>
      <c r="D183" s="33" t="s">
        <v>509</v>
      </c>
      <c r="E183" s="33" t="s">
        <v>558</v>
      </c>
      <c r="F183" s="33" t="s">
        <v>615</v>
      </c>
      <c r="I183" s="33">
        <v>57</v>
      </c>
      <c r="J183" s="33">
        <v>0</v>
      </c>
      <c r="K183" s="33">
        <v>0</v>
      </c>
      <c r="L183" s="33">
        <v>57</v>
      </c>
      <c r="M183" s="33" t="s">
        <v>522</v>
      </c>
    </row>
    <row r="184" spans="1:13">
      <c r="A184" s="33">
        <v>22015</v>
      </c>
      <c r="B184" s="33" t="s">
        <v>30</v>
      </c>
      <c r="C184" s="33" t="s">
        <v>489</v>
      </c>
      <c r="D184" s="33" t="s">
        <v>510</v>
      </c>
      <c r="I184" s="33">
        <v>0</v>
      </c>
      <c r="J184" s="33">
        <v>0</v>
      </c>
      <c r="K184" s="33">
        <v>540</v>
      </c>
      <c r="L184" s="33">
        <v>540</v>
      </c>
      <c r="M184" s="33" t="s">
        <v>492</v>
      </c>
    </row>
    <row r="185" spans="1:13">
      <c r="A185" s="33">
        <v>22015</v>
      </c>
      <c r="B185" s="33" t="s">
        <v>30</v>
      </c>
      <c r="C185" s="33" t="s">
        <v>489</v>
      </c>
      <c r="D185" s="33" t="s">
        <v>538</v>
      </c>
      <c r="E185" s="33" t="s">
        <v>616</v>
      </c>
      <c r="F185" s="33" t="s">
        <v>539</v>
      </c>
      <c r="I185" s="33">
        <v>59</v>
      </c>
      <c r="J185" s="33">
        <v>0</v>
      </c>
      <c r="K185" s="33">
        <v>0</v>
      </c>
      <c r="L185" s="33">
        <v>59</v>
      </c>
      <c r="M185" s="33" t="s">
        <v>522</v>
      </c>
    </row>
    <row r="186" spans="1:13">
      <c r="A186" s="33">
        <v>22015</v>
      </c>
      <c r="B186" s="33" t="s">
        <v>30</v>
      </c>
      <c r="C186" s="33" t="s">
        <v>489</v>
      </c>
      <c r="D186" s="33" t="s">
        <v>540</v>
      </c>
      <c r="E186" s="33" t="s">
        <v>617</v>
      </c>
      <c r="F186" s="33" t="s">
        <v>542</v>
      </c>
      <c r="I186" s="33">
        <v>80</v>
      </c>
      <c r="J186" s="33">
        <v>0</v>
      </c>
      <c r="K186" s="33">
        <v>0</v>
      </c>
      <c r="L186" s="33">
        <v>80</v>
      </c>
      <c r="M186" s="33" t="s">
        <v>522</v>
      </c>
    </row>
    <row r="187" spans="1:13">
      <c r="A187" s="33">
        <v>22015</v>
      </c>
      <c r="B187" s="33" t="s">
        <v>30</v>
      </c>
      <c r="C187" s="33" t="s">
        <v>489</v>
      </c>
      <c r="D187" s="33" t="s">
        <v>543</v>
      </c>
      <c r="E187" s="33" t="s">
        <v>573</v>
      </c>
      <c r="I187" s="33">
        <v>82</v>
      </c>
      <c r="J187" s="33">
        <v>0</v>
      </c>
      <c r="K187" s="33">
        <v>458</v>
      </c>
      <c r="L187" s="33">
        <v>540</v>
      </c>
      <c r="M187" s="33" t="s">
        <v>522</v>
      </c>
    </row>
    <row r="188" spans="1:13">
      <c r="A188" s="33">
        <v>22015</v>
      </c>
      <c r="B188" s="33" t="s">
        <v>30</v>
      </c>
      <c r="C188" s="33" t="s">
        <v>489</v>
      </c>
      <c r="D188" s="33" t="s">
        <v>512</v>
      </c>
      <c r="I188" s="33">
        <v>0</v>
      </c>
      <c r="J188" s="33">
        <v>0</v>
      </c>
      <c r="K188" s="33">
        <v>540</v>
      </c>
      <c r="L188" s="33">
        <v>540</v>
      </c>
      <c r="M188" s="33" t="s">
        <v>492</v>
      </c>
    </row>
    <row r="189" spans="1:13">
      <c r="A189" s="33">
        <v>22015</v>
      </c>
      <c r="B189" s="33" t="s">
        <v>30</v>
      </c>
      <c r="C189" s="33" t="s">
        <v>489</v>
      </c>
      <c r="D189" s="33" t="s">
        <v>513</v>
      </c>
      <c r="E189" s="33" t="s">
        <v>618</v>
      </c>
      <c r="F189" s="33" t="s">
        <v>619</v>
      </c>
      <c r="I189" s="33">
        <v>75</v>
      </c>
      <c r="J189" s="33">
        <v>116</v>
      </c>
      <c r="K189" s="33">
        <v>0</v>
      </c>
      <c r="L189" s="33">
        <v>191</v>
      </c>
      <c r="M189" s="33" t="s">
        <v>522</v>
      </c>
    </row>
    <row r="190" spans="1:13">
      <c r="A190" s="33">
        <v>22015</v>
      </c>
      <c r="B190" s="33" t="s">
        <v>30</v>
      </c>
      <c r="C190" s="33" t="s">
        <v>489</v>
      </c>
      <c r="D190" s="33" t="s">
        <v>515</v>
      </c>
      <c r="E190" s="33" t="s">
        <v>549</v>
      </c>
      <c r="F190" s="33" t="s">
        <v>620</v>
      </c>
      <c r="I190" s="33">
        <v>66</v>
      </c>
      <c r="J190" s="33">
        <v>0</v>
      </c>
      <c r="K190" s="33">
        <v>0</v>
      </c>
      <c r="L190" s="33">
        <v>66</v>
      </c>
      <c r="M190" s="33" t="s">
        <v>522</v>
      </c>
    </row>
    <row r="191" spans="1:13">
      <c r="A191" s="33">
        <v>22015</v>
      </c>
      <c r="B191" s="33" t="s">
        <v>30</v>
      </c>
      <c r="C191" s="33" t="s">
        <v>489</v>
      </c>
      <c r="D191" s="33" t="s">
        <v>517</v>
      </c>
      <c r="E191" s="33" t="s">
        <v>569</v>
      </c>
      <c r="F191" s="33" t="s">
        <v>621</v>
      </c>
      <c r="I191" s="33">
        <v>67</v>
      </c>
      <c r="J191" s="33">
        <v>65</v>
      </c>
      <c r="K191" s="33">
        <v>0</v>
      </c>
      <c r="L191" s="33">
        <v>132</v>
      </c>
      <c r="M191" s="33" t="s">
        <v>522</v>
      </c>
    </row>
    <row r="192" spans="1:13">
      <c r="A192" s="33">
        <v>22015</v>
      </c>
      <c r="B192" s="33" t="s">
        <v>30</v>
      </c>
      <c r="C192" s="33" t="s">
        <v>489</v>
      </c>
      <c r="D192" s="33" t="s">
        <v>518</v>
      </c>
      <c r="E192" s="33" t="s">
        <v>622</v>
      </c>
      <c r="I192" s="33">
        <v>96</v>
      </c>
      <c r="J192" s="33">
        <v>0</v>
      </c>
      <c r="K192" s="33">
        <v>444</v>
      </c>
      <c r="L192" s="33">
        <v>540</v>
      </c>
      <c r="M192" s="33" t="s">
        <v>522</v>
      </c>
    </row>
    <row r="193" spans="1:13">
      <c r="A193" s="33">
        <v>22011</v>
      </c>
      <c r="B193" s="33" t="s">
        <v>26</v>
      </c>
      <c r="C193" s="33" t="s">
        <v>489</v>
      </c>
      <c r="D193" s="33" t="s">
        <v>490</v>
      </c>
      <c r="I193" s="33">
        <v>0</v>
      </c>
      <c r="J193" s="33">
        <v>0</v>
      </c>
      <c r="K193" s="33">
        <v>540</v>
      </c>
      <c r="L193" s="33">
        <v>540</v>
      </c>
      <c r="M193" s="33" t="s">
        <v>492</v>
      </c>
    </row>
    <row r="194" spans="1:13">
      <c r="A194" s="33">
        <v>22011</v>
      </c>
      <c r="B194" s="33" t="s">
        <v>26</v>
      </c>
      <c r="C194" s="33" t="s">
        <v>489</v>
      </c>
      <c r="D194" s="33" t="s">
        <v>491</v>
      </c>
      <c r="E194" s="33" t="s">
        <v>623</v>
      </c>
      <c r="F194" s="33" t="s">
        <v>560</v>
      </c>
      <c r="I194" s="33">
        <v>255</v>
      </c>
      <c r="J194" s="33">
        <v>0</v>
      </c>
      <c r="K194" s="33">
        <v>0</v>
      </c>
      <c r="L194" s="33">
        <v>255</v>
      </c>
      <c r="M194" s="33" t="s">
        <v>522</v>
      </c>
    </row>
    <row r="195" spans="1:13">
      <c r="A195" s="33">
        <v>22011</v>
      </c>
      <c r="B195" s="33" t="s">
        <v>26</v>
      </c>
      <c r="C195" s="33" t="s">
        <v>489</v>
      </c>
      <c r="D195" s="33" t="s">
        <v>495</v>
      </c>
      <c r="E195" s="33" t="s">
        <v>551</v>
      </c>
      <c r="F195" s="33" t="s">
        <v>588</v>
      </c>
      <c r="I195" s="33">
        <v>51</v>
      </c>
      <c r="J195" s="33">
        <v>0</v>
      </c>
      <c r="K195" s="33">
        <v>0</v>
      </c>
      <c r="L195" s="33">
        <v>51</v>
      </c>
      <c r="M195" s="33" t="s">
        <v>522</v>
      </c>
    </row>
    <row r="196" spans="1:13">
      <c r="A196" s="33">
        <v>22011</v>
      </c>
      <c r="B196" s="33" t="s">
        <v>26</v>
      </c>
      <c r="C196" s="33" t="s">
        <v>489</v>
      </c>
      <c r="D196" s="33" t="s">
        <v>497</v>
      </c>
      <c r="I196" s="33">
        <v>0</v>
      </c>
      <c r="J196" s="33">
        <v>0</v>
      </c>
      <c r="K196" s="33">
        <v>540</v>
      </c>
      <c r="L196" s="33">
        <v>540</v>
      </c>
      <c r="M196" s="33" t="s">
        <v>492</v>
      </c>
    </row>
    <row r="197" spans="1:13">
      <c r="A197" s="33">
        <v>22011</v>
      </c>
      <c r="B197" s="33" t="s">
        <v>26</v>
      </c>
      <c r="C197" s="33" t="s">
        <v>489</v>
      </c>
      <c r="D197" s="33" t="s">
        <v>498</v>
      </c>
      <c r="E197" s="33" t="s">
        <v>624</v>
      </c>
      <c r="I197" s="33">
        <v>0</v>
      </c>
      <c r="J197" s="33">
        <v>0</v>
      </c>
      <c r="K197" s="33">
        <v>540</v>
      </c>
      <c r="L197" s="33">
        <v>540</v>
      </c>
      <c r="M197" s="33" t="s">
        <v>505</v>
      </c>
    </row>
    <row r="198" spans="1:13">
      <c r="A198" s="33">
        <v>22011</v>
      </c>
      <c r="B198" s="33" t="s">
        <v>26</v>
      </c>
      <c r="C198" s="33" t="s">
        <v>489</v>
      </c>
      <c r="D198" s="33" t="s">
        <v>499</v>
      </c>
      <c r="E198" s="33" t="s">
        <v>625</v>
      </c>
      <c r="F198" s="33" t="s">
        <v>584</v>
      </c>
      <c r="I198" s="33">
        <v>102</v>
      </c>
      <c r="J198" s="33">
        <v>0</v>
      </c>
      <c r="K198" s="33">
        <v>0</v>
      </c>
      <c r="L198" s="33">
        <v>102</v>
      </c>
      <c r="M198" s="33" t="s">
        <v>522</v>
      </c>
    </row>
    <row r="199" spans="1:13">
      <c r="A199" s="33">
        <v>22011</v>
      </c>
      <c r="B199" s="33" t="s">
        <v>26</v>
      </c>
      <c r="C199" s="33" t="s">
        <v>489</v>
      </c>
      <c r="D199" s="33" t="s">
        <v>506</v>
      </c>
      <c r="I199" s="33">
        <v>0</v>
      </c>
      <c r="J199" s="33">
        <v>0</v>
      </c>
      <c r="K199" s="33">
        <v>540</v>
      </c>
      <c r="L199" s="33">
        <v>540</v>
      </c>
      <c r="M199" s="33" t="s">
        <v>492</v>
      </c>
    </row>
    <row r="200" spans="1:13">
      <c r="A200" s="33">
        <v>22011</v>
      </c>
      <c r="B200" s="33" t="s">
        <v>26</v>
      </c>
      <c r="C200" s="33" t="s">
        <v>489</v>
      </c>
      <c r="D200" s="33" t="s">
        <v>510</v>
      </c>
      <c r="I200" s="33">
        <v>0</v>
      </c>
      <c r="J200" s="33">
        <v>0</v>
      </c>
      <c r="K200" s="33">
        <v>540</v>
      </c>
      <c r="L200" s="33">
        <v>540</v>
      </c>
      <c r="M200" s="33" t="s">
        <v>492</v>
      </c>
    </row>
    <row r="201" spans="1:13">
      <c r="A201" s="33">
        <v>22011</v>
      </c>
      <c r="B201" s="33" t="s">
        <v>26</v>
      </c>
      <c r="C201" s="33" t="s">
        <v>489</v>
      </c>
      <c r="D201" s="33" t="s">
        <v>512</v>
      </c>
      <c r="I201" s="33">
        <v>0</v>
      </c>
      <c r="J201" s="33">
        <v>0</v>
      </c>
      <c r="K201" s="33">
        <v>540</v>
      </c>
      <c r="L201" s="33">
        <v>540</v>
      </c>
      <c r="M201" s="33" t="s">
        <v>492</v>
      </c>
    </row>
    <row r="202" spans="1:13">
      <c r="A202" s="33">
        <v>22011</v>
      </c>
      <c r="B202" s="33" t="s">
        <v>26</v>
      </c>
      <c r="C202" s="33" t="s">
        <v>489</v>
      </c>
      <c r="D202" s="33" t="s">
        <v>513</v>
      </c>
      <c r="E202" s="33" t="s">
        <v>589</v>
      </c>
      <c r="F202" s="33" t="s">
        <v>590</v>
      </c>
      <c r="I202" s="33">
        <v>0</v>
      </c>
      <c r="J202" s="33">
        <v>121</v>
      </c>
      <c r="K202" s="33">
        <v>0</v>
      </c>
      <c r="L202" s="33">
        <v>121</v>
      </c>
      <c r="M202" s="33" t="s">
        <v>505</v>
      </c>
    </row>
    <row r="203" spans="1:13">
      <c r="A203" s="33">
        <v>22011</v>
      </c>
      <c r="B203" s="33" t="s">
        <v>26</v>
      </c>
      <c r="C203" s="33" t="s">
        <v>489</v>
      </c>
      <c r="D203" s="33" t="s">
        <v>518</v>
      </c>
      <c r="E203" s="33" t="s">
        <v>504</v>
      </c>
      <c r="I203" s="33">
        <v>0</v>
      </c>
      <c r="J203" s="33">
        <v>0</v>
      </c>
      <c r="K203" s="33">
        <v>540</v>
      </c>
      <c r="L203" s="33">
        <v>540</v>
      </c>
      <c r="M203" s="33" t="s">
        <v>505</v>
      </c>
    </row>
    <row r="204" spans="1:13">
      <c r="A204" s="33">
        <v>23020</v>
      </c>
      <c r="B204" s="33" t="s">
        <v>35</v>
      </c>
      <c r="C204" s="33" t="s">
        <v>489</v>
      </c>
      <c r="D204" s="33" t="s">
        <v>490</v>
      </c>
      <c r="E204" s="33" t="s">
        <v>626</v>
      </c>
      <c r="F204" s="33" t="s">
        <v>627</v>
      </c>
      <c r="I204" s="33">
        <v>38</v>
      </c>
      <c r="J204" s="33">
        <v>0</v>
      </c>
      <c r="K204" s="33">
        <v>0</v>
      </c>
      <c r="L204" s="33">
        <v>38</v>
      </c>
      <c r="M204" s="33" t="s">
        <v>522</v>
      </c>
    </row>
    <row r="205" spans="1:13">
      <c r="A205" s="33">
        <v>23020</v>
      </c>
      <c r="B205" s="33" t="s">
        <v>35</v>
      </c>
      <c r="C205" s="33" t="s">
        <v>489</v>
      </c>
      <c r="D205" s="33" t="s">
        <v>491</v>
      </c>
      <c r="E205" s="33" t="s">
        <v>603</v>
      </c>
      <c r="F205" s="33" t="s">
        <v>560</v>
      </c>
      <c r="I205" s="33">
        <v>45</v>
      </c>
      <c r="J205" s="33">
        <v>0</v>
      </c>
      <c r="K205" s="33">
        <v>0</v>
      </c>
      <c r="L205" s="33">
        <v>45</v>
      </c>
      <c r="M205" s="33" t="s">
        <v>522</v>
      </c>
    </row>
    <row r="206" spans="1:13">
      <c r="A206" s="33">
        <v>23020</v>
      </c>
      <c r="B206" s="33" t="s">
        <v>35</v>
      </c>
      <c r="C206" s="33" t="s">
        <v>489</v>
      </c>
      <c r="D206" s="33" t="s">
        <v>495</v>
      </c>
      <c r="E206" s="33" t="s">
        <v>628</v>
      </c>
      <c r="F206" s="33" t="s">
        <v>629</v>
      </c>
      <c r="I206" s="33">
        <v>33</v>
      </c>
      <c r="J206" s="33">
        <v>0</v>
      </c>
      <c r="K206" s="33">
        <v>0</v>
      </c>
      <c r="L206" s="33">
        <v>33</v>
      </c>
      <c r="M206" s="33" t="s">
        <v>522</v>
      </c>
    </row>
    <row r="207" spans="1:13">
      <c r="A207" s="33">
        <v>23020</v>
      </c>
      <c r="B207" s="33" t="s">
        <v>35</v>
      </c>
      <c r="C207" s="33" t="s">
        <v>489</v>
      </c>
      <c r="D207" s="33" t="s">
        <v>498</v>
      </c>
      <c r="E207" s="33" t="s">
        <v>630</v>
      </c>
      <c r="F207" s="33" t="s">
        <v>631</v>
      </c>
      <c r="I207" s="33">
        <v>0</v>
      </c>
      <c r="J207" s="33">
        <v>330</v>
      </c>
      <c r="K207" s="33">
        <v>0</v>
      </c>
      <c r="L207" s="33">
        <v>330</v>
      </c>
      <c r="M207" s="33" t="s">
        <v>505</v>
      </c>
    </row>
    <row r="208" spans="1:13">
      <c r="A208" s="33">
        <v>23020</v>
      </c>
      <c r="B208" s="33" t="s">
        <v>35</v>
      </c>
      <c r="C208" s="33" t="s">
        <v>489</v>
      </c>
      <c r="D208" s="33" t="s">
        <v>499</v>
      </c>
      <c r="I208" s="33">
        <v>0</v>
      </c>
      <c r="J208" s="33">
        <v>0</v>
      </c>
      <c r="K208" s="33">
        <v>540</v>
      </c>
      <c r="L208" s="33">
        <v>540</v>
      </c>
      <c r="M208" s="33" t="s">
        <v>492</v>
      </c>
    </row>
    <row r="209" spans="1:13">
      <c r="A209" s="33">
        <v>23020</v>
      </c>
      <c r="B209" s="33" t="s">
        <v>35</v>
      </c>
      <c r="C209" s="33" t="s">
        <v>489</v>
      </c>
      <c r="D209" s="33" t="s">
        <v>506</v>
      </c>
      <c r="I209" s="33">
        <v>0</v>
      </c>
      <c r="J209" s="33">
        <v>0</v>
      </c>
      <c r="K209" s="33">
        <v>540</v>
      </c>
      <c r="L209" s="33">
        <v>540</v>
      </c>
      <c r="M209" s="33" t="s">
        <v>492</v>
      </c>
    </row>
    <row r="210" spans="1:13">
      <c r="A210" s="33">
        <v>23020</v>
      </c>
      <c r="B210" s="33" t="s">
        <v>35</v>
      </c>
      <c r="C210" s="33" t="s">
        <v>489</v>
      </c>
      <c r="D210" s="33" t="s">
        <v>534</v>
      </c>
      <c r="I210" s="33">
        <v>0</v>
      </c>
      <c r="J210" s="33">
        <v>0</v>
      </c>
      <c r="K210" s="33">
        <v>540</v>
      </c>
      <c r="L210" s="33">
        <v>540</v>
      </c>
      <c r="M210" s="33" t="s">
        <v>492</v>
      </c>
    </row>
    <row r="211" spans="1:13">
      <c r="A211" s="33">
        <v>23020</v>
      </c>
      <c r="B211" s="33" t="s">
        <v>35</v>
      </c>
      <c r="C211" s="33" t="s">
        <v>489</v>
      </c>
      <c r="D211" s="33" t="s">
        <v>535</v>
      </c>
      <c r="I211" s="33">
        <v>0</v>
      </c>
      <c r="J211" s="33">
        <v>0</v>
      </c>
      <c r="K211" s="33">
        <v>540</v>
      </c>
      <c r="L211" s="33">
        <v>540</v>
      </c>
      <c r="M211" s="33" t="s">
        <v>492</v>
      </c>
    </row>
    <row r="212" spans="1:13">
      <c r="A212" s="33">
        <v>23020</v>
      </c>
      <c r="B212" s="33" t="s">
        <v>35</v>
      </c>
      <c r="C212" s="33" t="s">
        <v>489</v>
      </c>
      <c r="D212" s="33" t="s">
        <v>509</v>
      </c>
      <c r="I212" s="33">
        <v>0</v>
      </c>
      <c r="J212" s="33">
        <v>0</v>
      </c>
      <c r="K212" s="33">
        <v>540</v>
      </c>
      <c r="L212" s="33">
        <v>540</v>
      </c>
      <c r="M212" s="33" t="s">
        <v>492</v>
      </c>
    </row>
    <row r="213" spans="1:13">
      <c r="A213" s="33">
        <v>23020</v>
      </c>
      <c r="B213" s="33" t="s">
        <v>35</v>
      </c>
      <c r="C213" s="33" t="s">
        <v>489</v>
      </c>
      <c r="D213" s="33" t="s">
        <v>510</v>
      </c>
      <c r="I213" s="33">
        <v>0</v>
      </c>
      <c r="J213" s="33">
        <v>0</v>
      </c>
      <c r="K213" s="33">
        <v>540</v>
      </c>
      <c r="L213" s="33">
        <v>540</v>
      </c>
      <c r="M213" s="33" t="s">
        <v>492</v>
      </c>
    </row>
    <row r="214" spans="1:13">
      <c r="A214" s="33">
        <v>23020</v>
      </c>
      <c r="B214" s="33" t="s">
        <v>35</v>
      </c>
      <c r="C214" s="33" t="s">
        <v>489</v>
      </c>
      <c r="D214" s="33" t="s">
        <v>538</v>
      </c>
      <c r="I214" s="33">
        <v>0</v>
      </c>
      <c r="J214" s="33">
        <v>0</v>
      </c>
      <c r="K214" s="33">
        <v>540</v>
      </c>
      <c r="L214" s="33">
        <v>540</v>
      </c>
      <c r="M214" s="33" t="s">
        <v>492</v>
      </c>
    </row>
    <row r="215" spans="1:13">
      <c r="A215" s="33">
        <v>23020</v>
      </c>
      <c r="B215" s="33" t="s">
        <v>35</v>
      </c>
      <c r="C215" s="33" t="s">
        <v>489</v>
      </c>
      <c r="D215" s="33" t="s">
        <v>540</v>
      </c>
      <c r="I215" s="33">
        <v>0</v>
      </c>
      <c r="J215" s="33">
        <v>0</v>
      </c>
      <c r="K215" s="33">
        <v>540</v>
      </c>
      <c r="L215" s="33">
        <v>540</v>
      </c>
      <c r="M215" s="33" t="s">
        <v>492</v>
      </c>
    </row>
    <row r="216" spans="1:13">
      <c r="A216" s="33">
        <v>23020</v>
      </c>
      <c r="B216" s="33" t="s">
        <v>35</v>
      </c>
      <c r="C216" s="33" t="s">
        <v>489</v>
      </c>
      <c r="D216" s="33" t="s">
        <v>543</v>
      </c>
      <c r="I216" s="33">
        <v>0</v>
      </c>
      <c r="J216" s="33">
        <v>0</v>
      </c>
      <c r="K216" s="33">
        <v>540</v>
      </c>
      <c r="L216" s="33">
        <v>540</v>
      </c>
      <c r="M216" s="33" t="s">
        <v>492</v>
      </c>
    </row>
    <row r="217" spans="1:13">
      <c r="A217" s="33">
        <v>23020</v>
      </c>
      <c r="B217" s="33" t="s">
        <v>35</v>
      </c>
      <c r="C217" s="33" t="s">
        <v>489</v>
      </c>
      <c r="D217" s="33" t="s">
        <v>512</v>
      </c>
      <c r="I217" s="33">
        <v>0</v>
      </c>
      <c r="J217" s="33">
        <v>0</v>
      </c>
      <c r="K217" s="33">
        <v>540</v>
      </c>
      <c r="L217" s="33">
        <v>540</v>
      </c>
      <c r="M217" s="33" t="s">
        <v>492</v>
      </c>
    </row>
    <row r="218" spans="1:13">
      <c r="A218" s="33">
        <v>23020</v>
      </c>
      <c r="B218" s="33" t="s">
        <v>35</v>
      </c>
      <c r="C218" s="33" t="s">
        <v>489</v>
      </c>
      <c r="D218" s="33" t="s">
        <v>513</v>
      </c>
      <c r="F218" s="33" t="s">
        <v>632</v>
      </c>
      <c r="I218" s="33">
        <v>0</v>
      </c>
      <c r="J218" s="33">
        <v>123</v>
      </c>
      <c r="K218" s="33">
        <v>417</v>
      </c>
      <c r="L218" s="33">
        <v>540</v>
      </c>
      <c r="M218" s="33" t="s">
        <v>492</v>
      </c>
    </row>
    <row r="219" spans="1:13">
      <c r="A219" s="33">
        <v>23020</v>
      </c>
      <c r="B219" s="33" t="s">
        <v>35</v>
      </c>
      <c r="C219" s="33" t="s">
        <v>489</v>
      </c>
      <c r="D219" s="33" t="s">
        <v>515</v>
      </c>
      <c r="I219" s="33">
        <v>0</v>
      </c>
      <c r="J219" s="33">
        <v>0</v>
      </c>
      <c r="K219" s="33">
        <v>540</v>
      </c>
      <c r="L219" s="33">
        <v>540</v>
      </c>
      <c r="M219" s="33" t="s">
        <v>492</v>
      </c>
    </row>
    <row r="220" spans="1:13">
      <c r="A220" s="33">
        <v>23020</v>
      </c>
      <c r="B220" s="33" t="s">
        <v>35</v>
      </c>
      <c r="C220" s="33" t="s">
        <v>489</v>
      </c>
      <c r="D220" s="33" t="s">
        <v>517</v>
      </c>
      <c r="I220" s="33">
        <v>0</v>
      </c>
      <c r="J220" s="33">
        <v>0</v>
      </c>
      <c r="K220" s="33">
        <v>540</v>
      </c>
      <c r="L220" s="33">
        <v>540</v>
      </c>
      <c r="M220" s="33" t="s">
        <v>492</v>
      </c>
    </row>
    <row r="221" spans="1:13">
      <c r="A221" s="33">
        <v>23020</v>
      </c>
      <c r="B221" s="33" t="s">
        <v>35</v>
      </c>
      <c r="C221" s="33" t="s">
        <v>489</v>
      </c>
      <c r="D221" s="33" t="s">
        <v>518</v>
      </c>
      <c r="I221" s="33">
        <v>0</v>
      </c>
      <c r="J221" s="33">
        <v>0</v>
      </c>
      <c r="K221" s="33">
        <v>540</v>
      </c>
      <c r="L221" s="33">
        <v>540</v>
      </c>
      <c r="M221" s="33" t="s">
        <v>492</v>
      </c>
    </row>
    <row r="222" spans="1:13">
      <c r="A222" s="33">
        <v>21009</v>
      </c>
      <c r="B222" s="33" t="s">
        <v>25</v>
      </c>
      <c r="C222" s="33" t="s">
        <v>489</v>
      </c>
      <c r="D222" s="33" t="s">
        <v>490</v>
      </c>
      <c r="I222" s="33">
        <v>0</v>
      </c>
      <c r="J222" s="33">
        <v>0</v>
      </c>
      <c r="K222" s="33">
        <v>540</v>
      </c>
      <c r="L222" s="33">
        <v>540</v>
      </c>
      <c r="M222" s="33" t="s">
        <v>492</v>
      </c>
    </row>
    <row r="223" spans="1:13">
      <c r="A223" s="33">
        <v>21009</v>
      </c>
      <c r="B223" s="33" t="s">
        <v>25</v>
      </c>
      <c r="C223" s="33" t="s">
        <v>489</v>
      </c>
      <c r="D223" s="33" t="s">
        <v>491</v>
      </c>
      <c r="E223" s="33" t="s">
        <v>633</v>
      </c>
      <c r="F223" s="33" t="s">
        <v>584</v>
      </c>
      <c r="I223" s="33">
        <v>251</v>
      </c>
      <c r="J223" s="33">
        <v>0</v>
      </c>
      <c r="K223" s="33">
        <v>0</v>
      </c>
      <c r="L223" s="33">
        <v>251</v>
      </c>
      <c r="M223" s="33" t="s">
        <v>522</v>
      </c>
    </row>
    <row r="224" spans="1:13">
      <c r="A224" s="33">
        <v>21009</v>
      </c>
      <c r="B224" s="33" t="s">
        <v>25</v>
      </c>
      <c r="C224" s="33" t="s">
        <v>489</v>
      </c>
      <c r="D224" s="33" t="s">
        <v>495</v>
      </c>
      <c r="E224" s="33" t="s">
        <v>634</v>
      </c>
      <c r="I224" s="33">
        <v>0</v>
      </c>
      <c r="J224" s="33">
        <v>0</v>
      </c>
      <c r="K224" s="33">
        <v>540</v>
      </c>
      <c r="L224" s="33">
        <v>540</v>
      </c>
      <c r="M224" s="33" t="s">
        <v>505</v>
      </c>
    </row>
    <row r="225" spans="1:13">
      <c r="A225" s="33">
        <v>21009</v>
      </c>
      <c r="B225" s="33" t="s">
        <v>25</v>
      </c>
      <c r="C225" s="33" t="s">
        <v>489</v>
      </c>
      <c r="D225" s="33" t="s">
        <v>499</v>
      </c>
      <c r="E225" s="33" t="s">
        <v>635</v>
      </c>
      <c r="F225" s="33" t="s">
        <v>528</v>
      </c>
      <c r="I225" s="33">
        <v>26</v>
      </c>
      <c r="J225" s="33">
        <v>0</v>
      </c>
      <c r="K225" s="33">
        <v>0</v>
      </c>
      <c r="L225" s="33">
        <v>26</v>
      </c>
      <c r="M225" s="33" t="s">
        <v>505</v>
      </c>
    </row>
    <row r="226" spans="1:13">
      <c r="A226" s="33">
        <v>21009</v>
      </c>
      <c r="B226" s="33" t="s">
        <v>25</v>
      </c>
      <c r="C226" s="33" t="s">
        <v>489</v>
      </c>
      <c r="D226" s="33" t="s">
        <v>506</v>
      </c>
      <c r="I226" s="33">
        <v>0</v>
      </c>
      <c r="J226" s="33">
        <v>0</v>
      </c>
      <c r="K226" s="33">
        <v>540</v>
      </c>
      <c r="L226" s="33">
        <v>540</v>
      </c>
      <c r="M226" s="33" t="s">
        <v>492</v>
      </c>
    </row>
    <row r="227" spans="1:13">
      <c r="A227" s="33">
        <v>21009</v>
      </c>
      <c r="B227" s="33" t="s">
        <v>25</v>
      </c>
      <c r="C227" s="33" t="s">
        <v>489</v>
      </c>
      <c r="D227" s="33" t="s">
        <v>509</v>
      </c>
      <c r="E227" s="33" t="s">
        <v>504</v>
      </c>
      <c r="I227" s="33">
        <v>0</v>
      </c>
      <c r="J227" s="33">
        <v>0</v>
      </c>
      <c r="K227" s="33">
        <v>540</v>
      </c>
      <c r="L227" s="33">
        <v>540</v>
      </c>
      <c r="M227" s="33" t="s">
        <v>505</v>
      </c>
    </row>
    <row r="228" spans="1:13">
      <c r="A228" s="33">
        <v>21009</v>
      </c>
      <c r="B228" s="33" t="s">
        <v>25</v>
      </c>
      <c r="C228" s="33" t="s">
        <v>489</v>
      </c>
      <c r="D228" s="33" t="s">
        <v>512</v>
      </c>
      <c r="I228" s="33">
        <v>0</v>
      </c>
      <c r="J228" s="33">
        <v>0</v>
      </c>
      <c r="K228" s="33">
        <v>540</v>
      </c>
      <c r="L228" s="33">
        <v>540</v>
      </c>
      <c r="M228" s="33" t="s">
        <v>492</v>
      </c>
    </row>
    <row r="229" spans="1:13">
      <c r="A229" s="33">
        <v>21009</v>
      </c>
      <c r="B229" s="33" t="s">
        <v>25</v>
      </c>
      <c r="C229" s="33" t="s">
        <v>489</v>
      </c>
      <c r="D229" s="33" t="s">
        <v>513</v>
      </c>
      <c r="E229" s="33" t="s">
        <v>589</v>
      </c>
      <c r="F229" s="33" t="s">
        <v>632</v>
      </c>
      <c r="I229" s="33">
        <v>0</v>
      </c>
      <c r="J229" s="33">
        <v>123</v>
      </c>
      <c r="K229" s="33">
        <v>0</v>
      </c>
      <c r="L229" s="33">
        <v>123</v>
      </c>
      <c r="M229" s="33" t="s">
        <v>505</v>
      </c>
    </row>
    <row r="230" spans="1:13">
      <c r="A230" s="33">
        <v>21009</v>
      </c>
      <c r="B230" s="33" t="s">
        <v>25</v>
      </c>
      <c r="C230" s="33" t="s">
        <v>489</v>
      </c>
      <c r="D230" s="33" t="s">
        <v>518</v>
      </c>
      <c r="E230" s="33" t="s">
        <v>636</v>
      </c>
      <c r="I230" s="33">
        <v>0</v>
      </c>
      <c r="J230" s="33">
        <v>0</v>
      </c>
      <c r="K230" s="33">
        <v>540</v>
      </c>
      <c r="L230" s="33">
        <v>540</v>
      </c>
      <c r="M230" s="33" t="s">
        <v>505</v>
      </c>
    </row>
    <row r="231" spans="1:13">
      <c r="A231" s="33">
        <v>23038</v>
      </c>
      <c r="B231" s="33" t="s">
        <v>48</v>
      </c>
      <c r="C231" s="33" t="s">
        <v>489</v>
      </c>
      <c r="D231" s="33" t="s">
        <v>490</v>
      </c>
      <c r="I231" s="33">
        <v>0</v>
      </c>
      <c r="J231" s="33">
        <v>0</v>
      </c>
      <c r="K231" s="33">
        <v>540</v>
      </c>
      <c r="L231" s="33">
        <v>540</v>
      </c>
      <c r="M231" s="33" t="s">
        <v>492</v>
      </c>
    </row>
    <row r="232" spans="1:13">
      <c r="A232" s="33">
        <v>23038</v>
      </c>
      <c r="B232" s="33" t="s">
        <v>48</v>
      </c>
      <c r="C232" s="33" t="s">
        <v>489</v>
      </c>
      <c r="D232" s="33" t="s">
        <v>491</v>
      </c>
      <c r="E232" s="33" t="s">
        <v>637</v>
      </c>
      <c r="I232" s="33">
        <v>249</v>
      </c>
      <c r="J232" s="33">
        <v>0</v>
      </c>
      <c r="K232" s="33">
        <v>291</v>
      </c>
      <c r="L232" s="33">
        <v>540</v>
      </c>
      <c r="M232" s="33" t="s">
        <v>522</v>
      </c>
    </row>
    <row r="233" spans="1:13">
      <c r="A233" s="33">
        <v>23038</v>
      </c>
      <c r="B233" s="33" t="s">
        <v>48</v>
      </c>
      <c r="C233" s="33" t="s">
        <v>489</v>
      </c>
      <c r="D233" s="33" t="s">
        <v>493</v>
      </c>
      <c r="E233" s="33" t="s">
        <v>638</v>
      </c>
      <c r="I233" s="33">
        <v>58</v>
      </c>
      <c r="J233" s="33">
        <v>0</v>
      </c>
      <c r="K233" s="33">
        <v>482</v>
      </c>
      <c r="L233" s="33">
        <v>540</v>
      </c>
      <c r="M233" s="33" t="s">
        <v>522</v>
      </c>
    </row>
    <row r="234" spans="1:13">
      <c r="A234" s="33">
        <v>23038</v>
      </c>
      <c r="B234" s="33" t="s">
        <v>48</v>
      </c>
      <c r="C234" s="33" t="s">
        <v>489</v>
      </c>
      <c r="D234" s="33" t="s">
        <v>494</v>
      </c>
      <c r="E234" s="33" t="s">
        <v>639</v>
      </c>
      <c r="I234" s="33">
        <v>148</v>
      </c>
      <c r="J234" s="33">
        <v>0</v>
      </c>
      <c r="K234" s="33">
        <v>392</v>
      </c>
      <c r="L234" s="33">
        <v>540</v>
      </c>
      <c r="M234" s="33" t="s">
        <v>522</v>
      </c>
    </row>
    <row r="235" spans="1:13">
      <c r="A235" s="33">
        <v>23038</v>
      </c>
      <c r="B235" s="33" t="s">
        <v>48</v>
      </c>
      <c r="C235" s="33" t="s">
        <v>489</v>
      </c>
      <c r="D235" s="33" t="s">
        <v>495</v>
      </c>
      <c r="E235" s="33" t="s">
        <v>583</v>
      </c>
      <c r="I235" s="33">
        <v>107</v>
      </c>
      <c r="J235" s="33">
        <v>0</v>
      </c>
      <c r="K235" s="33">
        <v>433</v>
      </c>
      <c r="L235" s="33">
        <v>540</v>
      </c>
      <c r="M235" s="33" t="s">
        <v>522</v>
      </c>
    </row>
    <row r="236" spans="1:13">
      <c r="A236" s="33">
        <v>23038</v>
      </c>
      <c r="B236" s="33" t="s">
        <v>48</v>
      </c>
      <c r="C236" s="33" t="s">
        <v>489</v>
      </c>
      <c r="D236" s="33" t="s">
        <v>496</v>
      </c>
      <c r="E236" s="33" t="s">
        <v>529</v>
      </c>
      <c r="I236" s="33">
        <v>63</v>
      </c>
      <c r="J236" s="33">
        <v>0</v>
      </c>
      <c r="K236" s="33">
        <v>477</v>
      </c>
      <c r="L236" s="33">
        <v>540</v>
      </c>
      <c r="M236" s="33" t="s">
        <v>522</v>
      </c>
    </row>
    <row r="237" spans="1:13">
      <c r="A237" s="33">
        <v>23038</v>
      </c>
      <c r="B237" s="33" t="s">
        <v>48</v>
      </c>
      <c r="C237" s="33" t="s">
        <v>489</v>
      </c>
      <c r="D237" s="33" t="s">
        <v>497</v>
      </c>
      <c r="E237" s="33" t="s">
        <v>640</v>
      </c>
      <c r="I237" s="33">
        <v>100</v>
      </c>
      <c r="J237" s="33">
        <v>0</v>
      </c>
      <c r="K237" s="33">
        <v>440</v>
      </c>
      <c r="L237" s="33">
        <v>540</v>
      </c>
      <c r="M237" s="33" t="s">
        <v>522</v>
      </c>
    </row>
    <row r="238" spans="1:13">
      <c r="A238" s="33">
        <v>23038</v>
      </c>
      <c r="B238" s="33" t="s">
        <v>48</v>
      </c>
      <c r="C238" s="33" t="s">
        <v>489</v>
      </c>
      <c r="D238" s="33" t="s">
        <v>498</v>
      </c>
      <c r="E238" s="33" t="s">
        <v>641</v>
      </c>
      <c r="I238" s="33">
        <v>74</v>
      </c>
      <c r="J238" s="33">
        <v>0</v>
      </c>
      <c r="K238" s="33">
        <v>466</v>
      </c>
      <c r="L238" s="33">
        <v>540</v>
      </c>
      <c r="M238" s="33" t="s">
        <v>522</v>
      </c>
    </row>
    <row r="239" spans="1:13">
      <c r="A239" s="33">
        <v>23038</v>
      </c>
      <c r="B239" s="33" t="s">
        <v>48</v>
      </c>
      <c r="C239" s="33" t="s">
        <v>489</v>
      </c>
      <c r="D239" s="33" t="s">
        <v>499</v>
      </c>
      <c r="E239" s="33" t="s">
        <v>642</v>
      </c>
      <c r="I239" s="33">
        <v>111</v>
      </c>
      <c r="J239" s="33">
        <v>0</v>
      </c>
      <c r="K239" s="33">
        <v>429</v>
      </c>
      <c r="L239" s="33">
        <v>540</v>
      </c>
      <c r="M239" s="33" t="s">
        <v>522</v>
      </c>
    </row>
    <row r="240" spans="1:13">
      <c r="A240" s="33">
        <v>23038</v>
      </c>
      <c r="B240" s="33" t="s">
        <v>48</v>
      </c>
      <c r="C240" s="33" t="s">
        <v>489</v>
      </c>
      <c r="D240" s="33" t="s">
        <v>500</v>
      </c>
      <c r="I240" s="33">
        <v>0</v>
      </c>
      <c r="J240" s="33">
        <v>0</v>
      </c>
      <c r="K240" s="33">
        <v>540</v>
      </c>
      <c r="L240" s="33">
        <v>540</v>
      </c>
      <c r="M240" s="33" t="s">
        <v>492</v>
      </c>
    </row>
    <row r="241" spans="1:13">
      <c r="A241" s="33">
        <v>23038</v>
      </c>
      <c r="B241" s="33" t="s">
        <v>48</v>
      </c>
      <c r="C241" s="33" t="s">
        <v>489</v>
      </c>
      <c r="D241" s="33" t="s">
        <v>501</v>
      </c>
      <c r="E241" s="33" t="s">
        <v>616</v>
      </c>
      <c r="I241" s="33">
        <v>59</v>
      </c>
      <c r="J241" s="33">
        <v>0</v>
      </c>
      <c r="K241" s="33">
        <v>481</v>
      </c>
      <c r="L241" s="33">
        <v>540</v>
      </c>
      <c r="M241" s="33" t="s">
        <v>522</v>
      </c>
    </row>
    <row r="242" spans="1:13">
      <c r="A242" s="33">
        <v>23038</v>
      </c>
      <c r="B242" s="33" t="s">
        <v>48</v>
      </c>
      <c r="C242" s="33" t="s">
        <v>489</v>
      </c>
      <c r="D242" s="33" t="s">
        <v>503</v>
      </c>
      <c r="I242" s="33">
        <v>0</v>
      </c>
      <c r="J242" s="33">
        <v>0</v>
      </c>
      <c r="K242" s="33">
        <v>540</v>
      </c>
      <c r="L242" s="33">
        <v>540</v>
      </c>
      <c r="M242" s="33" t="s">
        <v>492</v>
      </c>
    </row>
    <row r="243" spans="1:13">
      <c r="A243" s="33">
        <v>23038</v>
      </c>
      <c r="B243" s="33" t="s">
        <v>48</v>
      </c>
      <c r="C243" s="33" t="s">
        <v>489</v>
      </c>
      <c r="D243" s="33" t="s">
        <v>506</v>
      </c>
      <c r="I243" s="33">
        <v>0</v>
      </c>
      <c r="J243" s="33">
        <v>0</v>
      </c>
      <c r="K243" s="33">
        <v>540</v>
      </c>
      <c r="L243" s="33">
        <v>540</v>
      </c>
      <c r="M243" s="33" t="s">
        <v>492</v>
      </c>
    </row>
    <row r="244" spans="1:13">
      <c r="A244" s="33">
        <v>23038</v>
      </c>
      <c r="B244" s="33" t="s">
        <v>48</v>
      </c>
      <c r="C244" s="33" t="s">
        <v>489</v>
      </c>
      <c r="D244" s="33" t="s">
        <v>507</v>
      </c>
      <c r="E244" s="33" t="s">
        <v>643</v>
      </c>
      <c r="I244" s="33">
        <v>85</v>
      </c>
      <c r="J244" s="33">
        <v>0</v>
      </c>
      <c r="K244" s="33">
        <v>455</v>
      </c>
      <c r="L244" s="33">
        <v>540</v>
      </c>
      <c r="M244" s="33" t="s">
        <v>522</v>
      </c>
    </row>
    <row r="245" spans="1:13">
      <c r="A245" s="33">
        <v>23038</v>
      </c>
      <c r="B245" s="33" t="s">
        <v>48</v>
      </c>
      <c r="C245" s="33" t="s">
        <v>489</v>
      </c>
      <c r="D245" s="33" t="s">
        <v>508</v>
      </c>
      <c r="E245" s="33" t="s">
        <v>644</v>
      </c>
      <c r="I245" s="33">
        <v>197</v>
      </c>
      <c r="J245" s="33">
        <v>0</v>
      </c>
      <c r="K245" s="33">
        <v>343</v>
      </c>
      <c r="L245" s="33">
        <v>540</v>
      </c>
      <c r="M245" s="33" t="s">
        <v>522</v>
      </c>
    </row>
    <row r="246" spans="1:13">
      <c r="A246" s="33">
        <v>23038</v>
      </c>
      <c r="B246" s="33" t="s">
        <v>48</v>
      </c>
      <c r="C246" s="33" t="s">
        <v>489</v>
      </c>
      <c r="D246" s="33" t="s">
        <v>534</v>
      </c>
      <c r="I246" s="33">
        <v>0</v>
      </c>
      <c r="J246" s="33">
        <v>0</v>
      </c>
      <c r="K246" s="33">
        <v>540</v>
      </c>
      <c r="L246" s="33">
        <v>540</v>
      </c>
      <c r="M246" s="33" t="s">
        <v>492</v>
      </c>
    </row>
    <row r="247" spans="1:13">
      <c r="A247" s="33">
        <v>23038</v>
      </c>
      <c r="B247" s="33" t="s">
        <v>48</v>
      </c>
      <c r="C247" s="33" t="s">
        <v>489</v>
      </c>
      <c r="D247" s="33" t="s">
        <v>535</v>
      </c>
      <c r="E247" s="33" t="s">
        <v>618</v>
      </c>
      <c r="I247" s="33">
        <v>75</v>
      </c>
      <c r="J247" s="33">
        <v>0</v>
      </c>
      <c r="K247" s="33">
        <v>465</v>
      </c>
      <c r="L247" s="33">
        <v>540</v>
      </c>
      <c r="M247" s="33" t="s">
        <v>522</v>
      </c>
    </row>
    <row r="248" spans="1:13">
      <c r="A248" s="33">
        <v>23038</v>
      </c>
      <c r="B248" s="33" t="s">
        <v>48</v>
      </c>
      <c r="C248" s="33" t="s">
        <v>489</v>
      </c>
      <c r="D248" s="33" t="s">
        <v>509</v>
      </c>
      <c r="E248" s="33" t="s">
        <v>531</v>
      </c>
      <c r="I248" s="33">
        <v>65</v>
      </c>
      <c r="J248" s="33">
        <v>0</v>
      </c>
      <c r="K248" s="33">
        <v>475</v>
      </c>
      <c r="L248" s="33">
        <v>540</v>
      </c>
      <c r="M248" s="33" t="s">
        <v>522</v>
      </c>
    </row>
    <row r="249" spans="1:13">
      <c r="A249" s="33">
        <v>23038</v>
      </c>
      <c r="B249" s="33" t="s">
        <v>48</v>
      </c>
      <c r="C249" s="33" t="s">
        <v>489</v>
      </c>
      <c r="D249" s="33" t="s">
        <v>510</v>
      </c>
      <c r="E249" s="33" t="s">
        <v>645</v>
      </c>
      <c r="I249" s="33">
        <v>72</v>
      </c>
      <c r="J249" s="33">
        <v>0</v>
      </c>
      <c r="K249" s="33">
        <v>468</v>
      </c>
      <c r="L249" s="33">
        <v>540</v>
      </c>
      <c r="M249" s="33" t="s">
        <v>522</v>
      </c>
    </row>
    <row r="250" spans="1:13">
      <c r="A250" s="33">
        <v>23038</v>
      </c>
      <c r="B250" s="33" t="s">
        <v>48</v>
      </c>
      <c r="C250" s="33" t="s">
        <v>489</v>
      </c>
      <c r="D250" s="33" t="s">
        <v>538</v>
      </c>
      <c r="E250" s="33" t="s">
        <v>646</v>
      </c>
      <c r="I250" s="33">
        <v>108</v>
      </c>
      <c r="J250" s="33">
        <v>0</v>
      </c>
      <c r="K250" s="33">
        <v>432</v>
      </c>
      <c r="L250" s="33">
        <v>540</v>
      </c>
      <c r="M250" s="33" t="s">
        <v>522</v>
      </c>
    </row>
    <row r="251" spans="1:13">
      <c r="A251" s="33">
        <v>23038</v>
      </c>
      <c r="B251" s="33" t="s">
        <v>48</v>
      </c>
      <c r="C251" s="33" t="s">
        <v>489</v>
      </c>
      <c r="D251" s="33" t="s">
        <v>540</v>
      </c>
      <c r="I251" s="33">
        <v>0</v>
      </c>
      <c r="J251" s="33">
        <v>0</v>
      </c>
      <c r="K251" s="33">
        <v>540</v>
      </c>
      <c r="L251" s="33">
        <v>540</v>
      </c>
      <c r="M251" s="33" t="s">
        <v>492</v>
      </c>
    </row>
    <row r="252" spans="1:13">
      <c r="A252" s="33">
        <v>23038</v>
      </c>
      <c r="B252" s="33" t="s">
        <v>48</v>
      </c>
      <c r="C252" s="33" t="s">
        <v>489</v>
      </c>
      <c r="D252" s="33" t="s">
        <v>543</v>
      </c>
      <c r="I252" s="33">
        <v>0</v>
      </c>
      <c r="J252" s="33">
        <v>0</v>
      </c>
      <c r="K252" s="33">
        <v>540</v>
      </c>
      <c r="L252" s="33">
        <v>540</v>
      </c>
      <c r="M252" s="33" t="s">
        <v>492</v>
      </c>
    </row>
    <row r="253" spans="1:13">
      <c r="A253" s="33">
        <v>23038</v>
      </c>
      <c r="B253" s="33" t="s">
        <v>48</v>
      </c>
      <c r="C253" s="33" t="s">
        <v>489</v>
      </c>
      <c r="D253" s="33" t="s">
        <v>512</v>
      </c>
      <c r="I253" s="33">
        <v>0</v>
      </c>
      <c r="J253" s="33">
        <v>0</v>
      </c>
      <c r="K253" s="33">
        <v>540</v>
      </c>
      <c r="L253" s="33">
        <v>540</v>
      </c>
      <c r="M253" s="33" t="s">
        <v>492</v>
      </c>
    </row>
    <row r="254" spans="1:13">
      <c r="A254" s="33">
        <v>23038</v>
      </c>
      <c r="B254" s="33" t="s">
        <v>48</v>
      </c>
      <c r="C254" s="33" t="s">
        <v>489</v>
      </c>
      <c r="D254" s="33" t="s">
        <v>513</v>
      </c>
      <c r="I254" s="33">
        <v>0</v>
      </c>
      <c r="J254" s="33">
        <v>0</v>
      </c>
      <c r="K254" s="33">
        <v>540</v>
      </c>
      <c r="L254" s="33">
        <v>540</v>
      </c>
      <c r="M254" s="33" t="s">
        <v>492</v>
      </c>
    </row>
    <row r="255" spans="1:13">
      <c r="A255" s="33">
        <v>23038</v>
      </c>
      <c r="B255" s="33" t="s">
        <v>48</v>
      </c>
      <c r="C255" s="33" t="s">
        <v>489</v>
      </c>
      <c r="D255" s="33" t="s">
        <v>515</v>
      </c>
      <c r="I255" s="33">
        <v>0</v>
      </c>
      <c r="J255" s="33">
        <v>0</v>
      </c>
      <c r="K255" s="33">
        <v>540</v>
      </c>
      <c r="L255" s="33">
        <v>540</v>
      </c>
      <c r="M255" s="33" t="s">
        <v>492</v>
      </c>
    </row>
    <row r="256" spans="1:13">
      <c r="A256" s="33">
        <v>23038</v>
      </c>
      <c r="B256" s="33" t="s">
        <v>48</v>
      </c>
      <c r="C256" s="33" t="s">
        <v>489</v>
      </c>
      <c r="D256" s="33" t="s">
        <v>517</v>
      </c>
      <c r="I256" s="33">
        <v>0</v>
      </c>
      <c r="J256" s="33">
        <v>0</v>
      </c>
      <c r="K256" s="33">
        <v>540</v>
      </c>
      <c r="L256" s="33">
        <v>540</v>
      </c>
      <c r="M256" s="33" t="s">
        <v>492</v>
      </c>
    </row>
    <row r="257" spans="1:13">
      <c r="A257" s="33">
        <v>23038</v>
      </c>
      <c r="B257" s="33" t="s">
        <v>48</v>
      </c>
      <c r="C257" s="33" t="s">
        <v>489</v>
      </c>
      <c r="D257" s="33" t="s">
        <v>518</v>
      </c>
      <c r="I257" s="33">
        <v>0</v>
      </c>
      <c r="J257" s="33">
        <v>0</v>
      </c>
      <c r="K257" s="33">
        <v>540</v>
      </c>
      <c r="L257" s="33">
        <v>540</v>
      </c>
      <c r="M257" s="33" t="s">
        <v>492</v>
      </c>
    </row>
    <row r="258" spans="1:13">
      <c r="A258" s="33">
        <v>18002</v>
      </c>
      <c r="B258" s="33" t="s">
        <v>18</v>
      </c>
      <c r="C258" s="33" t="s">
        <v>647</v>
      </c>
      <c r="D258" s="33" t="s">
        <v>491</v>
      </c>
      <c r="E258" s="33" t="s">
        <v>630</v>
      </c>
      <c r="F258" s="33" t="s">
        <v>648</v>
      </c>
      <c r="I258" s="33">
        <v>18</v>
      </c>
      <c r="J258" s="33">
        <v>0</v>
      </c>
      <c r="K258" s="33">
        <v>0</v>
      </c>
      <c r="L258" s="33">
        <v>18</v>
      </c>
      <c r="M258" s="33" t="s">
        <v>505</v>
      </c>
    </row>
    <row r="259" spans="1:13">
      <c r="A259" s="33">
        <v>18002</v>
      </c>
      <c r="B259" s="33" t="s">
        <v>18</v>
      </c>
      <c r="C259" s="33" t="s">
        <v>647</v>
      </c>
      <c r="D259" s="33" t="s">
        <v>498</v>
      </c>
      <c r="E259" s="33" t="s">
        <v>649</v>
      </c>
      <c r="F259" s="33" t="s">
        <v>650</v>
      </c>
      <c r="I259" s="33">
        <v>15</v>
      </c>
      <c r="J259" s="33">
        <v>0</v>
      </c>
      <c r="K259" s="33">
        <v>0</v>
      </c>
      <c r="L259" s="33">
        <v>15</v>
      </c>
      <c r="M259" s="33" t="s">
        <v>505</v>
      </c>
    </row>
    <row r="260" spans="1:13">
      <c r="A260" s="33">
        <v>18002</v>
      </c>
      <c r="B260" s="33" t="s">
        <v>18</v>
      </c>
      <c r="C260" s="33" t="s">
        <v>647</v>
      </c>
      <c r="D260" s="33" t="s">
        <v>506</v>
      </c>
      <c r="I260" s="33">
        <v>0</v>
      </c>
      <c r="J260" s="33">
        <v>0</v>
      </c>
      <c r="K260" s="33">
        <v>540</v>
      </c>
      <c r="L260" s="33">
        <v>540</v>
      </c>
      <c r="M260" s="33" t="s">
        <v>492</v>
      </c>
    </row>
    <row r="261" spans="1:13">
      <c r="A261" s="33">
        <v>18002</v>
      </c>
      <c r="B261" s="33" t="s">
        <v>18</v>
      </c>
      <c r="C261" s="33" t="s">
        <v>647</v>
      </c>
      <c r="D261" s="33" t="s">
        <v>507</v>
      </c>
      <c r="E261" s="33" t="s">
        <v>651</v>
      </c>
      <c r="F261" s="33" t="s">
        <v>629</v>
      </c>
      <c r="I261" s="33">
        <v>134</v>
      </c>
      <c r="J261" s="33">
        <v>0</v>
      </c>
      <c r="K261" s="33">
        <v>0</v>
      </c>
      <c r="L261" s="33">
        <v>134</v>
      </c>
      <c r="M261" s="33" t="s">
        <v>522</v>
      </c>
    </row>
    <row r="262" spans="1:13">
      <c r="A262" s="33">
        <v>18002</v>
      </c>
      <c r="B262" s="33" t="s">
        <v>18</v>
      </c>
      <c r="C262" s="33" t="s">
        <v>647</v>
      </c>
      <c r="D262" s="33" t="s">
        <v>534</v>
      </c>
      <c r="E262" s="33" t="s">
        <v>652</v>
      </c>
      <c r="F262" s="33" t="s">
        <v>653</v>
      </c>
      <c r="I262" s="33">
        <v>68</v>
      </c>
      <c r="J262" s="33">
        <v>0</v>
      </c>
      <c r="K262" s="33">
        <v>0</v>
      </c>
      <c r="L262" s="33">
        <v>68</v>
      </c>
      <c r="M262" s="33" t="s">
        <v>522</v>
      </c>
    </row>
    <row r="263" spans="1:13">
      <c r="A263" s="33">
        <v>18002</v>
      </c>
      <c r="B263" s="33" t="s">
        <v>18</v>
      </c>
      <c r="C263" s="33" t="s">
        <v>647</v>
      </c>
      <c r="D263" s="33" t="s">
        <v>510</v>
      </c>
      <c r="E263" s="33" t="s">
        <v>654</v>
      </c>
      <c r="I263" s="33">
        <v>11</v>
      </c>
      <c r="J263" s="33">
        <v>0</v>
      </c>
      <c r="K263" s="33">
        <v>529</v>
      </c>
      <c r="L263" s="33">
        <v>540</v>
      </c>
      <c r="M263" s="33" t="s">
        <v>505</v>
      </c>
    </row>
    <row r="264" spans="1:13">
      <c r="A264" s="33">
        <v>18002</v>
      </c>
      <c r="B264" s="33" t="s">
        <v>18</v>
      </c>
      <c r="C264" s="33" t="s">
        <v>647</v>
      </c>
      <c r="D264" s="33" t="s">
        <v>540</v>
      </c>
      <c r="E264" s="33" t="s">
        <v>592</v>
      </c>
      <c r="F264" s="33" t="s">
        <v>629</v>
      </c>
      <c r="I264" s="33">
        <v>16</v>
      </c>
      <c r="J264" s="33">
        <v>0</v>
      </c>
      <c r="K264" s="33">
        <v>0</v>
      </c>
      <c r="L264" s="33">
        <v>16</v>
      </c>
      <c r="M264" s="33" t="s">
        <v>505</v>
      </c>
    </row>
    <row r="265" spans="1:13">
      <c r="A265" s="33">
        <v>18002</v>
      </c>
      <c r="B265" s="33" t="s">
        <v>18</v>
      </c>
      <c r="C265" s="33" t="s">
        <v>647</v>
      </c>
      <c r="D265" s="33" t="s">
        <v>543</v>
      </c>
      <c r="E265" s="33" t="s">
        <v>635</v>
      </c>
      <c r="F265" s="33" t="s">
        <v>655</v>
      </c>
      <c r="I265" s="33">
        <v>26</v>
      </c>
      <c r="J265" s="33">
        <v>0</v>
      </c>
      <c r="K265" s="33">
        <v>0</v>
      </c>
      <c r="L265" s="33">
        <v>26</v>
      </c>
      <c r="M265" s="33" t="s">
        <v>505</v>
      </c>
    </row>
    <row r="266" spans="1:13">
      <c r="A266" s="33">
        <v>18002</v>
      </c>
      <c r="B266" s="33" t="s">
        <v>18</v>
      </c>
      <c r="C266" s="33" t="s">
        <v>647</v>
      </c>
      <c r="D266" s="33" t="s">
        <v>512</v>
      </c>
      <c r="I266" s="33">
        <v>0</v>
      </c>
      <c r="J266" s="33">
        <v>0</v>
      </c>
      <c r="K266" s="33">
        <v>540</v>
      </c>
      <c r="L266" s="33">
        <v>540</v>
      </c>
      <c r="M266" s="33" t="s">
        <v>492</v>
      </c>
    </row>
    <row r="267" spans="1:13">
      <c r="A267" s="33">
        <v>18002</v>
      </c>
      <c r="B267" s="33" t="s">
        <v>18</v>
      </c>
      <c r="C267" s="33" t="s">
        <v>647</v>
      </c>
      <c r="D267" s="33" t="s">
        <v>515</v>
      </c>
      <c r="E267" s="33" t="s">
        <v>654</v>
      </c>
      <c r="F267" s="33" t="s">
        <v>576</v>
      </c>
      <c r="I267" s="33">
        <v>11</v>
      </c>
      <c r="J267" s="33">
        <v>0</v>
      </c>
      <c r="K267" s="33">
        <v>0</v>
      </c>
      <c r="L267" s="33">
        <v>11</v>
      </c>
      <c r="M267" s="33" t="s">
        <v>505</v>
      </c>
    </row>
    <row r="268" spans="1:13">
      <c r="A268" s="33">
        <v>18002</v>
      </c>
      <c r="B268" s="33" t="s">
        <v>18</v>
      </c>
      <c r="C268" s="33" t="s">
        <v>647</v>
      </c>
      <c r="D268" s="33" t="s">
        <v>518</v>
      </c>
      <c r="E268" s="33" t="s">
        <v>656</v>
      </c>
      <c r="I268" s="33">
        <v>0</v>
      </c>
      <c r="J268" s="33">
        <v>0</v>
      </c>
      <c r="K268" s="33">
        <v>540</v>
      </c>
      <c r="L268" s="33">
        <v>540</v>
      </c>
      <c r="M268" s="33" t="s">
        <v>505</v>
      </c>
    </row>
    <row r="269" spans="1:13">
      <c r="A269" s="33">
        <v>18003</v>
      </c>
      <c r="B269" s="33" t="s">
        <v>19</v>
      </c>
      <c r="C269" s="33" t="s">
        <v>647</v>
      </c>
      <c r="D269" s="33" t="s">
        <v>490</v>
      </c>
      <c r="E269" s="33" t="s">
        <v>657</v>
      </c>
      <c r="F269" s="33" t="s">
        <v>657</v>
      </c>
      <c r="I269" s="33">
        <v>432</v>
      </c>
      <c r="J269" s="33">
        <v>108</v>
      </c>
      <c r="K269" s="33">
        <v>0</v>
      </c>
      <c r="L269" s="33">
        <v>540</v>
      </c>
      <c r="M269" s="33" t="s">
        <v>522</v>
      </c>
    </row>
    <row r="270" spans="1:13">
      <c r="A270" s="33">
        <v>18003</v>
      </c>
      <c r="B270" s="33" t="s">
        <v>19</v>
      </c>
      <c r="C270" s="33" t="s">
        <v>647</v>
      </c>
      <c r="D270" s="33" t="s">
        <v>491</v>
      </c>
      <c r="I270" s="33">
        <v>0</v>
      </c>
      <c r="J270" s="33">
        <v>0</v>
      </c>
      <c r="K270" s="33">
        <v>540</v>
      </c>
      <c r="L270" s="33">
        <v>540</v>
      </c>
      <c r="M270" s="33" t="s">
        <v>492</v>
      </c>
    </row>
    <row r="271" spans="1:13">
      <c r="A271" s="33">
        <v>18003</v>
      </c>
      <c r="B271" s="33" t="s">
        <v>19</v>
      </c>
      <c r="C271" s="33" t="s">
        <v>647</v>
      </c>
      <c r="D271" s="33" t="s">
        <v>493</v>
      </c>
      <c r="I271" s="33">
        <v>0</v>
      </c>
      <c r="J271" s="33">
        <v>0</v>
      </c>
      <c r="K271" s="33">
        <v>540</v>
      </c>
      <c r="L271" s="33">
        <v>540</v>
      </c>
      <c r="M271" s="33" t="s">
        <v>492</v>
      </c>
    </row>
    <row r="272" spans="1:13">
      <c r="A272" s="33">
        <v>18003</v>
      </c>
      <c r="B272" s="33" t="s">
        <v>19</v>
      </c>
      <c r="C272" s="33" t="s">
        <v>647</v>
      </c>
      <c r="D272" s="33" t="s">
        <v>494</v>
      </c>
      <c r="I272" s="33">
        <v>0</v>
      </c>
      <c r="J272" s="33">
        <v>0</v>
      </c>
      <c r="K272" s="33">
        <v>540</v>
      </c>
      <c r="L272" s="33">
        <v>540</v>
      </c>
      <c r="M272" s="33" t="s">
        <v>492</v>
      </c>
    </row>
    <row r="273" spans="1:13">
      <c r="A273" s="33">
        <v>18003</v>
      </c>
      <c r="B273" s="33" t="s">
        <v>19</v>
      </c>
      <c r="C273" s="33" t="s">
        <v>647</v>
      </c>
      <c r="D273" s="33" t="s">
        <v>495</v>
      </c>
      <c r="I273" s="33">
        <v>0</v>
      </c>
      <c r="J273" s="33">
        <v>0</v>
      </c>
      <c r="K273" s="33">
        <v>540</v>
      </c>
      <c r="L273" s="33">
        <v>540</v>
      </c>
      <c r="M273" s="33" t="s">
        <v>492</v>
      </c>
    </row>
    <row r="274" spans="1:13">
      <c r="A274" s="33">
        <v>18003</v>
      </c>
      <c r="B274" s="33" t="s">
        <v>19</v>
      </c>
      <c r="C274" s="33" t="s">
        <v>647</v>
      </c>
      <c r="D274" s="33" t="s">
        <v>497</v>
      </c>
      <c r="I274" s="33">
        <v>0</v>
      </c>
      <c r="J274" s="33">
        <v>0</v>
      </c>
      <c r="K274" s="33">
        <v>540</v>
      </c>
      <c r="L274" s="33">
        <v>540</v>
      </c>
      <c r="M274" s="33" t="s">
        <v>492</v>
      </c>
    </row>
    <row r="275" spans="1:13">
      <c r="A275" s="33">
        <v>18003</v>
      </c>
      <c r="B275" s="33" t="s">
        <v>19</v>
      </c>
      <c r="C275" s="33" t="s">
        <v>647</v>
      </c>
      <c r="D275" s="33" t="s">
        <v>498</v>
      </c>
      <c r="I275" s="33">
        <v>0</v>
      </c>
      <c r="J275" s="33">
        <v>0</v>
      </c>
      <c r="K275" s="33">
        <v>540</v>
      </c>
      <c r="L275" s="33">
        <v>540</v>
      </c>
      <c r="M275" s="33" t="s">
        <v>492</v>
      </c>
    </row>
    <row r="276" spans="1:13">
      <c r="A276" s="33">
        <v>18003</v>
      </c>
      <c r="B276" s="33" t="s">
        <v>19</v>
      </c>
      <c r="C276" s="33" t="s">
        <v>647</v>
      </c>
      <c r="D276" s="33" t="s">
        <v>499</v>
      </c>
      <c r="I276" s="33">
        <v>0</v>
      </c>
      <c r="J276" s="33">
        <v>0</v>
      </c>
      <c r="K276" s="33">
        <v>540</v>
      </c>
      <c r="L276" s="33">
        <v>540</v>
      </c>
      <c r="M276" s="33" t="s">
        <v>492</v>
      </c>
    </row>
    <row r="277" spans="1:13">
      <c r="A277" s="33">
        <v>18003</v>
      </c>
      <c r="B277" s="33" t="s">
        <v>19</v>
      </c>
      <c r="C277" s="33" t="s">
        <v>647</v>
      </c>
      <c r="D277" s="33" t="s">
        <v>500</v>
      </c>
      <c r="I277" s="33">
        <v>0</v>
      </c>
      <c r="J277" s="33">
        <v>0</v>
      </c>
      <c r="K277" s="33">
        <v>540</v>
      </c>
      <c r="L277" s="33">
        <v>540</v>
      </c>
      <c r="M277" s="33" t="s">
        <v>492</v>
      </c>
    </row>
    <row r="278" spans="1:13">
      <c r="A278" s="33">
        <v>18003</v>
      </c>
      <c r="B278" s="33" t="s">
        <v>19</v>
      </c>
      <c r="C278" s="33" t="s">
        <v>647</v>
      </c>
      <c r="D278" s="33" t="s">
        <v>501</v>
      </c>
      <c r="I278" s="33">
        <v>0</v>
      </c>
      <c r="J278" s="33">
        <v>0</v>
      </c>
      <c r="K278" s="33">
        <v>540</v>
      </c>
      <c r="L278" s="33">
        <v>540</v>
      </c>
      <c r="M278" s="33" t="s">
        <v>492</v>
      </c>
    </row>
    <row r="279" spans="1:13">
      <c r="A279" s="33">
        <v>18003</v>
      </c>
      <c r="B279" s="33" t="s">
        <v>19</v>
      </c>
      <c r="C279" s="33" t="s">
        <v>647</v>
      </c>
      <c r="D279" s="33" t="s">
        <v>506</v>
      </c>
      <c r="I279" s="33">
        <v>0</v>
      </c>
      <c r="J279" s="33">
        <v>0</v>
      </c>
      <c r="K279" s="33">
        <v>540</v>
      </c>
      <c r="L279" s="33">
        <v>540</v>
      </c>
      <c r="M279" s="33" t="s">
        <v>492</v>
      </c>
    </row>
    <row r="280" spans="1:13">
      <c r="A280" s="33">
        <v>18003</v>
      </c>
      <c r="B280" s="33" t="s">
        <v>19</v>
      </c>
      <c r="C280" s="33" t="s">
        <v>647</v>
      </c>
      <c r="D280" s="33" t="s">
        <v>507</v>
      </c>
      <c r="I280" s="33">
        <v>0</v>
      </c>
      <c r="J280" s="33">
        <v>0</v>
      </c>
      <c r="K280" s="33">
        <v>540</v>
      </c>
      <c r="L280" s="33">
        <v>540</v>
      </c>
      <c r="M280" s="33" t="s">
        <v>492</v>
      </c>
    </row>
    <row r="281" spans="1:13">
      <c r="A281" s="33">
        <v>18003</v>
      </c>
      <c r="B281" s="33" t="s">
        <v>19</v>
      </c>
      <c r="C281" s="33" t="s">
        <v>647</v>
      </c>
      <c r="D281" s="33" t="s">
        <v>508</v>
      </c>
      <c r="I281" s="33">
        <v>0</v>
      </c>
      <c r="J281" s="33">
        <v>0</v>
      </c>
      <c r="K281" s="33">
        <v>540</v>
      </c>
      <c r="L281" s="33">
        <v>540</v>
      </c>
      <c r="M281" s="33" t="s">
        <v>492</v>
      </c>
    </row>
    <row r="282" spans="1:13">
      <c r="A282" s="33">
        <v>18003</v>
      </c>
      <c r="B282" s="33" t="s">
        <v>19</v>
      </c>
      <c r="C282" s="33" t="s">
        <v>647</v>
      </c>
      <c r="D282" s="33" t="s">
        <v>534</v>
      </c>
      <c r="I282" s="33">
        <v>0</v>
      </c>
      <c r="J282" s="33">
        <v>0</v>
      </c>
      <c r="K282" s="33">
        <v>540</v>
      </c>
      <c r="L282" s="33">
        <v>540</v>
      </c>
      <c r="M282" s="33" t="s">
        <v>492</v>
      </c>
    </row>
    <row r="283" spans="1:13">
      <c r="A283" s="33">
        <v>18003</v>
      </c>
      <c r="B283" s="33" t="s">
        <v>19</v>
      </c>
      <c r="C283" s="33" t="s">
        <v>647</v>
      </c>
      <c r="D283" s="33" t="s">
        <v>535</v>
      </c>
      <c r="I283" s="33">
        <v>0</v>
      </c>
      <c r="J283" s="33">
        <v>0</v>
      </c>
      <c r="K283" s="33">
        <v>540</v>
      </c>
      <c r="L283" s="33">
        <v>540</v>
      </c>
      <c r="M283" s="33" t="s">
        <v>492</v>
      </c>
    </row>
    <row r="284" spans="1:13">
      <c r="A284" s="33">
        <v>18003</v>
      </c>
      <c r="B284" s="33" t="s">
        <v>19</v>
      </c>
      <c r="C284" s="33" t="s">
        <v>647</v>
      </c>
      <c r="D284" s="33" t="s">
        <v>510</v>
      </c>
      <c r="I284" s="33">
        <v>0</v>
      </c>
      <c r="J284" s="33">
        <v>0</v>
      </c>
      <c r="K284" s="33">
        <v>540</v>
      </c>
      <c r="L284" s="33">
        <v>540</v>
      </c>
      <c r="M284" s="33" t="s">
        <v>492</v>
      </c>
    </row>
    <row r="285" spans="1:13">
      <c r="A285" s="33">
        <v>18003</v>
      </c>
      <c r="B285" s="33" t="s">
        <v>19</v>
      </c>
      <c r="C285" s="33" t="s">
        <v>647</v>
      </c>
      <c r="D285" s="33" t="s">
        <v>538</v>
      </c>
      <c r="I285" s="33">
        <v>0</v>
      </c>
      <c r="J285" s="33">
        <v>0</v>
      </c>
      <c r="K285" s="33">
        <v>540</v>
      </c>
      <c r="L285" s="33">
        <v>540</v>
      </c>
      <c r="M285" s="33" t="s">
        <v>492</v>
      </c>
    </row>
    <row r="286" spans="1:13">
      <c r="A286" s="33">
        <v>18003</v>
      </c>
      <c r="B286" s="33" t="s">
        <v>19</v>
      </c>
      <c r="C286" s="33" t="s">
        <v>647</v>
      </c>
      <c r="D286" s="33" t="s">
        <v>540</v>
      </c>
      <c r="I286" s="33">
        <v>0</v>
      </c>
      <c r="J286" s="33">
        <v>0</v>
      </c>
      <c r="K286" s="33">
        <v>540</v>
      </c>
      <c r="L286" s="33">
        <v>540</v>
      </c>
      <c r="M286" s="33" t="s">
        <v>492</v>
      </c>
    </row>
    <row r="287" spans="1:13">
      <c r="A287" s="33">
        <v>18003</v>
      </c>
      <c r="B287" s="33" t="s">
        <v>19</v>
      </c>
      <c r="C287" s="33" t="s">
        <v>647</v>
      </c>
      <c r="D287" s="33" t="s">
        <v>543</v>
      </c>
      <c r="I287" s="33">
        <v>0</v>
      </c>
      <c r="J287" s="33">
        <v>0</v>
      </c>
      <c r="K287" s="33">
        <v>540</v>
      </c>
      <c r="L287" s="33">
        <v>540</v>
      </c>
      <c r="M287" s="33" t="s">
        <v>492</v>
      </c>
    </row>
    <row r="288" spans="1:13">
      <c r="A288" s="33">
        <v>18003</v>
      </c>
      <c r="B288" s="33" t="s">
        <v>19</v>
      </c>
      <c r="C288" s="33" t="s">
        <v>647</v>
      </c>
      <c r="D288" s="33" t="s">
        <v>512</v>
      </c>
      <c r="I288" s="33">
        <v>0</v>
      </c>
      <c r="J288" s="33">
        <v>0</v>
      </c>
      <c r="K288" s="33">
        <v>540</v>
      </c>
      <c r="L288" s="33">
        <v>540</v>
      </c>
      <c r="M288" s="33" t="s">
        <v>492</v>
      </c>
    </row>
    <row r="289" spans="1:13">
      <c r="A289" s="33">
        <v>18003</v>
      </c>
      <c r="B289" s="33" t="s">
        <v>19</v>
      </c>
      <c r="C289" s="33" t="s">
        <v>647</v>
      </c>
      <c r="D289" s="33" t="s">
        <v>515</v>
      </c>
      <c r="I289" s="33">
        <v>0</v>
      </c>
      <c r="J289" s="33">
        <v>0</v>
      </c>
      <c r="K289" s="33">
        <v>540</v>
      </c>
      <c r="L289" s="33">
        <v>540</v>
      </c>
      <c r="M289" s="33" t="s">
        <v>492</v>
      </c>
    </row>
    <row r="290" spans="1:13">
      <c r="A290" s="33">
        <v>18003</v>
      </c>
      <c r="B290" s="33" t="s">
        <v>19</v>
      </c>
      <c r="C290" s="33" t="s">
        <v>647</v>
      </c>
      <c r="D290" s="33" t="s">
        <v>517</v>
      </c>
      <c r="I290" s="33">
        <v>0</v>
      </c>
      <c r="J290" s="33">
        <v>0</v>
      </c>
      <c r="K290" s="33">
        <v>540</v>
      </c>
      <c r="L290" s="33">
        <v>540</v>
      </c>
      <c r="M290" s="33" t="s">
        <v>492</v>
      </c>
    </row>
    <row r="291" spans="1:13">
      <c r="A291" s="33">
        <v>18003</v>
      </c>
      <c r="B291" s="33" t="s">
        <v>19</v>
      </c>
      <c r="C291" s="33" t="s">
        <v>647</v>
      </c>
      <c r="D291" s="33" t="s">
        <v>518</v>
      </c>
      <c r="I291" s="33">
        <v>0</v>
      </c>
      <c r="J291" s="33">
        <v>0</v>
      </c>
      <c r="K291" s="33">
        <v>540</v>
      </c>
      <c r="L291" s="33">
        <v>540</v>
      </c>
      <c r="M291" s="33" t="s">
        <v>492</v>
      </c>
    </row>
    <row r="292" spans="1:13">
      <c r="A292" s="33">
        <v>21008</v>
      </c>
      <c r="B292" s="33" t="s">
        <v>103</v>
      </c>
      <c r="C292" s="33" t="s">
        <v>647</v>
      </c>
      <c r="D292" s="33" t="s">
        <v>490</v>
      </c>
      <c r="E292" s="33" t="s">
        <v>656</v>
      </c>
      <c r="I292" s="33">
        <v>0</v>
      </c>
      <c r="J292" s="33">
        <v>0</v>
      </c>
      <c r="K292" s="33">
        <v>540</v>
      </c>
      <c r="L292" s="33">
        <v>540</v>
      </c>
      <c r="M292" s="33" t="s">
        <v>505</v>
      </c>
    </row>
    <row r="293" spans="1:13">
      <c r="A293" s="33">
        <v>21008</v>
      </c>
      <c r="B293" s="33" t="s">
        <v>103</v>
      </c>
      <c r="C293" s="33" t="s">
        <v>647</v>
      </c>
      <c r="D293" s="33" t="s">
        <v>491</v>
      </c>
      <c r="E293" s="33" t="s">
        <v>658</v>
      </c>
      <c r="F293" s="33" t="s">
        <v>653</v>
      </c>
      <c r="I293" s="33">
        <v>60</v>
      </c>
      <c r="J293" s="33">
        <v>0</v>
      </c>
      <c r="K293" s="33">
        <v>0</v>
      </c>
      <c r="L293" s="33">
        <v>60</v>
      </c>
      <c r="M293" s="33" t="s">
        <v>522</v>
      </c>
    </row>
    <row r="294" spans="1:13">
      <c r="A294" s="33">
        <v>21008</v>
      </c>
      <c r="B294" s="33" t="s">
        <v>103</v>
      </c>
      <c r="C294" s="33" t="s">
        <v>647</v>
      </c>
      <c r="D294" s="33" t="s">
        <v>506</v>
      </c>
      <c r="I294" s="33">
        <v>0</v>
      </c>
      <c r="J294" s="33">
        <v>0</v>
      </c>
      <c r="K294" s="33">
        <v>540</v>
      </c>
      <c r="L294" s="33">
        <v>540</v>
      </c>
      <c r="M294" s="33" t="s">
        <v>492</v>
      </c>
    </row>
    <row r="295" spans="1:13">
      <c r="A295" s="33">
        <v>21008</v>
      </c>
      <c r="B295" s="33" t="s">
        <v>103</v>
      </c>
      <c r="C295" s="33" t="s">
        <v>647</v>
      </c>
      <c r="D295" s="33" t="s">
        <v>507</v>
      </c>
      <c r="E295" s="33" t="s">
        <v>511</v>
      </c>
      <c r="F295" s="33" t="s">
        <v>584</v>
      </c>
      <c r="I295" s="33">
        <v>13</v>
      </c>
      <c r="J295" s="33">
        <v>0</v>
      </c>
      <c r="K295" s="33">
        <v>0</v>
      </c>
      <c r="L295" s="33">
        <v>13</v>
      </c>
      <c r="M295" s="33" t="s">
        <v>505</v>
      </c>
    </row>
    <row r="296" spans="1:13">
      <c r="A296" s="33">
        <v>21008</v>
      </c>
      <c r="B296" s="33" t="s">
        <v>103</v>
      </c>
      <c r="C296" s="33" t="s">
        <v>647</v>
      </c>
      <c r="D296" s="33" t="s">
        <v>534</v>
      </c>
      <c r="E296" s="33" t="s">
        <v>593</v>
      </c>
      <c r="F296" s="33" t="s">
        <v>588</v>
      </c>
      <c r="I296" s="33">
        <v>12</v>
      </c>
      <c r="J296" s="33">
        <v>0</v>
      </c>
      <c r="K296" s="33">
        <v>0</v>
      </c>
      <c r="L296" s="33">
        <v>12</v>
      </c>
      <c r="M296" s="33" t="s">
        <v>505</v>
      </c>
    </row>
    <row r="297" spans="1:13">
      <c r="A297" s="33">
        <v>21008</v>
      </c>
      <c r="B297" s="33" t="s">
        <v>103</v>
      </c>
      <c r="C297" s="33" t="s">
        <v>647</v>
      </c>
      <c r="D297" s="33" t="s">
        <v>538</v>
      </c>
      <c r="E297" s="33" t="s">
        <v>592</v>
      </c>
      <c r="F297" s="33" t="s">
        <v>659</v>
      </c>
      <c r="I297" s="33">
        <v>16</v>
      </c>
      <c r="J297" s="33">
        <v>0</v>
      </c>
      <c r="K297" s="33">
        <v>0</v>
      </c>
      <c r="L297" s="33">
        <v>16</v>
      </c>
      <c r="M297" s="33" t="s">
        <v>505</v>
      </c>
    </row>
    <row r="298" spans="1:13">
      <c r="A298" s="33">
        <v>21008</v>
      </c>
      <c r="B298" s="33" t="s">
        <v>103</v>
      </c>
      <c r="C298" s="33" t="s">
        <v>647</v>
      </c>
      <c r="D298" s="33" t="s">
        <v>543</v>
      </c>
      <c r="E298" s="33" t="s">
        <v>630</v>
      </c>
      <c r="F298" s="33" t="s">
        <v>660</v>
      </c>
      <c r="I298" s="33">
        <v>18</v>
      </c>
      <c r="J298" s="33">
        <v>0</v>
      </c>
      <c r="K298" s="33">
        <v>0</v>
      </c>
      <c r="L298" s="33">
        <v>18</v>
      </c>
      <c r="M298" s="33" t="s">
        <v>505</v>
      </c>
    </row>
    <row r="299" spans="1:13">
      <c r="A299" s="33">
        <v>21008</v>
      </c>
      <c r="B299" s="33" t="s">
        <v>103</v>
      </c>
      <c r="C299" s="33" t="s">
        <v>647</v>
      </c>
      <c r="D299" s="33" t="s">
        <v>512</v>
      </c>
      <c r="I299" s="33">
        <v>0</v>
      </c>
      <c r="J299" s="33">
        <v>0</v>
      </c>
      <c r="K299" s="33">
        <v>540</v>
      </c>
      <c r="L299" s="33">
        <v>540</v>
      </c>
      <c r="M299" s="33" t="s">
        <v>492</v>
      </c>
    </row>
    <row r="300" spans="1:13">
      <c r="A300" s="33">
        <v>21008</v>
      </c>
      <c r="B300" s="33" t="s">
        <v>103</v>
      </c>
      <c r="C300" s="33" t="s">
        <v>647</v>
      </c>
      <c r="D300" s="33" t="s">
        <v>515</v>
      </c>
      <c r="I300" s="33">
        <v>0</v>
      </c>
      <c r="J300" s="33">
        <v>0</v>
      </c>
      <c r="K300" s="33">
        <v>540</v>
      </c>
      <c r="L300" s="33">
        <v>540</v>
      </c>
      <c r="M300" s="33" t="s">
        <v>492</v>
      </c>
    </row>
    <row r="301" spans="1:13">
      <c r="A301" s="33">
        <v>21008</v>
      </c>
      <c r="B301" s="33" t="s">
        <v>103</v>
      </c>
      <c r="C301" s="33" t="s">
        <v>647</v>
      </c>
      <c r="D301" s="33" t="s">
        <v>517</v>
      </c>
      <c r="I301" s="33">
        <v>0</v>
      </c>
      <c r="J301" s="33">
        <v>0</v>
      </c>
      <c r="K301" s="33">
        <v>540</v>
      </c>
      <c r="L301" s="33">
        <v>540</v>
      </c>
      <c r="M301" s="33" t="s">
        <v>492</v>
      </c>
    </row>
    <row r="302" spans="1:13">
      <c r="A302" s="33">
        <v>21008</v>
      </c>
      <c r="B302" s="33" t="s">
        <v>103</v>
      </c>
      <c r="C302" s="33" t="s">
        <v>647</v>
      </c>
      <c r="D302" s="33" t="s">
        <v>518</v>
      </c>
      <c r="I302" s="33">
        <v>0</v>
      </c>
      <c r="J302" s="33">
        <v>0</v>
      </c>
      <c r="K302" s="33">
        <v>540</v>
      </c>
      <c r="L302" s="33">
        <v>540</v>
      </c>
      <c r="M302" s="33" t="s">
        <v>492</v>
      </c>
    </row>
    <row r="303" spans="1:13">
      <c r="A303" s="33">
        <v>23049</v>
      </c>
      <c r="B303" s="33" t="s">
        <v>59</v>
      </c>
      <c r="C303" s="33" t="s">
        <v>647</v>
      </c>
      <c r="D303" s="33" t="s">
        <v>490</v>
      </c>
      <c r="E303" s="33" t="s">
        <v>551</v>
      </c>
      <c r="I303" s="33">
        <v>51</v>
      </c>
      <c r="J303" s="33">
        <v>0</v>
      </c>
      <c r="K303" s="33">
        <v>489</v>
      </c>
      <c r="L303" s="33">
        <v>540</v>
      </c>
      <c r="M303" s="33" t="s">
        <v>522</v>
      </c>
    </row>
    <row r="304" spans="1:13">
      <c r="A304" s="33">
        <v>23049</v>
      </c>
      <c r="B304" s="33" t="s">
        <v>59</v>
      </c>
      <c r="C304" s="33" t="s">
        <v>647</v>
      </c>
      <c r="D304" s="33" t="s">
        <v>491</v>
      </c>
      <c r="E304" s="33" t="s">
        <v>626</v>
      </c>
      <c r="F304" s="33" t="s">
        <v>576</v>
      </c>
      <c r="I304" s="33">
        <v>38</v>
      </c>
      <c r="J304" s="33">
        <v>0</v>
      </c>
      <c r="K304" s="33">
        <v>0</v>
      </c>
      <c r="L304" s="33">
        <v>38</v>
      </c>
      <c r="M304" s="33" t="s">
        <v>522</v>
      </c>
    </row>
    <row r="305" spans="1:13">
      <c r="A305" s="33">
        <v>23049</v>
      </c>
      <c r="B305" s="33" t="s">
        <v>59</v>
      </c>
      <c r="C305" s="33" t="s">
        <v>647</v>
      </c>
      <c r="D305" s="33" t="s">
        <v>493</v>
      </c>
      <c r="E305" s="33" t="s">
        <v>567</v>
      </c>
      <c r="F305" s="33" t="s">
        <v>552</v>
      </c>
      <c r="I305" s="33">
        <v>39</v>
      </c>
      <c r="J305" s="33">
        <v>0</v>
      </c>
      <c r="K305" s="33">
        <v>0</v>
      </c>
      <c r="L305" s="33">
        <v>39</v>
      </c>
      <c r="M305" s="33" t="s">
        <v>522</v>
      </c>
    </row>
    <row r="306" spans="1:13">
      <c r="A306" s="33">
        <v>23049</v>
      </c>
      <c r="B306" s="33" t="s">
        <v>59</v>
      </c>
      <c r="C306" s="33" t="s">
        <v>647</v>
      </c>
      <c r="D306" s="33" t="s">
        <v>494</v>
      </c>
      <c r="E306" s="33" t="s">
        <v>580</v>
      </c>
      <c r="I306" s="33">
        <v>44</v>
      </c>
      <c r="J306" s="33">
        <v>0</v>
      </c>
      <c r="K306" s="33">
        <v>496</v>
      </c>
      <c r="L306" s="33">
        <v>540</v>
      </c>
      <c r="M306" s="33" t="s">
        <v>522</v>
      </c>
    </row>
    <row r="307" spans="1:13">
      <c r="A307" s="33">
        <v>23049</v>
      </c>
      <c r="B307" s="33" t="s">
        <v>59</v>
      </c>
      <c r="C307" s="33" t="s">
        <v>647</v>
      </c>
      <c r="D307" s="33" t="s">
        <v>495</v>
      </c>
      <c r="E307" s="33" t="s">
        <v>628</v>
      </c>
      <c r="F307" s="33" t="s">
        <v>661</v>
      </c>
      <c r="I307" s="33">
        <v>33</v>
      </c>
      <c r="J307" s="33">
        <v>0</v>
      </c>
      <c r="K307" s="33">
        <v>0</v>
      </c>
      <c r="L307" s="33">
        <v>33</v>
      </c>
      <c r="M307" s="33" t="s">
        <v>522</v>
      </c>
    </row>
    <row r="308" spans="1:13">
      <c r="A308" s="33">
        <v>23049</v>
      </c>
      <c r="B308" s="33" t="s">
        <v>59</v>
      </c>
      <c r="C308" s="33" t="s">
        <v>647</v>
      </c>
      <c r="D308" s="33" t="s">
        <v>497</v>
      </c>
      <c r="E308" s="33" t="s">
        <v>662</v>
      </c>
      <c r="F308" s="33" t="s">
        <v>648</v>
      </c>
      <c r="I308" s="33">
        <v>21</v>
      </c>
      <c r="J308" s="33">
        <v>0</v>
      </c>
      <c r="K308" s="33">
        <v>0</v>
      </c>
      <c r="L308" s="33">
        <v>21</v>
      </c>
      <c r="M308" s="33" t="s">
        <v>505</v>
      </c>
    </row>
    <row r="309" spans="1:13">
      <c r="A309" s="33">
        <v>23049</v>
      </c>
      <c r="B309" s="33" t="s">
        <v>59</v>
      </c>
      <c r="C309" s="33" t="s">
        <v>647</v>
      </c>
      <c r="D309" s="33" t="s">
        <v>498</v>
      </c>
      <c r="I309" s="33">
        <v>0</v>
      </c>
      <c r="J309" s="33">
        <v>0</v>
      </c>
      <c r="K309" s="33">
        <v>540</v>
      </c>
      <c r="L309" s="33">
        <v>540</v>
      </c>
      <c r="M309" s="33" t="s">
        <v>492</v>
      </c>
    </row>
    <row r="310" spans="1:13">
      <c r="A310" s="33">
        <v>23049</v>
      </c>
      <c r="B310" s="33" t="s">
        <v>59</v>
      </c>
      <c r="C310" s="33" t="s">
        <v>647</v>
      </c>
      <c r="D310" s="33" t="s">
        <v>499</v>
      </c>
      <c r="I310" s="33">
        <v>0</v>
      </c>
      <c r="J310" s="33">
        <v>0</v>
      </c>
      <c r="K310" s="33">
        <v>540</v>
      </c>
      <c r="L310" s="33">
        <v>540</v>
      </c>
      <c r="M310" s="33" t="s">
        <v>492</v>
      </c>
    </row>
    <row r="311" spans="1:13">
      <c r="A311" s="33">
        <v>23049</v>
      </c>
      <c r="B311" s="33" t="s">
        <v>59</v>
      </c>
      <c r="C311" s="33" t="s">
        <v>647</v>
      </c>
      <c r="D311" s="33" t="s">
        <v>500</v>
      </c>
      <c r="I311" s="33">
        <v>0</v>
      </c>
      <c r="J311" s="33">
        <v>0</v>
      </c>
      <c r="K311" s="33">
        <v>540</v>
      </c>
      <c r="L311" s="33">
        <v>540</v>
      </c>
      <c r="M311" s="33" t="s">
        <v>492</v>
      </c>
    </row>
    <row r="312" spans="1:13">
      <c r="A312" s="33">
        <v>23049</v>
      </c>
      <c r="B312" s="33" t="s">
        <v>59</v>
      </c>
      <c r="C312" s="33" t="s">
        <v>647</v>
      </c>
      <c r="D312" s="33" t="s">
        <v>501</v>
      </c>
      <c r="E312" s="33" t="s">
        <v>525</v>
      </c>
      <c r="F312" s="33" t="s">
        <v>663</v>
      </c>
      <c r="I312" s="33">
        <v>40</v>
      </c>
      <c r="J312" s="33">
        <v>0</v>
      </c>
      <c r="K312" s="33">
        <v>0</v>
      </c>
      <c r="L312" s="33">
        <v>40</v>
      </c>
      <c r="M312" s="33" t="s">
        <v>522</v>
      </c>
    </row>
    <row r="313" spans="1:13">
      <c r="A313" s="33">
        <v>23049</v>
      </c>
      <c r="B313" s="33" t="s">
        <v>59</v>
      </c>
      <c r="C313" s="33" t="s">
        <v>647</v>
      </c>
      <c r="D313" s="33" t="s">
        <v>506</v>
      </c>
      <c r="I313" s="33">
        <v>0</v>
      </c>
      <c r="J313" s="33">
        <v>0</v>
      </c>
      <c r="K313" s="33">
        <v>540</v>
      </c>
      <c r="L313" s="33">
        <v>540</v>
      </c>
      <c r="M313" s="33" t="s">
        <v>492</v>
      </c>
    </row>
    <row r="314" spans="1:13">
      <c r="A314" s="33">
        <v>23049</v>
      </c>
      <c r="B314" s="33" t="s">
        <v>59</v>
      </c>
      <c r="C314" s="33" t="s">
        <v>647</v>
      </c>
      <c r="D314" s="33" t="s">
        <v>507</v>
      </c>
      <c r="E314" s="33" t="s">
        <v>547</v>
      </c>
      <c r="F314" s="33" t="s">
        <v>588</v>
      </c>
      <c r="I314" s="33">
        <v>41</v>
      </c>
      <c r="J314" s="33">
        <v>0</v>
      </c>
      <c r="K314" s="33">
        <v>0</v>
      </c>
      <c r="L314" s="33">
        <v>41</v>
      </c>
      <c r="M314" s="33" t="s">
        <v>522</v>
      </c>
    </row>
    <row r="315" spans="1:13">
      <c r="A315" s="33">
        <v>23049</v>
      </c>
      <c r="B315" s="33" t="s">
        <v>59</v>
      </c>
      <c r="C315" s="33" t="s">
        <v>647</v>
      </c>
      <c r="D315" s="33" t="s">
        <v>508</v>
      </c>
      <c r="E315" s="33" t="s">
        <v>567</v>
      </c>
      <c r="F315" s="33" t="s">
        <v>648</v>
      </c>
      <c r="I315" s="33">
        <v>39</v>
      </c>
      <c r="J315" s="33">
        <v>0</v>
      </c>
      <c r="K315" s="33">
        <v>0</v>
      </c>
      <c r="L315" s="33">
        <v>39</v>
      </c>
      <c r="M315" s="33" t="s">
        <v>522</v>
      </c>
    </row>
    <row r="316" spans="1:13">
      <c r="A316" s="33">
        <v>23049</v>
      </c>
      <c r="B316" s="33" t="s">
        <v>59</v>
      </c>
      <c r="C316" s="33" t="s">
        <v>647</v>
      </c>
      <c r="D316" s="33" t="s">
        <v>534</v>
      </c>
      <c r="E316" s="33" t="s">
        <v>664</v>
      </c>
      <c r="F316" s="33" t="s">
        <v>663</v>
      </c>
      <c r="I316" s="33">
        <v>47</v>
      </c>
      <c r="J316" s="33">
        <v>0</v>
      </c>
      <c r="K316" s="33">
        <v>0</v>
      </c>
      <c r="L316" s="33">
        <v>47</v>
      </c>
      <c r="M316" s="33" t="s">
        <v>522</v>
      </c>
    </row>
    <row r="317" spans="1:13">
      <c r="A317" s="33">
        <v>23049</v>
      </c>
      <c r="B317" s="33" t="s">
        <v>59</v>
      </c>
      <c r="C317" s="33" t="s">
        <v>647</v>
      </c>
      <c r="D317" s="33" t="s">
        <v>535</v>
      </c>
      <c r="E317" s="33" t="s">
        <v>665</v>
      </c>
      <c r="F317" s="33" t="s">
        <v>661</v>
      </c>
      <c r="I317" s="33">
        <v>55</v>
      </c>
      <c r="J317" s="33">
        <v>0</v>
      </c>
      <c r="K317" s="33">
        <v>0</v>
      </c>
      <c r="L317" s="33">
        <v>55</v>
      </c>
      <c r="M317" s="33" t="s">
        <v>522</v>
      </c>
    </row>
    <row r="318" spans="1:13">
      <c r="A318" s="33">
        <v>23049</v>
      </c>
      <c r="B318" s="33" t="s">
        <v>59</v>
      </c>
      <c r="C318" s="33" t="s">
        <v>647</v>
      </c>
      <c r="D318" s="33" t="s">
        <v>510</v>
      </c>
      <c r="E318" s="33" t="s">
        <v>666</v>
      </c>
      <c r="F318" s="33" t="s">
        <v>653</v>
      </c>
      <c r="I318" s="33">
        <v>54</v>
      </c>
      <c r="J318" s="33">
        <v>0</v>
      </c>
      <c r="K318" s="33">
        <v>0</v>
      </c>
      <c r="L318" s="33">
        <v>54</v>
      </c>
      <c r="M318" s="33" t="s">
        <v>522</v>
      </c>
    </row>
    <row r="319" spans="1:13">
      <c r="A319" s="33">
        <v>23049</v>
      </c>
      <c r="B319" s="33" t="s">
        <v>59</v>
      </c>
      <c r="C319" s="33" t="s">
        <v>647</v>
      </c>
      <c r="D319" s="33" t="s">
        <v>538</v>
      </c>
      <c r="E319" s="33" t="s">
        <v>551</v>
      </c>
      <c r="F319" s="33" t="s">
        <v>530</v>
      </c>
      <c r="I319" s="33">
        <v>51</v>
      </c>
      <c r="J319" s="33">
        <v>0</v>
      </c>
      <c r="K319" s="33">
        <v>0</v>
      </c>
      <c r="L319" s="33">
        <v>51</v>
      </c>
      <c r="M319" s="33" t="s">
        <v>522</v>
      </c>
    </row>
    <row r="320" spans="1:13">
      <c r="A320" s="33">
        <v>23049</v>
      </c>
      <c r="B320" s="33" t="s">
        <v>59</v>
      </c>
      <c r="C320" s="33" t="s">
        <v>647</v>
      </c>
      <c r="D320" s="33" t="s">
        <v>540</v>
      </c>
      <c r="E320" s="33" t="s">
        <v>567</v>
      </c>
      <c r="F320" s="33" t="s">
        <v>565</v>
      </c>
      <c r="I320" s="33">
        <v>39</v>
      </c>
      <c r="J320" s="33">
        <v>0</v>
      </c>
      <c r="K320" s="33">
        <v>0</v>
      </c>
      <c r="L320" s="33">
        <v>39</v>
      </c>
      <c r="M320" s="33" t="s">
        <v>522</v>
      </c>
    </row>
    <row r="321" spans="1:13">
      <c r="A321" s="33">
        <v>23049</v>
      </c>
      <c r="B321" s="33" t="s">
        <v>59</v>
      </c>
      <c r="C321" s="33" t="s">
        <v>647</v>
      </c>
      <c r="D321" s="33" t="s">
        <v>543</v>
      </c>
      <c r="E321" s="33" t="s">
        <v>567</v>
      </c>
      <c r="F321" s="33" t="s">
        <v>552</v>
      </c>
      <c r="I321" s="33">
        <v>39</v>
      </c>
      <c r="J321" s="33">
        <v>0</v>
      </c>
      <c r="K321" s="33">
        <v>0</v>
      </c>
      <c r="L321" s="33">
        <v>39</v>
      </c>
      <c r="M321" s="33" t="s">
        <v>522</v>
      </c>
    </row>
    <row r="322" spans="1:13">
      <c r="A322" s="33">
        <v>23049</v>
      </c>
      <c r="B322" s="33" t="s">
        <v>59</v>
      </c>
      <c r="C322" s="33" t="s">
        <v>647</v>
      </c>
      <c r="D322" s="33" t="s">
        <v>512</v>
      </c>
      <c r="I322" s="33">
        <v>0</v>
      </c>
      <c r="J322" s="33">
        <v>0</v>
      </c>
      <c r="K322" s="33">
        <v>540</v>
      </c>
      <c r="L322" s="33">
        <v>540</v>
      </c>
      <c r="M322" s="33" t="s">
        <v>492</v>
      </c>
    </row>
    <row r="323" spans="1:13">
      <c r="A323" s="33">
        <v>23049</v>
      </c>
      <c r="B323" s="33" t="s">
        <v>59</v>
      </c>
      <c r="C323" s="33" t="s">
        <v>647</v>
      </c>
      <c r="D323" s="33" t="s">
        <v>515</v>
      </c>
      <c r="E323" s="33" t="s">
        <v>667</v>
      </c>
      <c r="F323" s="33" t="s">
        <v>661</v>
      </c>
      <c r="I323" s="33">
        <v>35</v>
      </c>
      <c r="J323" s="33">
        <v>0</v>
      </c>
      <c r="K323" s="33">
        <v>0</v>
      </c>
      <c r="L323" s="33">
        <v>35</v>
      </c>
      <c r="M323" s="33" t="s">
        <v>522</v>
      </c>
    </row>
    <row r="324" spans="1:13">
      <c r="A324" s="33">
        <v>23049</v>
      </c>
      <c r="B324" s="33" t="s">
        <v>59</v>
      </c>
      <c r="C324" s="33" t="s">
        <v>647</v>
      </c>
      <c r="D324" s="33" t="s">
        <v>517</v>
      </c>
      <c r="E324" s="33" t="s">
        <v>525</v>
      </c>
      <c r="I324" s="33">
        <v>40</v>
      </c>
      <c r="J324" s="33">
        <v>0</v>
      </c>
      <c r="K324" s="33">
        <v>500</v>
      </c>
      <c r="L324" s="33">
        <v>540</v>
      </c>
      <c r="M324" s="33" t="s">
        <v>522</v>
      </c>
    </row>
    <row r="325" spans="1:13">
      <c r="A325" s="33">
        <v>23049</v>
      </c>
      <c r="B325" s="33" t="s">
        <v>59</v>
      </c>
      <c r="C325" s="33" t="s">
        <v>647</v>
      </c>
      <c r="D325" s="33" t="s">
        <v>518</v>
      </c>
      <c r="E325" s="33" t="s">
        <v>668</v>
      </c>
      <c r="I325" s="33">
        <v>50</v>
      </c>
      <c r="J325" s="33">
        <v>0</v>
      </c>
      <c r="K325" s="33">
        <v>490</v>
      </c>
      <c r="L325" s="33">
        <v>540</v>
      </c>
      <c r="M325" s="33" t="s">
        <v>522</v>
      </c>
    </row>
    <row r="326" spans="1:13">
      <c r="A326" s="33">
        <v>22013</v>
      </c>
      <c r="B326" s="33" t="s">
        <v>28</v>
      </c>
      <c r="C326" s="33" t="s">
        <v>647</v>
      </c>
      <c r="D326" s="33" t="s">
        <v>491</v>
      </c>
      <c r="E326" s="33" t="s">
        <v>630</v>
      </c>
      <c r="F326" s="33" t="s">
        <v>655</v>
      </c>
      <c r="I326" s="33">
        <v>18</v>
      </c>
      <c r="J326" s="33">
        <v>0</v>
      </c>
      <c r="K326" s="33">
        <v>0</v>
      </c>
      <c r="L326" s="33">
        <v>18</v>
      </c>
      <c r="M326" s="33" t="s">
        <v>505</v>
      </c>
    </row>
    <row r="327" spans="1:13">
      <c r="A327" s="33">
        <v>22013</v>
      </c>
      <c r="B327" s="33" t="s">
        <v>28</v>
      </c>
      <c r="C327" s="33" t="s">
        <v>647</v>
      </c>
      <c r="D327" s="33" t="s">
        <v>493</v>
      </c>
      <c r="E327" s="33" t="s">
        <v>634</v>
      </c>
      <c r="I327" s="33">
        <v>0</v>
      </c>
      <c r="J327" s="33">
        <v>0</v>
      </c>
      <c r="K327" s="33">
        <v>540</v>
      </c>
      <c r="L327" s="33">
        <v>540</v>
      </c>
      <c r="M327" s="33" t="s">
        <v>505</v>
      </c>
    </row>
    <row r="328" spans="1:13">
      <c r="A328" s="33">
        <v>22013</v>
      </c>
      <c r="B328" s="33" t="s">
        <v>28</v>
      </c>
      <c r="C328" s="33" t="s">
        <v>647</v>
      </c>
      <c r="D328" s="33" t="s">
        <v>495</v>
      </c>
      <c r="E328" s="33" t="s">
        <v>669</v>
      </c>
      <c r="F328" s="33" t="s">
        <v>663</v>
      </c>
      <c r="I328" s="33">
        <v>36</v>
      </c>
      <c r="J328" s="33">
        <v>0</v>
      </c>
      <c r="K328" s="33">
        <v>0</v>
      </c>
      <c r="L328" s="33">
        <v>36</v>
      </c>
      <c r="M328" s="33" t="s">
        <v>522</v>
      </c>
    </row>
    <row r="329" spans="1:13">
      <c r="A329" s="33">
        <v>22013</v>
      </c>
      <c r="B329" s="33" t="s">
        <v>28</v>
      </c>
      <c r="C329" s="33" t="s">
        <v>647</v>
      </c>
      <c r="D329" s="33" t="s">
        <v>497</v>
      </c>
      <c r="E329" s="33" t="s">
        <v>514</v>
      </c>
      <c r="F329" s="33" t="s">
        <v>670</v>
      </c>
      <c r="I329" s="33">
        <v>14</v>
      </c>
      <c r="J329" s="33">
        <v>0</v>
      </c>
      <c r="K329" s="33">
        <v>0</v>
      </c>
      <c r="L329" s="33">
        <v>14</v>
      </c>
      <c r="M329" s="33" t="s">
        <v>505</v>
      </c>
    </row>
    <row r="330" spans="1:13">
      <c r="A330" s="33">
        <v>22013</v>
      </c>
      <c r="B330" s="33" t="s">
        <v>28</v>
      </c>
      <c r="C330" s="33" t="s">
        <v>647</v>
      </c>
      <c r="D330" s="33" t="s">
        <v>499</v>
      </c>
      <c r="E330" s="33" t="s">
        <v>671</v>
      </c>
      <c r="F330" s="33" t="s">
        <v>653</v>
      </c>
      <c r="I330" s="33">
        <v>99</v>
      </c>
      <c r="J330" s="33">
        <v>0</v>
      </c>
      <c r="K330" s="33">
        <v>0</v>
      </c>
      <c r="L330" s="33">
        <v>99</v>
      </c>
      <c r="M330" s="33" t="s">
        <v>522</v>
      </c>
    </row>
    <row r="331" spans="1:13">
      <c r="A331" s="33">
        <v>22013</v>
      </c>
      <c r="B331" s="33" t="s">
        <v>28</v>
      </c>
      <c r="C331" s="33" t="s">
        <v>647</v>
      </c>
      <c r="D331" s="33" t="s">
        <v>506</v>
      </c>
      <c r="I331" s="33">
        <v>0</v>
      </c>
      <c r="J331" s="33">
        <v>0</v>
      </c>
      <c r="K331" s="33">
        <v>540</v>
      </c>
      <c r="L331" s="33">
        <v>540</v>
      </c>
      <c r="M331" s="33" t="s">
        <v>492</v>
      </c>
    </row>
    <row r="332" spans="1:13">
      <c r="A332" s="33">
        <v>22013</v>
      </c>
      <c r="B332" s="33" t="s">
        <v>28</v>
      </c>
      <c r="C332" s="33" t="s">
        <v>647</v>
      </c>
      <c r="D332" s="33" t="s">
        <v>507</v>
      </c>
      <c r="E332" s="33" t="s">
        <v>511</v>
      </c>
      <c r="F332" s="33" t="s">
        <v>672</v>
      </c>
      <c r="I332" s="33">
        <v>13</v>
      </c>
      <c r="J332" s="33">
        <v>0</v>
      </c>
      <c r="K332" s="33">
        <v>0</v>
      </c>
      <c r="L332" s="33">
        <v>13</v>
      </c>
      <c r="M332" s="33" t="s">
        <v>505</v>
      </c>
    </row>
    <row r="333" spans="1:13">
      <c r="A333" s="33">
        <v>22013</v>
      </c>
      <c r="B333" s="33" t="s">
        <v>28</v>
      </c>
      <c r="C333" s="33" t="s">
        <v>647</v>
      </c>
      <c r="D333" s="33" t="s">
        <v>534</v>
      </c>
      <c r="E333" s="33" t="s">
        <v>654</v>
      </c>
      <c r="F333" s="33" t="s">
        <v>672</v>
      </c>
      <c r="I333" s="33">
        <v>11</v>
      </c>
      <c r="J333" s="33">
        <v>0</v>
      </c>
      <c r="K333" s="33">
        <v>0</v>
      </c>
      <c r="L333" s="33">
        <v>11</v>
      </c>
      <c r="M333" s="33" t="s">
        <v>505</v>
      </c>
    </row>
    <row r="334" spans="1:13">
      <c r="A334" s="33">
        <v>22013</v>
      </c>
      <c r="B334" s="33" t="s">
        <v>28</v>
      </c>
      <c r="C334" s="33" t="s">
        <v>647</v>
      </c>
      <c r="D334" s="33" t="s">
        <v>535</v>
      </c>
      <c r="E334" s="33" t="s">
        <v>649</v>
      </c>
      <c r="F334" s="33" t="s">
        <v>568</v>
      </c>
      <c r="I334" s="33">
        <v>15</v>
      </c>
      <c r="J334" s="33">
        <v>0</v>
      </c>
      <c r="K334" s="33">
        <v>0</v>
      </c>
      <c r="L334" s="33">
        <v>15</v>
      </c>
      <c r="M334" s="33" t="s">
        <v>505</v>
      </c>
    </row>
    <row r="335" spans="1:13">
      <c r="A335" s="33">
        <v>22013</v>
      </c>
      <c r="B335" s="33" t="s">
        <v>28</v>
      </c>
      <c r="C335" s="33" t="s">
        <v>647</v>
      </c>
      <c r="D335" s="33" t="s">
        <v>510</v>
      </c>
      <c r="I335" s="33">
        <v>0</v>
      </c>
      <c r="J335" s="33">
        <v>0</v>
      </c>
      <c r="K335" s="33">
        <v>540</v>
      </c>
      <c r="L335" s="33">
        <v>540</v>
      </c>
      <c r="M335" s="33" t="s">
        <v>492</v>
      </c>
    </row>
    <row r="336" spans="1:13">
      <c r="A336" s="33">
        <v>22013</v>
      </c>
      <c r="B336" s="33" t="s">
        <v>28</v>
      </c>
      <c r="C336" s="33" t="s">
        <v>647</v>
      </c>
      <c r="D336" s="33" t="s">
        <v>543</v>
      </c>
      <c r="E336" s="33" t="s">
        <v>673</v>
      </c>
      <c r="F336" s="33" t="s">
        <v>648</v>
      </c>
      <c r="I336" s="33">
        <v>22</v>
      </c>
      <c r="J336" s="33">
        <v>0</v>
      </c>
      <c r="K336" s="33">
        <v>0</v>
      </c>
      <c r="L336" s="33">
        <v>22</v>
      </c>
      <c r="M336" s="33" t="s">
        <v>505</v>
      </c>
    </row>
    <row r="337" spans="1:13">
      <c r="A337" s="33">
        <v>22013</v>
      </c>
      <c r="B337" s="33" t="s">
        <v>28</v>
      </c>
      <c r="C337" s="33" t="s">
        <v>647</v>
      </c>
      <c r="D337" s="33" t="s">
        <v>512</v>
      </c>
      <c r="I337" s="33">
        <v>0</v>
      </c>
      <c r="J337" s="33">
        <v>0</v>
      </c>
      <c r="K337" s="33">
        <v>540</v>
      </c>
      <c r="L337" s="33">
        <v>540</v>
      </c>
      <c r="M337" s="33" t="s">
        <v>492</v>
      </c>
    </row>
    <row r="338" spans="1:13">
      <c r="A338" s="33">
        <v>22013</v>
      </c>
      <c r="B338" s="33" t="s">
        <v>28</v>
      </c>
      <c r="C338" s="33" t="s">
        <v>647</v>
      </c>
      <c r="D338" s="33" t="s">
        <v>515</v>
      </c>
      <c r="E338" s="33" t="s">
        <v>654</v>
      </c>
      <c r="F338" s="33" t="s">
        <v>568</v>
      </c>
      <c r="I338" s="33">
        <v>11</v>
      </c>
      <c r="J338" s="33">
        <v>0</v>
      </c>
      <c r="K338" s="33">
        <v>0</v>
      </c>
      <c r="L338" s="33">
        <v>11</v>
      </c>
      <c r="M338" s="33" t="s">
        <v>505</v>
      </c>
    </row>
    <row r="339" spans="1:13">
      <c r="A339" s="33">
        <v>22013</v>
      </c>
      <c r="B339" s="33" t="s">
        <v>28</v>
      </c>
      <c r="C339" s="33" t="s">
        <v>647</v>
      </c>
      <c r="D339" s="33" t="s">
        <v>518</v>
      </c>
      <c r="E339" s="33" t="s">
        <v>593</v>
      </c>
      <c r="I339" s="33">
        <v>12</v>
      </c>
      <c r="J339" s="33">
        <v>0</v>
      </c>
      <c r="K339" s="33">
        <v>528</v>
      </c>
      <c r="L339" s="33">
        <v>540</v>
      </c>
      <c r="M339" s="33" t="s">
        <v>505</v>
      </c>
    </row>
    <row r="340" spans="1:13">
      <c r="A340" s="33">
        <v>23026</v>
      </c>
      <c r="B340" s="33" t="s">
        <v>121</v>
      </c>
      <c r="C340" s="33" t="s">
        <v>647</v>
      </c>
      <c r="D340" s="33" t="s">
        <v>490</v>
      </c>
      <c r="E340" s="33" t="s">
        <v>674</v>
      </c>
      <c r="I340" s="33">
        <v>0</v>
      </c>
      <c r="J340" s="33">
        <v>0</v>
      </c>
      <c r="K340" s="33">
        <v>540</v>
      </c>
      <c r="L340" s="33">
        <v>540</v>
      </c>
      <c r="M340" s="33" t="s">
        <v>505</v>
      </c>
    </row>
    <row r="341" spans="1:13">
      <c r="A341" s="33">
        <v>23026</v>
      </c>
      <c r="B341" s="33" t="s">
        <v>121</v>
      </c>
      <c r="C341" s="33" t="s">
        <v>647</v>
      </c>
      <c r="D341" s="33" t="s">
        <v>491</v>
      </c>
      <c r="E341" s="33" t="s">
        <v>658</v>
      </c>
      <c r="F341" s="33" t="s">
        <v>648</v>
      </c>
      <c r="I341" s="33">
        <v>60</v>
      </c>
      <c r="J341" s="33">
        <v>0</v>
      </c>
      <c r="K341" s="33">
        <v>0</v>
      </c>
      <c r="L341" s="33">
        <v>60</v>
      </c>
      <c r="M341" s="33" t="s">
        <v>522</v>
      </c>
    </row>
    <row r="342" spans="1:13">
      <c r="A342" s="33">
        <v>23026</v>
      </c>
      <c r="B342" s="33" t="s">
        <v>121</v>
      </c>
      <c r="C342" s="33" t="s">
        <v>647</v>
      </c>
      <c r="D342" s="33" t="s">
        <v>493</v>
      </c>
      <c r="E342" s="33" t="s">
        <v>675</v>
      </c>
      <c r="F342" s="33" t="s">
        <v>655</v>
      </c>
      <c r="I342" s="33">
        <v>24</v>
      </c>
      <c r="J342" s="33">
        <v>0</v>
      </c>
      <c r="K342" s="33">
        <v>0</v>
      </c>
      <c r="L342" s="33">
        <v>24</v>
      </c>
      <c r="M342" s="33" t="s">
        <v>505</v>
      </c>
    </row>
    <row r="343" spans="1:13">
      <c r="A343" s="33">
        <v>23026</v>
      </c>
      <c r="B343" s="33" t="s">
        <v>121</v>
      </c>
      <c r="C343" s="33" t="s">
        <v>647</v>
      </c>
      <c r="D343" s="33" t="s">
        <v>495</v>
      </c>
      <c r="I343" s="33">
        <v>0</v>
      </c>
      <c r="J343" s="33">
        <v>0</v>
      </c>
      <c r="K343" s="33">
        <v>540</v>
      </c>
      <c r="L343" s="33">
        <v>540</v>
      </c>
      <c r="M343" s="33" t="s">
        <v>492</v>
      </c>
    </row>
    <row r="344" spans="1:13">
      <c r="A344" s="33">
        <v>23026</v>
      </c>
      <c r="B344" s="33" t="s">
        <v>121</v>
      </c>
      <c r="C344" s="33" t="s">
        <v>647</v>
      </c>
      <c r="D344" s="33" t="s">
        <v>497</v>
      </c>
      <c r="I344" s="33">
        <v>0</v>
      </c>
      <c r="J344" s="33">
        <v>0</v>
      </c>
      <c r="K344" s="33">
        <v>540</v>
      </c>
      <c r="L344" s="33">
        <v>540</v>
      </c>
      <c r="M344" s="33" t="s">
        <v>492</v>
      </c>
    </row>
    <row r="345" spans="1:13">
      <c r="A345" s="33">
        <v>23026</v>
      </c>
      <c r="B345" s="33" t="s">
        <v>121</v>
      </c>
      <c r="C345" s="33" t="s">
        <v>647</v>
      </c>
      <c r="D345" s="33" t="s">
        <v>498</v>
      </c>
      <c r="E345" s="33" t="s">
        <v>511</v>
      </c>
      <c r="F345" s="33" t="s">
        <v>676</v>
      </c>
      <c r="I345" s="33">
        <v>13</v>
      </c>
      <c r="J345" s="33">
        <v>0</v>
      </c>
      <c r="K345" s="33">
        <v>0</v>
      </c>
      <c r="L345" s="33">
        <v>13</v>
      </c>
      <c r="M345" s="33" t="s">
        <v>505</v>
      </c>
    </row>
    <row r="346" spans="1:13">
      <c r="A346" s="33">
        <v>23026</v>
      </c>
      <c r="B346" s="33" t="s">
        <v>121</v>
      </c>
      <c r="C346" s="33" t="s">
        <v>647</v>
      </c>
      <c r="D346" s="33" t="s">
        <v>499</v>
      </c>
      <c r="E346" s="33" t="s">
        <v>523</v>
      </c>
      <c r="F346" s="33" t="s">
        <v>568</v>
      </c>
      <c r="I346" s="33">
        <v>29</v>
      </c>
      <c r="J346" s="33">
        <v>0</v>
      </c>
      <c r="K346" s="33">
        <v>0</v>
      </c>
      <c r="L346" s="33">
        <v>29</v>
      </c>
      <c r="M346" s="33" t="s">
        <v>505</v>
      </c>
    </row>
    <row r="347" spans="1:13">
      <c r="A347" s="33">
        <v>23026</v>
      </c>
      <c r="B347" s="33" t="s">
        <v>121</v>
      </c>
      <c r="C347" s="33" t="s">
        <v>647</v>
      </c>
      <c r="D347" s="33" t="s">
        <v>500</v>
      </c>
      <c r="I347" s="33">
        <v>0</v>
      </c>
      <c r="J347" s="33">
        <v>0</v>
      </c>
      <c r="K347" s="33">
        <v>540</v>
      </c>
      <c r="L347" s="33">
        <v>540</v>
      </c>
      <c r="M347" s="33" t="s">
        <v>492</v>
      </c>
    </row>
    <row r="348" spans="1:13">
      <c r="A348" s="33">
        <v>23026</v>
      </c>
      <c r="B348" s="33" t="s">
        <v>121</v>
      </c>
      <c r="C348" s="33" t="s">
        <v>647</v>
      </c>
      <c r="D348" s="33" t="s">
        <v>501</v>
      </c>
      <c r="E348" s="33" t="s">
        <v>677</v>
      </c>
      <c r="I348" s="33">
        <v>0</v>
      </c>
      <c r="J348" s="33">
        <v>0</v>
      </c>
      <c r="K348" s="33">
        <v>540</v>
      </c>
      <c r="L348" s="33">
        <v>540</v>
      </c>
      <c r="M348" s="33" t="s">
        <v>505</v>
      </c>
    </row>
    <row r="349" spans="1:13">
      <c r="A349" s="33">
        <v>23026</v>
      </c>
      <c r="B349" s="33" t="s">
        <v>121</v>
      </c>
      <c r="C349" s="33" t="s">
        <v>647</v>
      </c>
      <c r="D349" s="33" t="s">
        <v>506</v>
      </c>
      <c r="I349" s="33">
        <v>0</v>
      </c>
      <c r="J349" s="33">
        <v>0</v>
      </c>
      <c r="K349" s="33">
        <v>540</v>
      </c>
      <c r="L349" s="33">
        <v>540</v>
      </c>
      <c r="M349" s="33" t="s">
        <v>492</v>
      </c>
    </row>
    <row r="350" spans="1:13">
      <c r="A350" s="33">
        <v>23026</v>
      </c>
      <c r="B350" s="33" t="s">
        <v>121</v>
      </c>
      <c r="C350" s="33" t="s">
        <v>647</v>
      </c>
      <c r="D350" s="33" t="s">
        <v>507</v>
      </c>
      <c r="I350" s="33">
        <v>0</v>
      </c>
      <c r="J350" s="33">
        <v>0</v>
      </c>
      <c r="K350" s="33">
        <v>540</v>
      </c>
      <c r="L350" s="33">
        <v>540</v>
      </c>
      <c r="M350" s="33" t="s">
        <v>492</v>
      </c>
    </row>
    <row r="351" spans="1:13">
      <c r="A351" s="33">
        <v>23026</v>
      </c>
      <c r="B351" s="33" t="s">
        <v>121</v>
      </c>
      <c r="C351" s="33" t="s">
        <v>647</v>
      </c>
      <c r="D351" s="33" t="s">
        <v>508</v>
      </c>
      <c r="I351" s="33">
        <v>0</v>
      </c>
      <c r="J351" s="33">
        <v>0</v>
      </c>
      <c r="K351" s="33">
        <v>540</v>
      </c>
      <c r="L351" s="33">
        <v>540</v>
      </c>
      <c r="M351" s="33" t="s">
        <v>492</v>
      </c>
    </row>
    <row r="352" spans="1:13">
      <c r="A352" s="33">
        <v>23026</v>
      </c>
      <c r="B352" s="33" t="s">
        <v>121</v>
      </c>
      <c r="C352" s="33" t="s">
        <v>647</v>
      </c>
      <c r="D352" s="33" t="s">
        <v>534</v>
      </c>
      <c r="I352" s="33">
        <v>0</v>
      </c>
      <c r="J352" s="33">
        <v>0</v>
      </c>
      <c r="K352" s="33">
        <v>540</v>
      </c>
      <c r="L352" s="33">
        <v>540</v>
      </c>
      <c r="M352" s="33" t="s">
        <v>492</v>
      </c>
    </row>
    <row r="353" spans="1:13">
      <c r="A353" s="33">
        <v>23026</v>
      </c>
      <c r="B353" s="33" t="s">
        <v>121</v>
      </c>
      <c r="C353" s="33" t="s">
        <v>647</v>
      </c>
      <c r="D353" s="33" t="s">
        <v>535</v>
      </c>
      <c r="F353" s="33" t="s">
        <v>588</v>
      </c>
      <c r="I353" s="33">
        <v>0</v>
      </c>
      <c r="J353" s="33">
        <v>0</v>
      </c>
      <c r="K353" s="33">
        <v>540</v>
      </c>
      <c r="L353" s="33">
        <v>540</v>
      </c>
      <c r="M353" s="33" t="s">
        <v>492</v>
      </c>
    </row>
    <row r="354" spans="1:13">
      <c r="A354" s="33">
        <v>23026</v>
      </c>
      <c r="B354" s="33" t="s">
        <v>121</v>
      </c>
      <c r="C354" s="33" t="s">
        <v>647</v>
      </c>
      <c r="D354" s="33" t="s">
        <v>538</v>
      </c>
      <c r="E354" s="33" t="s">
        <v>592</v>
      </c>
      <c r="F354" s="33" t="s">
        <v>568</v>
      </c>
      <c r="I354" s="33">
        <v>16</v>
      </c>
      <c r="J354" s="33">
        <v>0</v>
      </c>
      <c r="K354" s="33">
        <v>0</v>
      </c>
      <c r="L354" s="33">
        <v>16</v>
      </c>
      <c r="M354" s="33" t="s">
        <v>505</v>
      </c>
    </row>
    <row r="355" spans="1:13">
      <c r="A355" s="33">
        <v>23026</v>
      </c>
      <c r="B355" s="33" t="s">
        <v>121</v>
      </c>
      <c r="C355" s="33" t="s">
        <v>647</v>
      </c>
      <c r="D355" s="33" t="s">
        <v>543</v>
      </c>
      <c r="E355" s="33" t="s">
        <v>649</v>
      </c>
      <c r="F355" s="33" t="s">
        <v>528</v>
      </c>
      <c r="I355" s="33">
        <v>15</v>
      </c>
      <c r="J355" s="33">
        <v>0</v>
      </c>
      <c r="K355" s="33">
        <v>0</v>
      </c>
      <c r="L355" s="33">
        <v>15</v>
      </c>
      <c r="M355" s="33" t="s">
        <v>505</v>
      </c>
    </row>
    <row r="356" spans="1:13">
      <c r="A356" s="33">
        <v>23026</v>
      </c>
      <c r="B356" s="33" t="s">
        <v>121</v>
      </c>
      <c r="C356" s="33" t="s">
        <v>647</v>
      </c>
      <c r="D356" s="33" t="s">
        <v>512</v>
      </c>
      <c r="I356" s="33">
        <v>0</v>
      </c>
      <c r="J356" s="33">
        <v>0</v>
      </c>
      <c r="K356" s="33">
        <v>540</v>
      </c>
      <c r="L356" s="33">
        <v>540</v>
      </c>
      <c r="M356" s="33" t="s">
        <v>492</v>
      </c>
    </row>
    <row r="357" spans="1:13">
      <c r="A357" s="33">
        <v>23026</v>
      </c>
      <c r="B357" s="33" t="s">
        <v>121</v>
      </c>
      <c r="C357" s="33" t="s">
        <v>647</v>
      </c>
      <c r="D357" s="33" t="s">
        <v>515</v>
      </c>
      <c r="E357" s="33" t="s">
        <v>654</v>
      </c>
      <c r="F357" s="33" t="s">
        <v>655</v>
      </c>
      <c r="I357" s="33">
        <v>11</v>
      </c>
      <c r="J357" s="33">
        <v>0</v>
      </c>
      <c r="K357" s="33">
        <v>0</v>
      </c>
      <c r="L357" s="33">
        <v>11</v>
      </c>
      <c r="M357" s="33" t="s">
        <v>505</v>
      </c>
    </row>
    <row r="358" spans="1:13">
      <c r="A358" s="33">
        <v>23026</v>
      </c>
      <c r="B358" s="33" t="s">
        <v>121</v>
      </c>
      <c r="C358" s="33" t="s">
        <v>647</v>
      </c>
      <c r="D358" s="33" t="s">
        <v>518</v>
      </c>
      <c r="E358" s="33" t="s">
        <v>602</v>
      </c>
      <c r="I358" s="33">
        <v>0</v>
      </c>
      <c r="J358" s="33">
        <v>0</v>
      </c>
      <c r="K358" s="33">
        <v>540</v>
      </c>
      <c r="L358" s="33">
        <v>540</v>
      </c>
      <c r="M358" s="33" t="s">
        <v>505</v>
      </c>
    </row>
    <row r="359" spans="1:13">
      <c r="A359" s="33">
        <v>23031</v>
      </c>
      <c r="B359" s="33" t="s">
        <v>42</v>
      </c>
      <c r="C359" s="33" t="s">
        <v>647</v>
      </c>
      <c r="D359" s="33" t="s">
        <v>490</v>
      </c>
      <c r="E359" s="33" t="s">
        <v>678</v>
      </c>
      <c r="I359" s="33">
        <v>0</v>
      </c>
      <c r="J359" s="33">
        <v>0</v>
      </c>
      <c r="K359" s="33">
        <v>540</v>
      </c>
      <c r="L359" s="33">
        <v>540</v>
      </c>
      <c r="M359" s="33" t="s">
        <v>505</v>
      </c>
    </row>
    <row r="360" spans="1:13">
      <c r="A360" s="33">
        <v>23031</v>
      </c>
      <c r="B360" s="33" t="s">
        <v>42</v>
      </c>
      <c r="C360" s="33" t="s">
        <v>647</v>
      </c>
      <c r="D360" s="33" t="s">
        <v>491</v>
      </c>
      <c r="E360" s="33" t="s">
        <v>679</v>
      </c>
      <c r="F360" s="33" t="s">
        <v>648</v>
      </c>
      <c r="I360" s="33">
        <v>19</v>
      </c>
      <c r="J360" s="33">
        <v>0</v>
      </c>
      <c r="K360" s="33">
        <v>0</v>
      </c>
      <c r="L360" s="33">
        <v>19</v>
      </c>
      <c r="M360" s="33" t="s">
        <v>505</v>
      </c>
    </row>
    <row r="361" spans="1:13">
      <c r="A361" s="33">
        <v>23031</v>
      </c>
      <c r="B361" s="33" t="s">
        <v>42</v>
      </c>
      <c r="C361" s="33" t="s">
        <v>647</v>
      </c>
      <c r="D361" s="33" t="s">
        <v>495</v>
      </c>
      <c r="E361" s="33" t="s">
        <v>680</v>
      </c>
      <c r="F361" s="33" t="s">
        <v>681</v>
      </c>
      <c r="I361" s="33">
        <v>20</v>
      </c>
      <c r="J361" s="33">
        <v>0</v>
      </c>
      <c r="K361" s="33">
        <v>0</v>
      </c>
      <c r="L361" s="33">
        <v>20</v>
      </c>
      <c r="M361" s="33" t="s">
        <v>505</v>
      </c>
    </row>
    <row r="362" spans="1:13">
      <c r="A362" s="33">
        <v>23031</v>
      </c>
      <c r="B362" s="33" t="s">
        <v>42</v>
      </c>
      <c r="C362" s="33" t="s">
        <v>647</v>
      </c>
      <c r="D362" s="33" t="s">
        <v>498</v>
      </c>
      <c r="E362" s="33" t="s">
        <v>634</v>
      </c>
      <c r="I362" s="33">
        <v>0</v>
      </c>
      <c r="J362" s="33">
        <v>0</v>
      </c>
      <c r="K362" s="33">
        <v>540</v>
      </c>
      <c r="L362" s="33">
        <v>540</v>
      </c>
      <c r="M362" s="33" t="s">
        <v>505</v>
      </c>
    </row>
    <row r="363" spans="1:13">
      <c r="A363" s="33">
        <v>23031</v>
      </c>
      <c r="B363" s="33" t="s">
        <v>42</v>
      </c>
      <c r="C363" s="33" t="s">
        <v>647</v>
      </c>
      <c r="D363" s="33" t="s">
        <v>499</v>
      </c>
      <c r="E363" s="33" t="s">
        <v>598</v>
      </c>
      <c r="F363" s="33" t="s">
        <v>682</v>
      </c>
      <c r="I363" s="33">
        <v>0</v>
      </c>
      <c r="J363" s="33">
        <v>273</v>
      </c>
      <c r="K363" s="33">
        <v>0</v>
      </c>
      <c r="L363" s="33">
        <v>273</v>
      </c>
      <c r="M363" s="33" t="s">
        <v>505</v>
      </c>
    </row>
    <row r="364" spans="1:13">
      <c r="A364" s="33">
        <v>23031</v>
      </c>
      <c r="B364" s="33" t="s">
        <v>42</v>
      </c>
      <c r="C364" s="33" t="s">
        <v>647</v>
      </c>
      <c r="D364" s="33" t="s">
        <v>501</v>
      </c>
      <c r="E364" s="33" t="s">
        <v>592</v>
      </c>
      <c r="F364" s="33" t="s">
        <v>648</v>
      </c>
      <c r="I364" s="33">
        <v>16</v>
      </c>
      <c r="J364" s="33">
        <v>0</v>
      </c>
      <c r="K364" s="33">
        <v>0</v>
      </c>
      <c r="L364" s="33">
        <v>16</v>
      </c>
      <c r="M364" s="33" t="s">
        <v>505</v>
      </c>
    </row>
    <row r="365" spans="1:13">
      <c r="A365" s="33">
        <v>23031</v>
      </c>
      <c r="B365" s="33" t="s">
        <v>42</v>
      </c>
      <c r="C365" s="33" t="s">
        <v>647</v>
      </c>
      <c r="D365" s="33" t="s">
        <v>506</v>
      </c>
      <c r="I365" s="33">
        <v>0</v>
      </c>
      <c r="J365" s="33">
        <v>0</v>
      </c>
      <c r="K365" s="33">
        <v>540</v>
      </c>
      <c r="L365" s="33">
        <v>540</v>
      </c>
      <c r="M365" s="33" t="s">
        <v>492</v>
      </c>
    </row>
    <row r="366" spans="1:13">
      <c r="A366" s="33">
        <v>23031</v>
      </c>
      <c r="B366" s="33" t="s">
        <v>42</v>
      </c>
      <c r="C366" s="33" t="s">
        <v>647</v>
      </c>
      <c r="D366" s="33" t="s">
        <v>507</v>
      </c>
      <c r="I366" s="33">
        <v>0</v>
      </c>
      <c r="J366" s="33">
        <v>0</v>
      </c>
      <c r="K366" s="33">
        <v>540</v>
      </c>
      <c r="L366" s="33">
        <v>540</v>
      </c>
      <c r="M366" s="33" t="s">
        <v>492</v>
      </c>
    </row>
    <row r="367" spans="1:13">
      <c r="A367" s="33">
        <v>23031</v>
      </c>
      <c r="B367" s="33" t="s">
        <v>42</v>
      </c>
      <c r="C367" s="33" t="s">
        <v>647</v>
      </c>
      <c r="D367" s="33" t="s">
        <v>508</v>
      </c>
      <c r="E367" s="33" t="s">
        <v>511</v>
      </c>
      <c r="F367" s="33" t="s">
        <v>588</v>
      </c>
      <c r="I367" s="33">
        <v>13</v>
      </c>
      <c r="J367" s="33">
        <v>0</v>
      </c>
      <c r="K367" s="33">
        <v>0</v>
      </c>
      <c r="L367" s="33">
        <v>13</v>
      </c>
      <c r="M367" s="33" t="s">
        <v>505</v>
      </c>
    </row>
    <row r="368" spans="1:13">
      <c r="A368" s="33">
        <v>23031</v>
      </c>
      <c r="B368" s="33" t="s">
        <v>42</v>
      </c>
      <c r="C368" s="33" t="s">
        <v>647</v>
      </c>
      <c r="D368" s="33" t="s">
        <v>534</v>
      </c>
      <c r="E368" s="33" t="s">
        <v>523</v>
      </c>
      <c r="F368" s="33" t="s">
        <v>584</v>
      </c>
      <c r="I368" s="33">
        <v>29</v>
      </c>
      <c r="J368" s="33">
        <v>0</v>
      </c>
      <c r="K368" s="33">
        <v>0</v>
      </c>
      <c r="L368" s="33">
        <v>29</v>
      </c>
      <c r="M368" s="33" t="s">
        <v>505</v>
      </c>
    </row>
    <row r="369" spans="1:13">
      <c r="A369" s="33">
        <v>23031</v>
      </c>
      <c r="B369" s="33" t="s">
        <v>42</v>
      </c>
      <c r="C369" s="33" t="s">
        <v>647</v>
      </c>
      <c r="D369" s="33" t="s">
        <v>535</v>
      </c>
      <c r="E369" s="33" t="s">
        <v>630</v>
      </c>
      <c r="F369" s="33" t="s">
        <v>629</v>
      </c>
      <c r="I369" s="33">
        <v>18</v>
      </c>
      <c r="J369" s="33">
        <v>0</v>
      </c>
      <c r="K369" s="33">
        <v>0</v>
      </c>
      <c r="L369" s="33">
        <v>18</v>
      </c>
      <c r="M369" s="33" t="s">
        <v>505</v>
      </c>
    </row>
    <row r="370" spans="1:13">
      <c r="A370" s="33">
        <v>23031</v>
      </c>
      <c r="B370" s="33" t="s">
        <v>42</v>
      </c>
      <c r="C370" s="33" t="s">
        <v>647</v>
      </c>
      <c r="D370" s="33" t="s">
        <v>510</v>
      </c>
      <c r="E370" s="33" t="s">
        <v>662</v>
      </c>
      <c r="F370" s="33" t="s">
        <v>672</v>
      </c>
      <c r="I370" s="33">
        <v>21</v>
      </c>
      <c r="J370" s="33">
        <v>0</v>
      </c>
      <c r="K370" s="33">
        <v>0</v>
      </c>
      <c r="L370" s="33">
        <v>21</v>
      </c>
      <c r="M370" s="33" t="s">
        <v>505</v>
      </c>
    </row>
    <row r="371" spans="1:13">
      <c r="A371" s="33">
        <v>23031</v>
      </c>
      <c r="B371" s="33" t="s">
        <v>42</v>
      </c>
      <c r="C371" s="33" t="s">
        <v>647</v>
      </c>
      <c r="D371" s="33" t="s">
        <v>538</v>
      </c>
      <c r="E371" s="33" t="s">
        <v>592</v>
      </c>
      <c r="F371" s="33" t="s">
        <v>659</v>
      </c>
      <c r="I371" s="33">
        <v>16</v>
      </c>
      <c r="J371" s="33">
        <v>0</v>
      </c>
      <c r="K371" s="33">
        <v>0</v>
      </c>
      <c r="L371" s="33">
        <v>16</v>
      </c>
      <c r="M371" s="33" t="s">
        <v>505</v>
      </c>
    </row>
    <row r="372" spans="1:13">
      <c r="A372" s="33">
        <v>23031</v>
      </c>
      <c r="B372" s="33" t="s">
        <v>42</v>
      </c>
      <c r="C372" s="33" t="s">
        <v>647</v>
      </c>
      <c r="D372" s="33" t="s">
        <v>543</v>
      </c>
      <c r="E372" s="33" t="s">
        <v>630</v>
      </c>
      <c r="F372" s="33" t="s">
        <v>660</v>
      </c>
      <c r="I372" s="33">
        <v>18</v>
      </c>
      <c r="J372" s="33">
        <v>0</v>
      </c>
      <c r="K372" s="33">
        <v>0</v>
      </c>
      <c r="L372" s="33">
        <v>18</v>
      </c>
      <c r="M372" s="33" t="s">
        <v>505</v>
      </c>
    </row>
    <row r="373" spans="1:13">
      <c r="A373" s="33">
        <v>23031</v>
      </c>
      <c r="B373" s="33" t="s">
        <v>42</v>
      </c>
      <c r="C373" s="33" t="s">
        <v>647</v>
      </c>
      <c r="D373" s="33" t="s">
        <v>512</v>
      </c>
      <c r="I373" s="33">
        <v>0</v>
      </c>
      <c r="J373" s="33">
        <v>0</v>
      </c>
      <c r="K373" s="33">
        <v>540</v>
      </c>
      <c r="L373" s="33">
        <v>540</v>
      </c>
      <c r="M373" s="33" t="s">
        <v>492</v>
      </c>
    </row>
    <row r="374" spans="1:13">
      <c r="A374" s="33">
        <v>23031</v>
      </c>
      <c r="B374" s="33" t="s">
        <v>42</v>
      </c>
      <c r="C374" s="33" t="s">
        <v>647</v>
      </c>
      <c r="D374" s="33" t="s">
        <v>515</v>
      </c>
      <c r="E374" s="33" t="s">
        <v>654</v>
      </c>
      <c r="F374" s="33" t="s">
        <v>653</v>
      </c>
      <c r="I374" s="33">
        <v>11</v>
      </c>
      <c r="J374" s="33">
        <v>0</v>
      </c>
      <c r="K374" s="33">
        <v>0</v>
      </c>
      <c r="L374" s="33">
        <v>11</v>
      </c>
      <c r="M374" s="33" t="s">
        <v>505</v>
      </c>
    </row>
    <row r="375" spans="1:13">
      <c r="A375" s="33">
        <v>23031</v>
      </c>
      <c r="B375" s="33" t="s">
        <v>42</v>
      </c>
      <c r="C375" s="33" t="s">
        <v>647</v>
      </c>
      <c r="D375" s="33" t="s">
        <v>518</v>
      </c>
      <c r="E375" s="33" t="s">
        <v>504</v>
      </c>
      <c r="I375" s="33">
        <v>0</v>
      </c>
      <c r="J375" s="33">
        <v>0</v>
      </c>
      <c r="K375" s="33">
        <v>540</v>
      </c>
      <c r="L375" s="33">
        <v>540</v>
      </c>
      <c r="M375" s="33" t="s">
        <v>505</v>
      </c>
    </row>
    <row r="376" spans="1:13">
      <c r="A376" s="33">
        <v>23019</v>
      </c>
      <c r="B376" s="33" t="s">
        <v>34</v>
      </c>
      <c r="C376" s="33" t="s">
        <v>647</v>
      </c>
      <c r="D376" s="33" t="s">
        <v>491</v>
      </c>
      <c r="E376" s="33" t="s">
        <v>630</v>
      </c>
      <c r="F376" s="33" t="s">
        <v>584</v>
      </c>
      <c r="I376" s="33">
        <v>18</v>
      </c>
      <c r="J376" s="33">
        <v>0</v>
      </c>
      <c r="K376" s="33">
        <v>0</v>
      </c>
      <c r="L376" s="33">
        <v>18</v>
      </c>
      <c r="M376" s="33" t="s">
        <v>505</v>
      </c>
    </row>
    <row r="377" spans="1:13">
      <c r="A377" s="33">
        <v>23019</v>
      </c>
      <c r="B377" s="33" t="s">
        <v>34</v>
      </c>
      <c r="C377" s="33" t="s">
        <v>647</v>
      </c>
      <c r="D377" s="33" t="s">
        <v>498</v>
      </c>
      <c r="E377" s="33" t="s">
        <v>634</v>
      </c>
      <c r="I377" s="33">
        <v>0</v>
      </c>
      <c r="J377" s="33">
        <v>0</v>
      </c>
      <c r="K377" s="33">
        <v>540</v>
      </c>
      <c r="L377" s="33">
        <v>540</v>
      </c>
      <c r="M377" s="33" t="s">
        <v>505</v>
      </c>
    </row>
    <row r="378" spans="1:13">
      <c r="A378" s="33">
        <v>23019</v>
      </c>
      <c r="B378" s="33" t="s">
        <v>34</v>
      </c>
      <c r="C378" s="33" t="s">
        <v>647</v>
      </c>
      <c r="D378" s="33" t="s">
        <v>501</v>
      </c>
      <c r="E378" s="33" t="s">
        <v>683</v>
      </c>
      <c r="F378" s="33" t="s">
        <v>560</v>
      </c>
      <c r="I378" s="33">
        <v>0</v>
      </c>
      <c r="J378" s="33">
        <v>1</v>
      </c>
      <c r="K378" s="33">
        <v>0</v>
      </c>
      <c r="L378" s="33">
        <v>1</v>
      </c>
      <c r="M378" s="33" t="s">
        <v>505</v>
      </c>
    </row>
    <row r="379" spans="1:13">
      <c r="A379" s="33">
        <v>23019</v>
      </c>
      <c r="B379" s="33" t="s">
        <v>34</v>
      </c>
      <c r="C379" s="33" t="s">
        <v>647</v>
      </c>
      <c r="D379" s="33" t="s">
        <v>506</v>
      </c>
      <c r="I379" s="33">
        <v>0</v>
      </c>
      <c r="J379" s="33">
        <v>0</v>
      </c>
      <c r="K379" s="33">
        <v>540</v>
      </c>
      <c r="L379" s="33">
        <v>540</v>
      </c>
      <c r="M379" s="33" t="s">
        <v>492</v>
      </c>
    </row>
    <row r="380" spans="1:13">
      <c r="A380" s="33">
        <v>23019</v>
      </c>
      <c r="B380" s="33" t="s">
        <v>34</v>
      </c>
      <c r="C380" s="33" t="s">
        <v>647</v>
      </c>
      <c r="D380" s="33" t="s">
        <v>507</v>
      </c>
      <c r="I380" s="33">
        <v>0</v>
      </c>
      <c r="J380" s="33">
        <v>0</v>
      </c>
      <c r="K380" s="33">
        <v>540</v>
      </c>
      <c r="L380" s="33">
        <v>540</v>
      </c>
      <c r="M380" s="33" t="s">
        <v>492</v>
      </c>
    </row>
    <row r="381" spans="1:13">
      <c r="A381" s="33">
        <v>23019</v>
      </c>
      <c r="B381" s="33" t="s">
        <v>34</v>
      </c>
      <c r="C381" s="33" t="s">
        <v>647</v>
      </c>
      <c r="D381" s="33" t="s">
        <v>508</v>
      </c>
      <c r="I381" s="33">
        <v>0</v>
      </c>
      <c r="J381" s="33">
        <v>0</v>
      </c>
      <c r="K381" s="33">
        <v>540</v>
      </c>
      <c r="L381" s="33">
        <v>540</v>
      </c>
      <c r="M381" s="33" t="s">
        <v>492</v>
      </c>
    </row>
    <row r="382" spans="1:13">
      <c r="A382" s="33">
        <v>23019</v>
      </c>
      <c r="B382" s="33" t="s">
        <v>34</v>
      </c>
      <c r="C382" s="33" t="s">
        <v>647</v>
      </c>
      <c r="D382" s="33" t="s">
        <v>534</v>
      </c>
      <c r="I382" s="33">
        <v>0</v>
      </c>
      <c r="J382" s="33">
        <v>0</v>
      </c>
      <c r="K382" s="33">
        <v>540</v>
      </c>
      <c r="L382" s="33">
        <v>540</v>
      </c>
      <c r="M382" s="33" t="s">
        <v>492</v>
      </c>
    </row>
    <row r="383" spans="1:13">
      <c r="A383" s="33">
        <v>23019</v>
      </c>
      <c r="B383" s="33" t="s">
        <v>34</v>
      </c>
      <c r="C383" s="33" t="s">
        <v>647</v>
      </c>
      <c r="D383" s="33" t="s">
        <v>535</v>
      </c>
      <c r="E383" s="33" t="s">
        <v>673</v>
      </c>
      <c r="F383" s="33" t="s">
        <v>584</v>
      </c>
      <c r="I383" s="33">
        <v>22</v>
      </c>
      <c r="J383" s="33">
        <v>0</v>
      </c>
      <c r="K383" s="33">
        <v>0</v>
      </c>
      <c r="L383" s="33">
        <v>22</v>
      </c>
      <c r="M383" s="33" t="s">
        <v>505</v>
      </c>
    </row>
    <row r="384" spans="1:13">
      <c r="A384" s="33">
        <v>23019</v>
      </c>
      <c r="B384" s="33" t="s">
        <v>34</v>
      </c>
      <c r="C384" s="33" t="s">
        <v>647</v>
      </c>
      <c r="D384" s="33" t="s">
        <v>510</v>
      </c>
      <c r="E384" s="33" t="s">
        <v>680</v>
      </c>
      <c r="F384" s="33" t="s">
        <v>584</v>
      </c>
      <c r="I384" s="33">
        <v>20</v>
      </c>
      <c r="J384" s="33">
        <v>0</v>
      </c>
      <c r="K384" s="33">
        <v>0</v>
      </c>
      <c r="L384" s="33">
        <v>20</v>
      </c>
      <c r="M384" s="33" t="s">
        <v>505</v>
      </c>
    </row>
    <row r="385" spans="1:13">
      <c r="A385" s="33">
        <v>23019</v>
      </c>
      <c r="B385" s="33" t="s">
        <v>34</v>
      </c>
      <c r="C385" s="33" t="s">
        <v>647</v>
      </c>
      <c r="D385" s="33" t="s">
        <v>540</v>
      </c>
      <c r="I385" s="33">
        <v>0</v>
      </c>
      <c r="J385" s="33">
        <v>0</v>
      </c>
      <c r="K385" s="33">
        <v>540</v>
      </c>
      <c r="L385" s="33">
        <v>540</v>
      </c>
      <c r="M385" s="33" t="s">
        <v>492</v>
      </c>
    </row>
    <row r="386" spans="1:13">
      <c r="A386" s="33">
        <v>23019</v>
      </c>
      <c r="B386" s="33" t="s">
        <v>34</v>
      </c>
      <c r="C386" s="33" t="s">
        <v>647</v>
      </c>
      <c r="D386" s="33" t="s">
        <v>543</v>
      </c>
      <c r="I386" s="33">
        <v>0</v>
      </c>
      <c r="J386" s="33">
        <v>0</v>
      </c>
      <c r="K386" s="33">
        <v>540</v>
      </c>
      <c r="L386" s="33">
        <v>540</v>
      </c>
      <c r="M386" s="33" t="s">
        <v>492</v>
      </c>
    </row>
    <row r="387" spans="1:13">
      <c r="A387" s="33">
        <v>23019</v>
      </c>
      <c r="B387" s="33" t="s">
        <v>34</v>
      </c>
      <c r="C387" s="33" t="s">
        <v>647</v>
      </c>
      <c r="D387" s="33" t="s">
        <v>512</v>
      </c>
      <c r="I387" s="33">
        <v>0</v>
      </c>
      <c r="J387" s="33">
        <v>0</v>
      </c>
      <c r="K387" s="33">
        <v>540</v>
      </c>
      <c r="L387" s="33">
        <v>540</v>
      </c>
      <c r="M387" s="33" t="s">
        <v>492</v>
      </c>
    </row>
    <row r="388" spans="1:13">
      <c r="A388" s="33">
        <v>23019</v>
      </c>
      <c r="B388" s="33" t="s">
        <v>34</v>
      </c>
      <c r="C388" s="33" t="s">
        <v>647</v>
      </c>
      <c r="D388" s="33" t="s">
        <v>515</v>
      </c>
      <c r="I388" s="33">
        <v>0</v>
      </c>
      <c r="J388" s="33">
        <v>0</v>
      </c>
      <c r="K388" s="33">
        <v>540</v>
      </c>
      <c r="L388" s="33">
        <v>540</v>
      </c>
      <c r="M388" s="33" t="s">
        <v>492</v>
      </c>
    </row>
    <row r="389" spans="1:13">
      <c r="A389" s="33">
        <v>23019</v>
      </c>
      <c r="B389" s="33" t="s">
        <v>34</v>
      </c>
      <c r="C389" s="33" t="s">
        <v>647</v>
      </c>
      <c r="D389" s="33" t="s">
        <v>517</v>
      </c>
      <c r="I389" s="33">
        <v>0</v>
      </c>
      <c r="J389" s="33">
        <v>0</v>
      </c>
      <c r="K389" s="33">
        <v>540</v>
      </c>
      <c r="L389" s="33">
        <v>540</v>
      </c>
      <c r="M389" s="33" t="s">
        <v>492</v>
      </c>
    </row>
    <row r="390" spans="1:13">
      <c r="A390" s="33">
        <v>23019</v>
      </c>
      <c r="B390" s="33" t="s">
        <v>34</v>
      </c>
      <c r="C390" s="33" t="s">
        <v>647</v>
      </c>
      <c r="D390" s="33" t="s">
        <v>518</v>
      </c>
      <c r="I390" s="33">
        <v>0</v>
      </c>
      <c r="J390" s="33">
        <v>0</v>
      </c>
      <c r="K390" s="33">
        <v>540</v>
      </c>
      <c r="L390" s="33">
        <v>540</v>
      </c>
      <c r="M390" s="33" t="s">
        <v>492</v>
      </c>
    </row>
    <row r="391" spans="1:13">
      <c r="A391" s="33">
        <v>23046</v>
      </c>
      <c r="B391" s="33" t="s">
        <v>56</v>
      </c>
      <c r="C391" s="33" t="s">
        <v>647</v>
      </c>
      <c r="D391" s="33" t="s">
        <v>491</v>
      </c>
      <c r="E391" s="33" t="s">
        <v>630</v>
      </c>
      <c r="F391" s="33" t="s">
        <v>672</v>
      </c>
      <c r="I391" s="33">
        <v>18</v>
      </c>
      <c r="J391" s="33">
        <v>0</v>
      </c>
      <c r="K391" s="33">
        <v>0</v>
      </c>
      <c r="L391" s="33">
        <v>18</v>
      </c>
      <c r="M391" s="33" t="s">
        <v>505</v>
      </c>
    </row>
    <row r="392" spans="1:13">
      <c r="A392" s="33">
        <v>23046</v>
      </c>
      <c r="B392" s="33" t="s">
        <v>56</v>
      </c>
      <c r="C392" s="33" t="s">
        <v>647</v>
      </c>
      <c r="D392" s="33" t="s">
        <v>497</v>
      </c>
      <c r="E392" s="33" t="s">
        <v>684</v>
      </c>
      <c r="F392" s="33" t="s">
        <v>685</v>
      </c>
      <c r="I392" s="33">
        <v>116</v>
      </c>
      <c r="J392" s="33">
        <v>30</v>
      </c>
      <c r="K392" s="33">
        <v>0</v>
      </c>
      <c r="L392" s="33">
        <v>146</v>
      </c>
      <c r="M392" s="33" t="s">
        <v>522</v>
      </c>
    </row>
    <row r="393" spans="1:13">
      <c r="A393" s="33">
        <v>23046</v>
      </c>
      <c r="B393" s="33" t="s">
        <v>56</v>
      </c>
      <c r="C393" s="33" t="s">
        <v>647</v>
      </c>
      <c r="D393" s="33" t="s">
        <v>498</v>
      </c>
      <c r="E393" s="33" t="s">
        <v>504</v>
      </c>
      <c r="F393" s="33" t="s">
        <v>686</v>
      </c>
      <c r="I393" s="33">
        <v>0</v>
      </c>
      <c r="J393" s="33">
        <v>7</v>
      </c>
      <c r="K393" s="33">
        <v>0</v>
      </c>
      <c r="L393" s="33">
        <v>7</v>
      </c>
      <c r="M393" s="33" t="s">
        <v>505</v>
      </c>
    </row>
    <row r="394" spans="1:13">
      <c r="A394" s="33">
        <v>23046</v>
      </c>
      <c r="B394" s="33" t="s">
        <v>56</v>
      </c>
      <c r="C394" s="33" t="s">
        <v>647</v>
      </c>
      <c r="D394" s="33" t="s">
        <v>506</v>
      </c>
      <c r="I394" s="33">
        <v>0</v>
      </c>
      <c r="J394" s="33">
        <v>0</v>
      </c>
      <c r="K394" s="33">
        <v>540</v>
      </c>
      <c r="L394" s="33">
        <v>540</v>
      </c>
      <c r="M394" s="33" t="s">
        <v>492</v>
      </c>
    </row>
    <row r="395" spans="1:13">
      <c r="A395" s="33">
        <v>23046</v>
      </c>
      <c r="B395" s="33" t="s">
        <v>56</v>
      </c>
      <c r="C395" s="33" t="s">
        <v>647</v>
      </c>
      <c r="D395" s="33" t="s">
        <v>507</v>
      </c>
      <c r="E395" s="33" t="s">
        <v>511</v>
      </c>
      <c r="F395" s="33" t="s">
        <v>648</v>
      </c>
      <c r="I395" s="33">
        <v>13</v>
      </c>
      <c r="J395" s="33">
        <v>0</v>
      </c>
      <c r="K395" s="33">
        <v>0</v>
      </c>
      <c r="L395" s="33">
        <v>13</v>
      </c>
      <c r="M395" s="33" t="s">
        <v>505</v>
      </c>
    </row>
    <row r="396" spans="1:13">
      <c r="A396" s="33">
        <v>23046</v>
      </c>
      <c r="B396" s="33" t="s">
        <v>56</v>
      </c>
      <c r="C396" s="33" t="s">
        <v>647</v>
      </c>
      <c r="D396" s="33" t="s">
        <v>534</v>
      </c>
      <c r="E396" s="33" t="s">
        <v>593</v>
      </c>
      <c r="F396" s="33" t="s">
        <v>584</v>
      </c>
      <c r="I396" s="33">
        <v>12</v>
      </c>
      <c r="J396" s="33">
        <v>0</v>
      </c>
      <c r="K396" s="33">
        <v>0</v>
      </c>
      <c r="L396" s="33">
        <v>12</v>
      </c>
      <c r="M396" s="33" t="s">
        <v>505</v>
      </c>
    </row>
    <row r="397" spans="1:13">
      <c r="A397" s="33">
        <v>23046</v>
      </c>
      <c r="B397" s="33" t="s">
        <v>56</v>
      </c>
      <c r="C397" s="33" t="s">
        <v>647</v>
      </c>
      <c r="D397" s="33" t="s">
        <v>512</v>
      </c>
      <c r="I397" s="33">
        <v>0</v>
      </c>
      <c r="J397" s="33">
        <v>0</v>
      </c>
      <c r="K397" s="33">
        <v>540</v>
      </c>
      <c r="L397" s="33">
        <v>540</v>
      </c>
      <c r="M397" s="33" t="s">
        <v>492</v>
      </c>
    </row>
    <row r="398" spans="1:13">
      <c r="A398" s="33">
        <v>23046</v>
      </c>
      <c r="B398" s="33" t="s">
        <v>56</v>
      </c>
      <c r="C398" s="33" t="s">
        <v>647</v>
      </c>
      <c r="D398" s="33" t="s">
        <v>515</v>
      </c>
      <c r="E398" s="33" t="s">
        <v>654</v>
      </c>
      <c r="F398" s="33" t="s">
        <v>653</v>
      </c>
      <c r="I398" s="33">
        <v>11</v>
      </c>
      <c r="J398" s="33">
        <v>0</v>
      </c>
      <c r="K398" s="33">
        <v>0</v>
      </c>
      <c r="L398" s="33">
        <v>11</v>
      </c>
      <c r="M398" s="33" t="s">
        <v>505</v>
      </c>
    </row>
    <row r="399" spans="1:13">
      <c r="A399" s="33">
        <v>23046</v>
      </c>
      <c r="B399" s="33" t="s">
        <v>56</v>
      </c>
      <c r="C399" s="33" t="s">
        <v>647</v>
      </c>
      <c r="D399" s="33" t="s">
        <v>518</v>
      </c>
      <c r="E399" s="33" t="s">
        <v>687</v>
      </c>
      <c r="I399" s="33">
        <v>0</v>
      </c>
      <c r="J399" s="33">
        <v>0</v>
      </c>
      <c r="K399" s="33">
        <v>540</v>
      </c>
      <c r="L399" s="33">
        <v>540</v>
      </c>
      <c r="M399" s="33" t="s">
        <v>505</v>
      </c>
    </row>
    <row r="400" spans="1:13">
      <c r="A400" s="33">
        <v>23045</v>
      </c>
      <c r="B400" s="33" t="s">
        <v>55</v>
      </c>
      <c r="C400" s="33" t="s">
        <v>647</v>
      </c>
      <c r="D400" s="33" t="s">
        <v>491</v>
      </c>
      <c r="E400" s="33" t="s">
        <v>679</v>
      </c>
      <c r="F400" s="33" t="s">
        <v>584</v>
      </c>
      <c r="I400" s="33">
        <v>19</v>
      </c>
      <c r="J400" s="33">
        <v>0</v>
      </c>
      <c r="K400" s="33">
        <v>0</v>
      </c>
      <c r="L400" s="33">
        <v>19</v>
      </c>
      <c r="M400" s="33" t="s">
        <v>505</v>
      </c>
    </row>
    <row r="401" spans="1:13">
      <c r="A401" s="33">
        <v>23045</v>
      </c>
      <c r="B401" s="33" t="s">
        <v>55</v>
      </c>
      <c r="C401" s="33" t="s">
        <v>647</v>
      </c>
      <c r="D401" s="33" t="s">
        <v>493</v>
      </c>
      <c r="E401" s="33" t="s">
        <v>688</v>
      </c>
      <c r="I401" s="33">
        <v>114</v>
      </c>
      <c r="J401" s="33">
        <v>0</v>
      </c>
      <c r="K401" s="33">
        <v>426</v>
      </c>
      <c r="L401" s="33">
        <v>540</v>
      </c>
      <c r="M401" s="33" t="s">
        <v>522</v>
      </c>
    </row>
    <row r="402" spans="1:13">
      <c r="A402" s="33">
        <v>23045</v>
      </c>
      <c r="B402" s="33" t="s">
        <v>55</v>
      </c>
      <c r="C402" s="33" t="s">
        <v>647</v>
      </c>
      <c r="D402" s="33" t="s">
        <v>494</v>
      </c>
      <c r="E402" s="33" t="s">
        <v>689</v>
      </c>
      <c r="F402" s="33" t="s">
        <v>588</v>
      </c>
      <c r="I402" s="33">
        <v>28</v>
      </c>
      <c r="J402" s="33">
        <v>0</v>
      </c>
      <c r="K402" s="33">
        <v>0</v>
      </c>
      <c r="L402" s="33">
        <v>28</v>
      </c>
      <c r="M402" s="33" t="s">
        <v>505</v>
      </c>
    </row>
    <row r="403" spans="1:13">
      <c r="A403" s="33">
        <v>23045</v>
      </c>
      <c r="B403" s="33" t="s">
        <v>55</v>
      </c>
      <c r="C403" s="33" t="s">
        <v>647</v>
      </c>
      <c r="D403" s="33" t="s">
        <v>497</v>
      </c>
      <c r="E403" s="33" t="s">
        <v>649</v>
      </c>
      <c r="F403" s="33" t="s">
        <v>584</v>
      </c>
      <c r="I403" s="33">
        <v>15</v>
      </c>
      <c r="J403" s="33">
        <v>0</v>
      </c>
      <c r="K403" s="33">
        <v>0</v>
      </c>
      <c r="L403" s="33">
        <v>15</v>
      </c>
      <c r="M403" s="33" t="s">
        <v>505</v>
      </c>
    </row>
    <row r="404" spans="1:13">
      <c r="A404" s="33">
        <v>23045</v>
      </c>
      <c r="B404" s="33" t="s">
        <v>55</v>
      </c>
      <c r="C404" s="33" t="s">
        <v>647</v>
      </c>
      <c r="D404" s="33" t="s">
        <v>498</v>
      </c>
      <c r="E404" s="33" t="s">
        <v>514</v>
      </c>
      <c r="F404" s="33" t="s">
        <v>690</v>
      </c>
      <c r="I404" s="33">
        <v>14</v>
      </c>
      <c r="J404" s="33">
        <v>6</v>
      </c>
      <c r="K404" s="33">
        <v>0</v>
      </c>
      <c r="L404" s="33">
        <v>20</v>
      </c>
      <c r="M404" s="33" t="s">
        <v>505</v>
      </c>
    </row>
    <row r="405" spans="1:13">
      <c r="A405" s="33">
        <v>23045</v>
      </c>
      <c r="B405" s="33" t="s">
        <v>55</v>
      </c>
      <c r="C405" s="33" t="s">
        <v>647</v>
      </c>
      <c r="D405" s="33" t="s">
        <v>499</v>
      </c>
      <c r="E405" s="33" t="s">
        <v>593</v>
      </c>
      <c r="F405" s="33" t="s">
        <v>584</v>
      </c>
      <c r="I405" s="33">
        <v>12</v>
      </c>
      <c r="J405" s="33">
        <v>0</v>
      </c>
      <c r="K405" s="33">
        <v>0</v>
      </c>
      <c r="L405" s="33">
        <v>12</v>
      </c>
      <c r="M405" s="33" t="s">
        <v>505</v>
      </c>
    </row>
    <row r="406" spans="1:13">
      <c r="A406" s="33">
        <v>23045</v>
      </c>
      <c r="B406" s="33" t="s">
        <v>55</v>
      </c>
      <c r="C406" s="33" t="s">
        <v>647</v>
      </c>
      <c r="D406" s="33" t="s">
        <v>506</v>
      </c>
      <c r="I406" s="33">
        <v>0</v>
      </c>
      <c r="J406" s="33">
        <v>0</v>
      </c>
      <c r="K406" s="33">
        <v>540</v>
      </c>
      <c r="L406" s="33">
        <v>540</v>
      </c>
      <c r="M406" s="33" t="s">
        <v>492</v>
      </c>
    </row>
    <row r="407" spans="1:13">
      <c r="A407" s="33">
        <v>23045</v>
      </c>
      <c r="B407" s="33" t="s">
        <v>55</v>
      </c>
      <c r="C407" s="33" t="s">
        <v>647</v>
      </c>
      <c r="D407" s="33" t="s">
        <v>507</v>
      </c>
      <c r="E407" s="33" t="s">
        <v>679</v>
      </c>
      <c r="F407" s="33" t="s">
        <v>588</v>
      </c>
      <c r="I407" s="33">
        <v>19</v>
      </c>
      <c r="J407" s="33">
        <v>0</v>
      </c>
      <c r="K407" s="33">
        <v>0</v>
      </c>
      <c r="L407" s="33">
        <v>19</v>
      </c>
      <c r="M407" s="33" t="s">
        <v>505</v>
      </c>
    </row>
    <row r="408" spans="1:13">
      <c r="A408" s="33">
        <v>23045</v>
      </c>
      <c r="B408" s="33" t="s">
        <v>55</v>
      </c>
      <c r="C408" s="33" t="s">
        <v>647</v>
      </c>
      <c r="D408" s="33" t="s">
        <v>508</v>
      </c>
      <c r="I408" s="33">
        <v>0</v>
      </c>
      <c r="J408" s="33">
        <v>0</v>
      </c>
      <c r="K408" s="33">
        <v>540</v>
      </c>
      <c r="L408" s="33">
        <v>540</v>
      </c>
      <c r="M408" s="33" t="s">
        <v>492</v>
      </c>
    </row>
    <row r="409" spans="1:13">
      <c r="A409" s="33">
        <v>23045</v>
      </c>
      <c r="B409" s="33" t="s">
        <v>55</v>
      </c>
      <c r="C409" s="33" t="s">
        <v>647</v>
      </c>
      <c r="D409" s="33" t="s">
        <v>534</v>
      </c>
      <c r="I409" s="33">
        <v>0</v>
      </c>
      <c r="J409" s="33">
        <v>0</v>
      </c>
      <c r="K409" s="33">
        <v>540</v>
      </c>
      <c r="L409" s="33">
        <v>540</v>
      </c>
      <c r="M409" s="33" t="s">
        <v>492</v>
      </c>
    </row>
    <row r="410" spans="1:13">
      <c r="A410" s="33">
        <v>23045</v>
      </c>
      <c r="B410" s="33" t="s">
        <v>55</v>
      </c>
      <c r="C410" s="33" t="s">
        <v>647</v>
      </c>
      <c r="D410" s="33" t="s">
        <v>535</v>
      </c>
      <c r="I410" s="33">
        <v>0</v>
      </c>
      <c r="J410" s="33">
        <v>0</v>
      </c>
      <c r="K410" s="33">
        <v>540</v>
      </c>
      <c r="L410" s="33">
        <v>540</v>
      </c>
      <c r="M410" s="33" t="s">
        <v>492</v>
      </c>
    </row>
    <row r="411" spans="1:13">
      <c r="A411" s="33">
        <v>23045</v>
      </c>
      <c r="B411" s="33" t="s">
        <v>55</v>
      </c>
      <c r="C411" s="33" t="s">
        <v>647</v>
      </c>
      <c r="D411" s="33" t="s">
        <v>510</v>
      </c>
      <c r="E411" s="33" t="s">
        <v>511</v>
      </c>
      <c r="F411" s="33" t="s">
        <v>584</v>
      </c>
      <c r="I411" s="33">
        <v>13</v>
      </c>
      <c r="J411" s="33">
        <v>0</v>
      </c>
      <c r="K411" s="33">
        <v>0</v>
      </c>
      <c r="L411" s="33">
        <v>13</v>
      </c>
      <c r="M411" s="33" t="s">
        <v>505</v>
      </c>
    </row>
    <row r="412" spans="1:13">
      <c r="A412" s="33">
        <v>23045</v>
      </c>
      <c r="B412" s="33" t="s">
        <v>55</v>
      </c>
      <c r="C412" s="33" t="s">
        <v>647</v>
      </c>
      <c r="D412" s="33" t="s">
        <v>538</v>
      </c>
      <c r="I412" s="33">
        <v>0</v>
      </c>
      <c r="J412" s="33">
        <v>0</v>
      </c>
      <c r="K412" s="33">
        <v>540</v>
      </c>
      <c r="L412" s="33">
        <v>540</v>
      </c>
      <c r="M412" s="33" t="s">
        <v>492</v>
      </c>
    </row>
    <row r="413" spans="1:13">
      <c r="A413" s="33">
        <v>23045</v>
      </c>
      <c r="B413" s="33" t="s">
        <v>55</v>
      </c>
      <c r="C413" s="33" t="s">
        <v>647</v>
      </c>
      <c r="D413" s="33" t="s">
        <v>540</v>
      </c>
      <c r="I413" s="33">
        <v>0</v>
      </c>
      <c r="J413" s="33">
        <v>0</v>
      </c>
      <c r="K413" s="33">
        <v>540</v>
      </c>
      <c r="L413" s="33">
        <v>540</v>
      </c>
      <c r="M413" s="33" t="s">
        <v>492</v>
      </c>
    </row>
    <row r="414" spans="1:13">
      <c r="A414" s="33">
        <v>23045</v>
      </c>
      <c r="B414" s="33" t="s">
        <v>55</v>
      </c>
      <c r="C414" s="33" t="s">
        <v>647</v>
      </c>
      <c r="D414" s="33" t="s">
        <v>543</v>
      </c>
      <c r="I414" s="33">
        <v>0</v>
      </c>
      <c r="J414" s="33">
        <v>0</v>
      </c>
      <c r="K414" s="33">
        <v>540</v>
      </c>
      <c r="L414" s="33">
        <v>540</v>
      </c>
      <c r="M414" s="33" t="s">
        <v>492</v>
      </c>
    </row>
    <row r="415" spans="1:13">
      <c r="A415" s="33">
        <v>23045</v>
      </c>
      <c r="B415" s="33" t="s">
        <v>55</v>
      </c>
      <c r="C415" s="33" t="s">
        <v>647</v>
      </c>
      <c r="D415" s="33" t="s">
        <v>512</v>
      </c>
      <c r="I415" s="33">
        <v>0</v>
      </c>
      <c r="J415" s="33">
        <v>0</v>
      </c>
      <c r="K415" s="33">
        <v>540</v>
      </c>
      <c r="L415" s="33">
        <v>540</v>
      </c>
      <c r="M415" s="33" t="s">
        <v>492</v>
      </c>
    </row>
    <row r="416" spans="1:13">
      <c r="A416" s="33">
        <v>23045</v>
      </c>
      <c r="B416" s="33" t="s">
        <v>55</v>
      </c>
      <c r="C416" s="33" t="s">
        <v>647</v>
      </c>
      <c r="D416" s="33" t="s">
        <v>515</v>
      </c>
      <c r="I416" s="33">
        <v>0</v>
      </c>
      <c r="J416" s="33">
        <v>0</v>
      </c>
      <c r="K416" s="33">
        <v>540</v>
      </c>
      <c r="L416" s="33">
        <v>540</v>
      </c>
      <c r="M416" s="33" t="s">
        <v>492</v>
      </c>
    </row>
    <row r="417" spans="1:13">
      <c r="A417" s="33">
        <v>23045</v>
      </c>
      <c r="B417" s="33" t="s">
        <v>55</v>
      </c>
      <c r="C417" s="33" t="s">
        <v>647</v>
      </c>
      <c r="D417" s="33" t="s">
        <v>517</v>
      </c>
      <c r="I417" s="33">
        <v>0</v>
      </c>
      <c r="J417" s="33">
        <v>0</v>
      </c>
      <c r="K417" s="33">
        <v>540</v>
      </c>
      <c r="L417" s="33">
        <v>540</v>
      </c>
      <c r="M417" s="33" t="s">
        <v>492</v>
      </c>
    </row>
    <row r="418" spans="1:13">
      <c r="A418" s="33">
        <v>23045</v>
      </c>
      <c r="B418" s="33" t="s">
        <v>55</v>
      </c>
      <c r="C418" s="33" t="s">
        <v>647</v>
      </c>
      <c r="D418" s="33" t="s">
        <v>518</v>
      </c>
      <c r="I418" s="33">
        <v>0</v>
      </c>
      <c r="J418" s="33">
        <v>0</v>
      </c>
      <c r="K418" s="33">
        <v>540</v>
      </c>
      <c r="L418" s="33">
        <v>540</v>
      </c>
      <c r="M418" s="33" t="s">
        <v>492</v>
      </c>
    </row>
    <row r="419" spans="1:13">
      <c r="A419" s="33">
        <v>23027</v>
      </c>
      <c r="B419" s="33" t="s">
        <v>138</v>
      </c>
      <c r="C419" s="33" t="s">
        <v>647</v>
      </c>
      <c r="D419" s="33" t="s">
        <v>491</v>
      </c>
      <c r="E419" s="33" t="s">
        <v>662</v>
      </c>
      <c r="F419" s="33" t="s">
        <v>653</v>
      </c>
      <c r="I419" s="33">
        <v>21</v>
      </c>
      <c r="J419" s="33">
        <v>0</v>
      </c>
      <c r="K419" s="33">
        <v>0</v>
      </c>
      <c r="L419" s="33">
        <v>21</v>
      </c>
      <c r="M419" s="33" t="s">
        <v>505</v>
      </c>
    </row>
    <row r="420" spans="1:13">
      <c r="A420" s="33">
        <v>23027</v>
      </c>
      <c r="B420" s="33" t="s">
        <v>138</v>
      </c>
      <c r="C420" s="33" t="s">
        <v>647</v>
      </c>
      <c r="D420" s="33" t="s">
        <v>495</v>
      </c>
      <c r="E420" s="33" t="s">
        <v>691</v>
      </c>
      <c r="F420" s="33" t="s">
        <v>661</v>
      </c>
      <c r="I420" s="33">
        <v>52</v>
      </c>
      <c r="J420" s="33">
        <v>0</v>
      </c>
      <c r="K420" s="33">
        <v>0</v>
      </c>
      <c r="L420" s="33">
        <v>52</v>
      </c>
      <c r="M420" s="33" t="s">
        <v>522</v>
      </c>
    </row>
    <row r="421" spans="1:13">
      <c r="A421" s="33">
        <v>23027</v>
      </c>
      <c r="B421" s="33" t="s">
        <v>138</v>
      </c>
      <c r="C421" s="33" t="s">
        <v>647</v>
      </c>
      <c r="D421" s="33" t="s">
        <v>497</v>
      </c>
      <c r="E421" s="33" t="s">
        <v>649</v>
      </c>
      <c r="F421" s="33" t="s">
        <v>530</v>
      </c>
      <c r="I421" s="33">
        <v>15</v>
      </c>
      <c r="J421" s="33">
        <v>0</v>
      </c>
      <c r="K421" s="33">
        <v>0</v>
      </c>
      <c r="L421" s="33">
        <v>15</v>
      </c>
      <c r="M421" s="33" t="s">
        <v>505</v>
      </c>
    </row>
    <row r="422" spans="1:13">
      <c r="A422" s="33">
        <v>23027</v>
      </c>
      <c r="B422" s="33" t="s">
        <v>138</v>
      </c>
      <c r="C422" s="33" t="s">
        <v>647</v>
      </c>
      <c r="D422" s="33" t="s">
        <v>499</v>
      </c>
      <c r="E422" s="33" t="s">
        <v>592</v>
      </c>
      <c r="I422" s="33">
        <v>16</v>
      </c>
      <c r="J422" s="33">
        <v>0</v>
      </c>
      <c r="K422" s="33">
        <v>524</v>
      </c>
      <c r="L422" s="33">
        <v>540</v>
      </c>
      <c r="M422" s="33" t="s">
        <v>505</v>
      </c>
    </row>
    <row r="423" spans="1:13">
      <c r="A423" s="33">
        <v>23027</v>
      </c>
      <c r="B423" s="33" t="s">
        <v>138</v>
      </c>
      <c r="C423" s="33" t="s">
        <v>647</v>
      </c>
      <c r="D423" s="33" t="s">
        <v>500</v>
      </c>
      <c r="E423" s="33" t="s">
        <v>692</v>
      </c>
      <c r="F423" s="33" t="s">
        <v>653</v>
      </c>
      <c r="I423" s="33">
        <v>195</v>
      </c>
      <c r="J423" s="33">
        <v>0</v>
      </c>
      <c r="K423" s="33">
        <v>0</v>
      </c>
      <c r="L423" s="33">
        <v>195</v>
      </c>
      <c r="M423" s="33" t="s">
        <v>522</v>
      </c>
    </row>
    <row r="424" spans="1:13">
      <c r="A424" s="33">
        <v>23027</v>
      </c>
      <c r="B424" s="33" t="s">
        <v>138</v>
      </c>
      <c r="C424" s="33" t="s">
        <v>647</v>
      </c>
      <c r="D424" s="33" t="s">
        <v>506</v>
      </c>
      <c r="I424" s="33">
        <v>0</v>
      </c>
      <c r="J424" s="33">
        <v>0</v>
      </c>
      <c r="K424" s="33">
        <v>540</v>
      </c>
      <c r="L424" s="33">
        <v>540</v>
      </c>
      <c r="M424" s="33" t="s">
        <v>492</v>
      </c>
    </row>
    <row r="425" spans="1:13">
      <c r="A425" s="33">
        <v>23027</v>
      </c>
      <c r="B425" s="33" t="s">
        <v>138</v>
      </c>
      <c r="C425" s="33" t="s">
        <v>647</v>
      </c>
      <c r="D425" s="33" t="s">
        <v>507</v>
      </c>
      <c r="E425" s="33" t="s">
        <v>662</v>
      </c>
      <c r="F425" s="33" t="s">
        <v>629</v>
      </c>
      <c r="I425" s="33">
        <v>21</v>
      </c>
      <c r="J425" s="33">
        <v>0</v>
      </c>
      <c r="K425" s="33">
        <v>0</v>
      </c>
      <c r="L425" s="33">
        <v>21</v>
      </c>
      <c r="M425" s="33" t="s">
        <v>505</v>
      </c>
    </row>
    <row r="426" spans="1:13">
      <c r="A426" s="33">
        <v>23027</v>
      </c>
      <c r="B426" s="33" t="s">
        <v>138</v>
      </c>
      <c r="C426" s="33" t="s">
        <v>647</v>
      </c>
      <c r="D426" s="33" t="s">
        <v>534</v>
      </c>
      <c r="I426" s="33">
        <v>0</v>
      </c>
      <c r="J426" s="33">
        <v>0</v>
      </c>
      <c r="K426" s="33">
        <v>540</v>
      </c>
      <c r="L426" s="33">
        <v>540</v>
      </c>
      <c r="M426" s="33" t="s">
        <v>492</v>
      </c>
    </row>
    <row r="427" spans="1:13">
      <c r="A427" s="33">
        <v>23027</v>
      </c>
      <c r="B427" s="33" t="s">
        <v>138</v>
      </c>
      <c r="C427" s="33" t="s">
        <v>647</v>
      </c>
      <c r="D427" s="33" t="s">
        <v>510</v>
      </c>
      <c r="I427" s="33">
        <v>0</v>
      </c>
      <c r="J427" s="33">
        <v>0</v>
      </c>
      <c r="K427" s="33">
        <v>540</v>
      </c>
      <c r="L427" s="33">
        <v>540</v>
      </c>
      <c r="M427" s="33" t="s">
        <v>492</v>
      </c>
    </row>
    <row r="428" spans="1:13">
      <c r="A428" s="33">
        <v>23027</v>
      </c>
      <c r="B428" s="33" t="s">
        <v>138</v>
      </c>
      <c r="C428" s="33" t="s">
        <v>647</v>
      </c>
      <c r="D428" s="33" t="s">
        <v>540</v>
      </c>
      <c r="I428" s="33">
        <v>0</v>
      </c>
      <c r="J428" s="33">
        <v>0</v>
      </c>
      <c r="K428" s="33">
        <v>540</v>
      </c>
      <c r="L428" s="33">
        <v>540</v>
      </c>
      <c r="M428" s="33" t="s">
        <v>492</v>
      </c>
    </row>
    <row r="429" spans="1:13">
      <c r="A429" s="33">
        <v>23027</v>
      </c>
      <c r="B429" s="33" t="s">
        <v>138</v>
      </c>
      <c r="C429" s="33" t="s">
        <v>647</v>
      </c>
      <c r="D429" s="33" t="s">
        <v>543</v>
      </c>
      <c r="I429" s="33">
        <v>0</v>
      </c>
      <c r="J429" s="33">
        <v>0</v>
      </c>
      <c r="K429" s="33">
        <v>540</v>
      </c>
      <c r="L429" s="33">
        <v>540</v>
      </c>
      <c r="M429" s="33" t="s">
        <v>492</v>
      </c>
    </row>
    <row r="430" spans="1:13">
      <c r="A430" s="33">
        <v>23027</v>
      </c>
      <c r="B430" s="33" t="s">
        <v>138</v>
      </c>
      <c r="C430" s="33" t="s">
        <v>647</v>
      </c>
      <c r="D430" s="33" t="s">
        <v>512</v>
      </c>
      <c r="I430" s="33">
        <v>0</v>
      </c>
      <c r="J430" s="33">
        <v>0</v>
      </c>
      <c r="K430" s="33">
        <v>540</v>
      </c>
      <c r="L430" s="33">
        <v>540</v>
      </c>
      <c r="M430" s="33" t="s">
        <v>492</v>
      </c>
    </row>
    <row r="431" spans="1:13">
      <c r="A431" s="33">
        <v>23027</v>
      </c>
      <c r="B431" s="33" t="s">
        <v>138</v>
      </c>
      <c r="C431" s="33" t="s">
        <v>647</v>
      </c>
      <c r="D431" s="33" t="s">
        <v>515</v>
      </c>
      <c r="I431" s="33">
        <v>0</v>
      </c>
      <c r="J431" s="33">
        <v>0</v>
      </c>
      <c r="K431" s="33">
        <v>540</v>
      </c>
      <c r="L431" s="33">
        <v>540</v>
      </c>
      <c r="M431" s="33" t="s">
        <v>492</v>
      </c>
    </row>
    <row r="432" spans="1:13">
      <c r="A432" s="33">
        <v>23027</v>
      </c>
      <c r="B432" s="33" t="s">
        <v>138</v>
      </c>
      <c r="C432" s="33" t="s">
        <v>647</v>
      </c>
      <c r="D432" s="33" t="s">
        <v>517</v>
      </c>
      <c r="I432" s="33">
        <v>0</v>
      </c>
      <c r="J432" s="33">
        <v>0</v>
      </c>
      <c r="K432" s="33">
        <v>540</v>
      </c>
      <c r="L432" s="33">
        <v>540</v>
      </c>
      <c r="M432" s="33" t="s">
        <v>492</v>
      </c>
    </row>
    <row r="433" spans="1:13">
      <c r="A433" s="33">
        <v>23027</v>
      </c>
      <c r="B433" s="33" t="s">
        <v>138</v>
      </c>
      <c r="C433" s="33" t="s">
        <v>647</v>
      </c>
      <c r="D433" s="33" t="s">
        <v>518</v>
      </c>
      <c r="I433" s="33">
        <v>0</v>
      </c>
      <c r="J433" s="33">
        <v>0</v>
      </c>
      <c r="K433" s="33">
        <v>540</v>
      </c>
      <c r="L433" s="33">
        <v>540</v>
      </c>
      <c r="M433" s="33" t="s">
        <v>492</v>
      </c>
    </row>
    <row r="434" spans="1:13">
      <c r="A434" s="33">
        <v>23043</v>
      </c>
      <c r="B434" s="33" t="s">
        <v>53</v>
      </c>
      <c r="C434" s="33" t="s">
        <v>647</v>
      </c>
      <c r="D434" s="33" t="s">
        <v>490</v>
      </c>
      <c r="E434" s="33" t="s">
        <v>654</v>
      </c>
      <c r="F434" s="33" t="s">
        <v>659</v>
      </c>
      <c r="I434" s="33">
        <v>11</v>
      </c>
      <c r="J434" s="33">
        <v>0</v>
      </c>
      <c r="K434" s="33">
        <v>0</v>
      </c>
      <c r="L434" s="33">
        <v>11</v>
      </c>
      <c r="M434" s="33" t="s">
        <v>505</v>
      </c>
    </row>
    <row r="435" spans="1:13">
      <c r="A435" s="33">
        <v>23043</v>
      </c>
      <c r="B435" s="33" t="s">
        <v>53</v>
      </c>
      <c r="C435" s="33" t="s">
        <v>647</v>
      </c>
      <c r="D435" s="33" t="s">
        <v>491</v>
      </c>
      <c r="E435" s="33" t="s">
        <v>630</v>
      </c>
      <c r="F435" s="33" t="s">
        <v>672</v>
      </c>
      <c r="I435" s="33">
        <v>18</v>
      </c>
      <c r="J435" s="33">
        <v>0</v>
      </c>
      <c r="K435" s="33">
        <v>0</v>
      </c>
      <c r="L435" s="33">
        <v>18</v>
      </c>
      <c r="M435" s="33" t="s">
        <v>505</v>
      </c>
    </row>
    <row r="436" spans="1:13">
      <c r="A436" s="33">
        <v>23043</v>
      </c>
      <c r="B436" s="33" t="s">
        <v>53</v>
      </c>
      <c r="C436" s="33" t="s">
        <v>647</v>
      </c>
      <c r="D436" s="33" t="s">
        <v>498</v>
      </c>
      <c r="F436" s="33" t="s">
        <v>650</v>
      </c>
      <c r="I436" s="33">
        <v>0</v>
      </c>
      <c r="J436" s="33">
        <v>0</v>
      </c>
      <c r="K436" s="33">
        <v>540</v>
      </c>
      <c r="L436" s="33">
        <v>540</v>
      </c>
      <c r="M436" s="33" t="s">
        <v>492</v>
      </c>
    </row>
    <row r="437" spans="1:13">
      <c r="A437" s="33">
        <v>23043</v>
      </c>
      <c r="B437" s="33" t="s">
        <v>53</v>
      </c>
      <c r="C437" s="33" t="s">
        <v>647</v>
      </c>
      <c r="D437" s="33" t="s">
        <v>500</v>
      </c>
      <c r="E437" s="33" t="s">
        <v>673</v>
      </c>
      <c r="F437" s="33" t="s">
        <v>693</v>
      </c>
      <c r="I437" s="33">
        <v>22</v>
      </c>
      <c r="J437" s="33">
        <v>0</v>
      </c>
      <c r="K437" s="33">
        <v>0</v>
      </c>
      <c r="L437" s="33">
        <v>22</v>
      </c>
      <c r="M437" s="33" t="s">
        <v>505</v>
      </c>
    </row>
    <row r="438" spans="1:13">
      <c r="A438" s="33">
        <v>23043</v>
      </c>
      <c r="B438" s="33" t="s">
        <v>53</v>
      </c>
      <c r="C438" s="33" t="s">
        <v>647</v>
      </c>
      <c r="D438" s="33" t="s">
        <v>506</v>
      </c>
      <c r="I438" s="33">
        <v>0</v>
      </c>
      <c r="J438" s="33">
        <v>0</v>
      </c>
      <c r="K438" s="33">
        <v>540</v>
      </c>
      <c r="L438" s="33">
        <v>540</v>
      </c>
      <c r="M438" s="33" t="s">
        <v>492</v>
      </c>
    </row>
    <row r="439" spans="1:13">
      <c r="A439" s="33">
        <v>23043</v>
      </c>
      <c r="B439" s="33" t="s">
        <v>53</v>
      </c>
      <c r="C439" s="33" t="s">
        <v>647</v>
      </c>
      <c r="D439" s="33" t="s">
        <v>507</v>
      </c>
      <c r="E439" s="33" t="s">
        <v>511</v>
      </c>
      <c r="I439" s="33">
        <v>13</v>
      </c>
      <c r="J439" s="33">
        <v>0</v>
      </c>
      <c r="K439" s="33">
        <v>527</v>
      </c>
      <c r="L439" s="33">
        <v>540</v>
      </c>
      <c r="M439" s="33" t="s">
        <v>505</v>
      </c>
    </row>
    <row r="440" spans="1:13">
      <c r="A440" s="33">
        <v>23043</v>
      </c>
      <c r="B440" s="33" t="s">
        <v>53</v>
      </c>
      <c r="C440" s="33" t="s">
        <v>647</v>
      </c>
      <c r="D440" s="33" t="s">
        <v>508</v>
      </c>
      <c r="E440" s="33" t="s">
        <v>694</v>
      </c>
      <c r="I440" s="33">
        <v>27</v>
      </c>
      <c r="J440" s="33">
        <v>0</v>
      </c>
      <c r="K440" s="33">
        <v>513</v>
      </c>
      <c r="L440" s="33">
        <v>540</v>
      </c>
      <c r="M440" s="33" t="s">
        <v>505</v>
      </c>
    </row>
    <row r="441" spans="1:13">
      <c r="A441" s="33">
        <v>23043</v>
      </c>
      <c r="B441" s="33" t="s">
        <v>53</v>
      </c>
      <c r="C441" s="33" t="s">
        <v>647</v>
      </c>
      <c r="D441" s="33" t="s">
        <v>534</v>
      </c>
      <c r="E441" s="33" t="s">
        <v>675</v>
      </c>
      <c r="I441" s="33">
        <v>24</v>
      </c>
      <c r="J441" s="33">
        <v>0</v>
      </c>
      <c r="K441" s="33">
        <v>516</v>
      </c>
      <c r="L441" s="33">
        <v>540</v>
      </c>
      <c r="M441" s="33" t="s">
        <v>505</v>
      </c>
    </row>
    <row r="442" spans="1:13">
      <c r="A442" s="33">
        <v>23043</v>
      </c>
      <c r="B442" s="33" t="s">
        <v>53</v>
      </c>
      <c r="C442" s="33" t="s">
        <v>647</v>
      </c>
      <c r="D442" s="33" t="s">
        <v>535</v>
      </c>
      <c r="E442" s="33" t="s">
        <v>695</v>
      </c>
      <c r="I442" s="33">
        <v>0</v>
      </c>
      <c r="J442" s="33">
        <v>0</v>
      </c>
      <c r="K442" s="33">
        <v>540</v>
      </c>
      <c r="L442" s="33">
        <v>540</v>
      </c>
      <c r="M442" s="33" t="s">
        <v>505</v>
      </c>
    </row>
    <row r="443" spans="1:13">
      <c r="A443" s="33">
        <v>23043</v>
      </c>
      <c r="B443" s="33" t="s">
        <v>53</v>
      </c>
      <c r="C443" s="33" t="s">
        <v>647</v>
      </c>
      <c r="D443" s="33" t="s">
        <v>510</v>
      </c>
      <c r="E443" s="33" t="s">
        <v>649</v>
      </c>
      <c r="I443" s="33">
        <v>15</v>
      </c>
      <c r="J443" s="33">
        <v>0</v>
      </c>
      <c r="K443" s="33">
        <v>525</v>
      </c>
      <c r="L443" s="33">
        <v>540</v>
      </c>
      <c r="M443" s="33" t="s">
        <v>505</v>
      </c>
    </row>
    <row r="444" spans="1:13">
      <c r="A444" s="33">
        <v>23043</v>
      </c>
      <c r="B444" s="33" t="s">
        <v>53</v>
      </c>
      <c r="C444" s="33" t="s">
        <v>647</v>
      </c>
      <c r="D444" s="33" t="s">
        <v>538</v>
      </c>
      <c r="E444" s="33" t="s">
        <v>680</v>
      </c>
      <c r="I444" s="33">
        <v>20</v>
      </c>
      <c r="J444" s="33">
        <v>0</v>
      </c>
      <c r="K444" s="33">
        <v>520</v>
      </c>
      <c r="L444" s="33">
        <v>540</v>
      </c>
      <c r="M444" s="33" t="s">
        <v>505</v>
      </c>
    </row>
    <row r="445" spans="1:13">
      <c r="A445" s="33">
        <v>23043</v>
      </c>
      <c r="B445" s="33" t="s">
        <v>53</v>
      </c>
      <c r="C445" s="33" t="s">
        <v>647</v>
      </c>
      <c r="D445" s="33" t="s">
        <v>540</v>
      </c>
      <c r="E445" s="33" t="s">
        <v>673</v>
      </c>
      <c r="I445" s="33">
        <v>22</v>
      </c>
      <c r="J445" s="33">
        <v>0</v>
      </c>
      <c r="K445" s="33">
        <v>518</v>
      </c>
      <c r="L445" s="33">
        <v>540</v>
      </c>
      <c r="M445" s="33" t="s">
        <v>505</v>
      </c>
    </row>
    <row r="446" spans="1:13">
      <c r="A446" s="33">
        <v>23043</v>
      </c>
      <c r="B446" s="33" t="s">
        <v>53</v>
      </c>
      <c r="C446" s="33" t="s">
        <v>647</v>
      </c>
      <c r="D446" s="33" t="s">
        <v>543</v>
      </c>
      <c r="E446" s="33" t="s">
        <v>635</v>
      </c>
      <c r="I446" s="33">
        <v>26</v>
      </c>
      <c r="J446" s="33">
        <v>0</v>
      </c>
      <c r="K446" s="33">
        <v>514</v>
      </c>
      <c r="L446" s="33">
        <v>540</v>
      </c>
      <c r="M446" s="33" t="s">
        <v>505</v>
      </c>
    </row>
    <row r="447" spans="1:13">
      <c r="A447" s="33">
        <v>23043</v>
      </c>
      <c r="B447" s="33" t="s">
        <v>53</v>
      </c>
      <c r="C447" s="33" t="s">
        <v>647</v>
      </c>
      <c r="D447" s="33" t="s">
        <v>512</v>
      </c>
      <c r="I447" s="33">
        <v>0</v>
      </c>
      <c r="J447" s="33">
        <v>0</v>
      </c>
      <c r="K447" s="33">
        <v>540</v>
      </c>
      <c r="L447" s="33">
        <v>540</v>
      </c>
      <c r="M447" s="33" t="s">
        <v>492</v>
      </c>
    </row>
    <row r="448" spans="1:13">
      <c r="A448" s="33">
        <v>23043</v>
      </c>
      <c r="B448" s="33" t="s">
        <v>53</v>
      </c>
      <c r="C448" s="33" t="s">
        <v>647</v>
      </c>
      <c r="D448" s="33" t="s">
        <v>515</v>
      </c>
      <c r="E448" s="33" t="s">
        <v>511</v>
      </c>
      <c r="I448" s="33">
        <v>13</v>
      </c>
      <c r="J448" s="33">
        <v>0</v>
      </c>
      <c r="K448" s="33">
        <v>527</v>
      </c>
      <c r="L448" s="33">
        <v>540</v>
      </c>
      <c r="M448" s="33" t="s">
        <v>505</v>
      </c>
    </row>
    <row r="449" spans="1:13">
      <c r="A449" s="33">
        <v>23043</v>
      </c>
      <c r="B449" s="33" t="s">
        <v>53</v>
      </c>
      <c r="C449" s="33" t="s">
        <v>647</v>
      </c>
      <c r="D449" s="33" t="s">
        <v>517</v>
      </c>
      <c r="E449" s="33" t="s">
        <v>675</v>
      </c>
      <c r="I449" s="33">
        <v>24</v>
      </c>
      <c r="J449" s="33">
        <v>0</v>
      </c>
      <c r="K449" s="33">
        <v>516</v>
      </c>
      <c r="L449" s="33">
        <v>540</v>
      </c>
      <c r="M449" s="33" t="s">
        <v>505</v>
      </c>
    </row>
    <row r="450" spans="1:13">
      <c r="A450" s="33">
        <v>23043</v>
      </c>
      <c r="B450" s="33" t="s">
        <v>53</v>
      </c>
      <c r="C450" s="33" t="s">
        <v>647</v>
      </c>
      <c r="D450" s="33" t="s">
        <v>518</v>
      </c>
      <c r="I450" s="33">
        <v>0</v>
      </c>
      <c r="J450" s="33">
        <v>0</v>
      </c>
      <c r="K450" s="33">
        <v>540</v>
      </c>
      <c r="L450" s="33">
        <v>540</v>
      </c>
      <c r="M450" s="33" t="s">
        <v>492</v>
      </c>
    </row>
    <row r="451" spans="1:13">
      <c r="A451" s="33">
        <v>23018</v>
      </c>
      <c r="B451" s="33" t="s">
        <v>33</v>
      </c>
      <c r="C451" s="33" t="s">
        <v>647</v>
      </c>
      <c r="D451" s="33" t="s">
        <v>490</v>
      </c>
      <c r="E451" s="33" t="s">
        <v>593</v>
      </c>
      <c r="F451" s="33" t="s">
        <v>588</v>
      </c>
      <c r="I451" s="33">
        <v>12</v>
      </c>
      <c r="J451" s="33">
        <v>0</v>
      </c>
      <c r="K451" s="33">
        <v>0</v>
      </c>
      <c r="L451" s="33">
        <v>12</v>
      </c>
      <c r="M451" s="33" t="s">
        <v>505</v>
      </c>
    </row>
    <row r="452" spans="1:13">
      <c r="A452" s="33">
        <v>23018</v>
      </c>
      <c r="B452" s="33" t="s">
        <v>33</v>
      </c>
      <c r="C452" s="33" t="s">
        <v>647</v>
      </c>
      <c r="D452" s="33" t="s">
        <v>491</v>
      </c>
      <c r="E452" s="33" t="s">
        <v>662</v>
      </c>
      <c r="F452" s="33" t="s">
        <v>588</v>
      </c>
      <c r="I452" s="33">
        <v>21</v>
      </c>
      <c r="J452" s="33">
        <v>0</v>
      </c>
      <c r="K452" s="33">
        <v>0</v>
      </c>
      <c r="L452" s="33">
        <v>21</v>
      </c>
      <c r="M452" s="33" t="s">
        <v>505</v>
      </c>
    </row>
    <row r="453" spans="1:13">
      <c r="A453" s="33">
        <v>23018</v>
      </c>
      <c r="B453" s="33" t="s">
        <v>33</v>
      </c>
      <c r="C453" s="33" t="s">
        <v>647</v>
      </c>
      <c r="D453" s="33" t="s">
        <v>497</v>
      </c>
      <c r="E453" s="33" t="s">
        <v>563</v>
      </c>
      <c r="F453" s="33" t="s">
        <v>584</v>
      </c>
      <c r="I453" s="33">
        <v>92</v>
      </c>
      <c r="J453" s="33">
        <v>0</v>
      </c>
      <c r="K453" s="33">
        <v>0</v>
      </c>
      <c r="L453" s="33">
        <v>92</v>
      </c>
      <c r="M453" s="33" t="s">
        <v>522</v>
      </c>
    </row>
    <row r="454" spans="1:13">
      <c r="A454" s="33">
        <v>23018</v>
      </c>
      <c r="B454" s="33" t="s">
        <v>33</v>
      </c>
      <c r="C454" s="33" t="s">
        <v>647</v>
      </c>
      <c r="D454" s="33" t="s">
        <v>498</v>
      </c>
      <c r="I454" s="33">
        <v>0</v>
      </c>
      <c r="J454" s="33">
        <v>0</v>
      </c>
      <c r="K454" s="33">
        <v>540</v>
      </c>
      <c r="L454" s="33">
        <v>540</v>
      </c>
      <c r="M454" s="33" t="s">
        <v>492</v>
      </c>
    </row>
    <row r="455" spans="1:13">
      <c r="A455" s="33">
        <v>23018</v>
      </c>
      <c r="B455" s="33" t="s">
        <v>33</v>
      </c>
      <c r="C455" s="33" t="s">
        <v>647</v>
      </c>
      <c r="D455" s="33" t="s">
        <v>506</v>
      </c>
      <c r="I455" s="33">
        <v>0</v>
      </c>
      <c r="J455" s="33">
        <v>0</v>
      </c>
      <c r="K455" s="33">
        <v>540</v>
      </c>
      <c r="L455" s="33">
        <v>540</v>
      </c>
      <c r="M455" s="33" t="s">
        <v>492</v>
      </c>
    </row>
    <row r="456" spans="1:13">
      <c r="A456" s="33">
        <v>23018</v>
      </c>
      <c r="B456" s="33" t="s">
        <v>33</v>
      </c>
      <c r="C456" s="33" t="s">
        <v>647</v>
      </c>
      <c r="D456" s="33" t="s">
        <v>507</v>
      </c>
      <c r="I456" s="33">
        <v>0</v>
      </c>
      <c r="J456" s="33">
        <v>0</v>
      </c>
      <c r="K456" s="33">
        <v>540</v>
      </c>
      <c r="L456" s="33">
        <v>540</v>
      </c>
      <c r="M456" s="33" t="s">
        <v>492</v>
      </c>
    </row>
    <row r="457" spans="1:13">
      <c r="A457" s="33">
        <v>23018</v>
      </c>
      <c r="B457" s="33" t="s">
        <v>33</v>
      </c>
      <c r="C457" s="33" t="s">
        <v>647</v>
      </c>
      <c r="D457" s="33" t="s">
        <v>534</v>
      </c>
      <c r="E457" s="33" t="s">
        <v>593</v>
      </c>
      <c r="F457" s="33" t="s">
        <v>584</v>
      </c>
      <c r="I457" s="33">
        <v>12</v>
      </c>
      <c r="J457" s="33">
        <v>0</v>
      </c>
      <c r="K457" s="33">
        <v>0</v>
      </c>
      <c r="L457" s="33">
        <v>12</v>
      </c>
      <c r="M457" s="33" t="s">
        <v>505</v>
      </c>
    </row>
    <row r="458" spans="1:13">
      <c r="A458" s="33">
        <v>23018</v>
      </c>
      <c r="B458" s="33" t="s">
        <v>33</v>
      </c>
      <c r="C458" s="33" t="s">
        <v>647</v>
      </c>
      <c r="D458" s="33" t="s">
        <v>538</v>
      </c>
      <c r="E458" s="33" t="s">
        <v>556</v>
      </c>
      <c r="F458" s="33" t="s">
        <v>696</v>
      </c>
      <c r="I458" s="33">
        <v>32</v>
      </c>
      <c r="J458" s="33">
        <v>0</v>
      </c>
      <c r="K458" s="33">
        <v>0</v>
      </c>
      <c r="L458" s="33">
        <v>32</v>
      </c>
      <c r="M458" s="33" t="s">
        <v>522</v>
      </c>
    </row>
    <row r="459" spans="1:13">
      <c r="A459" s="33">
        <v>23018</v>
      </c>
      <c r="B459" s="33" t="s">
        <v>33</v>
      </c>
      <c r="C459" s="33" t="s">
        <v>647</v>
      </c>
      <c r="D459" s="33" t="s">
        <v>512</v>
      </c>
      <c r="I459" s="33">
        <v>0</v>
      </c>
      <c r="J459" s="33">
        <v>0</v>
      </c>
      <c r="K459" s="33">
        <v>540</v>
      </c>
      <c r="L459" s="33">
        <v>540</v>
      </c>
      <c r="M459" s="33" t="s">
        <v>492</v>
      </c>
    </row>
    <row r="460" spans="1:13">
      <c r="A460" s="33">
        <v>23018</v>
      </c>
      <c r="B460" s="33" t="s">
        <v>33</v>
      </c>
      <c r="C460" s="33" t="s">
        <v>647</v>
      </c>
      <c r="D460" s="33" t="s">
        <v>515</v>
      </c>
      <c r="E460" s="33" t="s">
        <v>654</v>
      </c>
      <c r="F460" s="33" t="s">
        <v>584</v>
      </c>
      <c r="I460" s="33">
        <v>11</v>
      </c>
      <c r="J460" s="33">
        <v>0</v>
      </c>
      <c r="K460" s="33">
        <v>0</v>
      </c>
      <c r="L460" s="33">
        <v>11</v>
      </c>
      <c r="M460" s="33" t="s">
        <v>505</v>
      </c>
    </row>
    <row r="461" spans="1:13">
      <c r="A461" s="33">
        <v>23018</v>
      </c>
      <c r="B461" s="33" t="s">
        <v>33</v>
      </c>
      <c r="C461" s="33" t="s">
        <v>647</v>
      </c>
      <c r="D461" s="33" t="s">
        <v>518</v>
      </c>
      <c r="E461" s="33" t="s">
        <v>636</v>
      </c>
      <c r="I461" s="33">
        <v>0</v>
      </c>
      <c r="J461" s="33">
        <v>0</v>
      </c>
      <c r="K461" s="33">
        <v>540</v>
      </c>
      <c r="L461" s="33">
        <v>540</v>
      </c>
      <c r="M461" s="33" t="s">
        <v>505</v>
      </c>
    </row>
    <row r="462" spans="1:13">
      <c r="A462" s="33">
        <v>23025</v>
      </c>
      <c r="B462" s="33" t="s">
        <v>39</v>
      </c>
      <c r="C462" s="33" t="s">
        <v>647</v>
      </c>
      <c r="D462" s="33" t="s">
        <v>490</v>
      </c>
      <c r="E462" s="33" t="s">
        <v>511</v>
      </c>
      <c r="F462" s="33" t="s">
        <v>588</v>
      </c>
      <c r="I462" s="33">
        <v>13</v>
      </c>
      <c r="J462" s="33">
        <v>0</v>
      </c>
      <c r="K462" s="33">
        <v>0</v>
      </c>
      <c r="L462" s="33">
        <v>13</v>
      </c>
      <c r="M462" s="33" t="s">
        <v>505</v>
      </c>
    </row>
    <row r="463" spans="1:13">
      <c r="A463" s="33">
        <v>23025</v>
      </c>
      <c r="B463" s="33" t="s">
        <v>39</v>
      </c>
      <c r="C463" s="33" t="s">
        <v>647</v>
      </c>
      <c r="D463" s="33" t="s">
        <v>491</v>
      </c>
      <c r="E463" s="33" t="s">
        <v>662</v>
      </c>
      <c r="F463" s="33" t="s">
        <v>584</v>
      </c>
      <c r="I463" s="33">
        <v>21</v>
      </c>
      <c r="J463" s="33">
        <v>0</v>
      </c>
      <c r="K463" s="33">
        <v>0</v>
      </c>
      <c r="L463" s="33">
        <v>21</v>
      </c>
      <c r="M463" s="33" t="s">
        <v>505</v>
      </c>
    </row>
    <row r="464" spans="1:13">
      <c r="A464" s="33">
        <v>23025</v>
      </c>
      <c r="B464" s="33" t="s">
        <v>39</v>
      </c>
      <c r="C464" s="33" t="s">
        <v>647</v>
      </c>
      <c r="D464" s="33" t="s">
        <v>494</v>
      </c>
      <c r="E464" s="33" t="s">
        <v>697</v>
      </c>
      <c r="F464" s="33" t="s">
        <v>588</v>
      </c>
      <c r="I464" s="33">
        <v>84</v>
      </c>
      <c r="J464" s="33">
        <v>0</v>
      </c>
      <c r="K464" s="33">
        <v>0</v>
      </c>
      <c r="L464" s="33">
        <v>84</v>
      </c>
      <c r="M464" s="33" t="s">
        <v>522</v>
      </c>
    </row>
    <row r="465" spans="1:13">
      <c r="A465" s="33">
        <v>23025</v>
      </c>
      <c r="B465" s="33" t="s">
        <v>39</v>
      </c>
      <c r="C465" s="33" t="s">
        <v>647</v>
      </c>
      <c r="D465" s="33" t="s">
        <v>498</v>
      </c>
      <c r="E465" s="33" t="s">
        <v>589</v>
      </c>
      <c r="I465" s="33">
        <v>0</v>
      </c>
      <c r="J465" s="33">
        <v>0</v>
      </c>
      <c r="K465" s="33">
        <v>540</v>
      </c>
      <c r="L465" s="33">
        <v>540</v>
      </c>
      <c r="M465" s="33" t="s">
        <v>505</v>
      </c>
    </row>
    <row r="466" spans="1:13">
      <c r="A466" s="33">
        <v>23025</v>
      </c>
      <c r="B466" s="33" t="s">
        <v>39</v>
      </c>
      <c r="C466" s="33" t="s">
        <v>647</v>
      </c>
      <c r="D466" s="33" t="s">
        <v>506</v>
      </c>
      <c r="I466" s="33">
        <v>0</v>
      </c>
      <c r="J466" s="33">
        <v>0</v>
      </c>
      <c r="K466" s="33">
        <v>540</v>
      </c>
      <c r="L466" s="33">
        <v>540</v>
      </c>
      <c r="M466" s="33" t="s">
        <v>492</v>
      </c>
    </row>
    <row r="467" spans="1:13">
      <c r="A467" s="33">
        <v>23025</v>
      </c>
      <c r="B467" s="33" t="s">
        <v>39</v>
      </c>
      <c r="C467" s="33" t="s">
        <v>647</v>
      </c>
      <c r="D467" s="33" t="s">
        <v>507</v>
      </c>
      <c r="I467" s="33">
        <v>0</v>
      </c>
      <c r="J467" s="33">
        <v>0</v>
      </c>
      <c r="K467" s="33">
        <v>540</v>
      </c>
      <c r="L467" s="33">
        <v>540</v>
      </c>
      <c r="M467" s="33" t="s">
        <v>492</v>
      </c>
    </row>
    <row r="468" spans="1:13">
      <c r="A468" s="33">
        <v>23025</v>
      </c>
      <c r="B468" s="33" t="s">
        <v>39</v>
      </c>
      <c r="C468" s="33" t="s">
        <v>647</v>
      </c>
      <c r="D468" s="33" t="s">
        <v>534</v>
      </c>
      <c r="E468" s="33" t="s">
        <v>593</v>
      </c>
      <c r="F468" s="33" t="s">
        <v>584</v>
      </c>
      <c r="I468" s="33">
        <v>12</v>
      </c>
      <c r="J468" s="33">
        <v>0</v>
      </c>
      <c r="K468" s="33">
        <v>0</v>
      </c>
      <c r="L468" s="33">
        <v>12</v>
      </c>
      <c r="M468" s="33" t="s">
        <v>505</v>
      </c>
    </row>
    <row r="469" spans="1:13">
      <c r="A469" s="33">
        <v>23025</v>
      </c>
      <c r="B469" s="33" t="s">
        <v>39</v>
      </c>
      <c r="C469" s="33" t="s">
        <v>647</v>
      </c>
      <c r="D469" s="33" t="s">
        <v>538</v>
      </c>
      <c r="E469" s="33" t="s">
        <v>511</v>
      </c>
      <c r="F469" s="33" t="s">
        <v>696</v>
      </c>
      <c r="I469" s="33">
        <v>13</v>
      </c>
      <c r="J469" s="33">
        <v>0</v>
      </c>
      <c r="K469" s="33">
        <v>0</v>
      </c>
      <c r="L469" s="33">
        <v>13</v>
      </c>
      <c r="M469" s="33" t="s">
        <v>505</v>
      </c>
    </row>
    <row r="470" spans="1:13">
      <c r="A470" s="33">
        <v>23025</v>
      </c>
      <c r="B470" s="33" t="s">
        <v>39</v>
      </c>
      <c r="C470" s="33" t="s">
        <v>647</v>
      </c>
      <c r="D470" s="33" t="s">
        <v>512</v>
      </c>
      <c r="I470" s="33">
        <v>0</v>
      </c>
      <c r="J470" s="33">
        <v>0</v>
      </c>
      <c r="K470" s="33">
        <v>540</v>
      </c>
      <c r="L470" s="33">
        <v>540</v>
      </c>
      <c r="M470" s="33" t="s">
        <v>492</v>
      </c>
    </row>
    <row r="471" spans="1:13">
      <c r="A471" s="33">
        <v>23025</v>
      </c>
      <c r="B471" s="33" t="s">
        <v>39</v>
      </c>
      <c r="C471" s="33" t="s">
        <v>647</v>
      </c>
      <c r="D471" s="33" t="s">
        <v>515</v>
      </c>
      <c r="E471" s="33" t="s">
        <v>654</v>
      </c>
      <c r="F471" s="33" t="s">
        <v>584</v>
      </c>
      <c r="I471" s="33">
        <v>11</v>
      </c>
      <c r="J471" s="33">
        <v>0</v>
      </c>
      <c r="K471" s="33">
        <v>0</v>
      </c>
      <c r="L471" s="33">
        <v>11</v>
      </c>
      <c r="M471" s="33" t="s">
        <v>505</v>
      </c>
    </row>
    <row r="472" spans="1:13">
      <c r="A472" s="33">
        <v>23025</v>
      </c>
      <c r="B472" s="33" t="s">
        <v>39</v>
      </c>
      <c r="C472" s="33" t="s">
        <v>647</v>
      </c>
      <c r="D472" s="33" t="s">
        <v>518</v>
      </c>
      <c r="E472" s="33" t="s">
        <v>636</v>
      </c>
      <c r="I472" s="33">
        <v>0</v>
      </c>
      <c r="J472" s="33">
        <v>0</v>
      </c>
      <c r="K472" s="33">
        <v>540</v>
      </c>
      <c r="L472" s="33">
        <v>540</v>
      </c>
      <c r="M472" s="33" t="s">
        <v>505</v>
      </c>
    </row>
    <row r="473" spans="1:13">
      <c r="A473" s="33">
        <v>23021</v>
      </c>
      <c r="B473" s="33" t="s">
        <v>36</v>
      </c>
      <c r="C473" s="33" t="s">
        <v>647</v>
      </c>
      <c r="D473" s="33" t="s">
        <v>490</v>
      </c>
      <c r="E473" s="33" t="s">
        <v>592</v>
      </c>
      <c r="F473" s="33" t="s">
        <v>584</v>
      </c>
      <c r="I473" s="33">
        <v>16</v>
      </c>
      <c r="J473" s="33">
        <v>0</v>
      </c>
      <c r="K473" s="33">
        <v>0</v>
      </c>
      <c r="L473" s="33">
        <v>16</v>
      </c>
      <c r="M473" s="33" t="s">
        <v>505</v>
      </c>
    </row>
    <row r="474" spans="1:13">
      <c r="A474" s="33">
        <v>23021</v>
      </c>
      <c r="B474" s="33" t="s">
        <v>36</v>
      </c>
      <c r="C474" s="33" t="s">
        <v>647</v>
      </c>
      <c r="D474" s="33" t="s">
        <v>491</v>
      </c>
      <c r="E474" s="33" t="s">
        <v>567</v>
      </c>
      <c r="I474" s="33">
        <v>39</v>
      </c>
      <c r="J474" s="33">
        <v>0</v>
      </c>
      <c r="K474" s="33">
        <v>501</v>
      </c>
      <c r="L474" s="33">
        <v>540</v>
      </c>
      <c r="M474" s="33" t="s">
        <v>522</v>
      </c>
    </row>
    <row r="475" spans="1:13">
      <c r="A475" s="33">
        <v>23021</v>
      </c>
      <c r="B475" s="33" t="s">
        <v>36</v>
      </c>
      <c r="C475" s="33" t="s">
        <v>647</v>
      </c>
      <c r="D475" s="33" t="s">
        <v>498</v>
      </c>
      <c r="E475" s="33" t="s">
        <v>698</v>
      </c>
      <c r="I475" s="33">
        <v>265</v>
      </c>
      <c r="J475" s="33">
        <v>0</v>
      </c>
      <c r="K475" s="33">
        <v>275</v>
      </c>
      <c r="L475" s="33">
        <v>540</v>
      </c>
      <c r="M475" s="33" t="s">
        <v>522</v>
      </c>
    </row>
    <row r="476" spans="1:13">
      <c r="A476" s="33">
        <v>23021</v>
      </c>
      <c r="B476" s="33" t="s">
        <v>36</v>
      </c>
      <c r="C476" s="33" t="s">
        <v>647</v>
      </c>
      <c r="D476" s="33" t="s">
        <v>506</v>
      </c>
      <c r="I476" s="33">
        <v>0</v>
      </c>
      <c r="J476" s="33">
        <v>0</v>
      </c>
      <c r="K476" s="33">
        <v>540</v>
      </c>
      <c r="L476" s="33">
        <v>540</v>
      </c>
      <c r="M476" s="33" t="s">
        <v>492</v>
      </c>
    </row>
    <row r="477" spans="1:13">
      <c r="A477" s="33">
        <v>23021</v>
      </c>
      <c r="B477" s="33" t="s">
        <v>36</v>
      </c>
      <c r="C477" s="33" t="s">
        <v>647</v>
      </c>
      <c r="D477" s="33" t="s">
        <v>507</v>
      </c>
      <c r="E477" s="33" t="s">
        <v>511</v>
      </c>
      <c r="F477" s="33" t="s">
        <v>560</v>
      </c>
      <c r="I477" s="33">
        <v>13</v>
      </c>
      <c r="J477" s="33">
        <v>1</v>
      </c>
      <c r="K477" s="33">
        <v>0</v>
      </c>
      <c r="L477" s="33">
        <v>14</v>
      </c>
      <c r="M477" s="33" t="s">
        <v>505</v>
      </c>
    </row>
    <row r="478" spans="1:13">
      <c r="A478" s="33">
        <v>23021</v>
      </c>
      <c r="B478" s="33" t="s">
        <v>36</v>
      </c>
      <c r="C478" s="33" t="s">
        <v>647</v>
      </c>
      <c r="D478" s="33" t="s">
        <v>534</v>
      </c>
      <c r="E478" s="33" t="s">
        <v>654</v>
      </c>
      <c r="F478" s="33" t="s">
        <v>584</v>
      </c>
      <c r="I478" s="33">
        <v>11</v>
      </c>
      <c r="J478" s="33">
        <v>0</v>
      </c>
      <c r="K478" s="33">
        <v>0</v>
      </c>
      <c r="L478" s="33">
        <v>11</v>
      </c>
      <c r="M478" s="33" t="s">
        <v>505</v>
      </c>
    </row>
    <row r="479" spans="1:13">
      <c r="A479" s="33">
        <v>23021</v>
      </c>
      <c r="B479" s="33" t="s">
        <v>36</v>
      </c>
      <c r="C479" s="33" t="s">
        <v>647</v>
      </c>
      <c r="D479" s="33" t="s">
        <v>535</v>
      </c>
      <c r="E479" s="33" t="s">
        <v>674</v>
      </c>
      <c r="F479" s="33" t="s">
        <v>560</v>
      </c>
      <c r="I479" s="33">
        <v>0</v>
      </c>
      <c r="J479" s="33">
        <v>1</v>
      </c>
      <c r="K479" s="33">
        <v>0</v>
      </c>
      <c r="L479" s="33">
        <v>1</v>
      </c>
      <c r="M479" s="33" t="s">
        <v>505</v>
      </c>
    </row>
    <row r="480" spans="1:13">
      <c r="A480" s="33">
        <v>23021</v>
      </c>
      <c r="B480" s="33" t="s">
        <v>36</v>
      </c>
      <c r="C480" s="33" t="s">
        <v>647</v>
      </c>
      <c r="D480" s="33" t="s">
        <v>510</v>
      </c>
      <c r="E480" s="33" t="s">
        <v>589</v>
      </c>
      <c r="F480" s="33" t="s">
        <v>699</v>
      </c>
      <c r="I480" s="33">
        <v>0</v>
      </c>
      <c r="J480" s="33">
        <v>321</v>
      </c>
      <c r="K480" s="33">
        <v>0</v>
      </c>
      <c r="L480" s="33">
        <v>321</v>
      </c>
      <c r="M480" s="33" t="s">
        <v>505</v>
      </c>
    </row>
    <row r="481" spans="1:13">
      <c r="A481" s="33">
        <v>23021</v>
      </c>
      <c r="B481" s="33" t="s">
        <v>36</v>
      </c>
      <c r="C481" s="33" t="s">
        <v>647</v>
      </c>
      <c r="D481" s="33" t="s">
        <v>512</v>
      </c>
      <c r="I481" s="33">
        <v>0</v>
      </c>
      <c r="J481" s="33">
        <v>0</v>
      </c>
      <c r="K481" s="33">
        <v>540</v>
      </c>
      <c r="L481" s="33">
        <v>540</v>
      </c>
      <c r="M481" s="33" t="s">
        <v>492</v>
      </c>
    </row>
    <row r="482" spans="1:13">
      <c r="A482" s="33">
        <v>23021</v>
      </c>
      <c r="B482" s="33" t="s">
        <v>36</v>
      </c>
      <c r="C482" s="33" t="s">
        <v>647</v>
      </c>
      <c r="D482" s="33" t="s">
        <v>515</v>
      </c>
      <c r="E482" s="33" t="s">
        <v>654</v>
      </c>
      <c r="F482" s="33" t="s">
        <v>584</v>
      </c>
      <c r="I482" s="33">
        <v>11</v>
      </c>
      <c r="J482" s="33">
        <v>0</v>
      </c>
      <c r="K482" s="33">
        <v>0</v>
      </c>
      <c r="L482" s="33">
        <v>11</v>
      </c>
      <c r="M482" s="33" t="s">
        <v>505</v>
      </c>
    </row>
    <row r="483" spans="1:13">
      <c r="A483" s="33">
        <v>23021</v>
      </c>
      <c r="B483" s="33" t="s">
        <v>36</v>
      </c>
      <c r="C483" s="33" t="s">
        <v>647</v>
      </c>
      <c r="D483" s="33" t="s">
        <v>518</v>
      </c>
      <c r="E483" s="33" t="s">
        <v>634</v>
      </c>
      <c r="I483" s="33">
        <v>0</v>
      </c>
      <c r="J483" s="33">
        <v>0</v>
      </c>
      <c r="K483" s="33">
        <v>540</v>
      </c>
      <c r="L483" s="33">
        <v>540</v>
      </c>
      <c r="M483" s="33" t="s">
        <v>505</v>
      </c>
    </row>
    <row r="484" spans="1:13">
      <c r="A484" s="33">
        <v>23029</v>
      </c>
      <c r="B484" s="33" t="s">
        <v>40</v>
      </c>
      <c r="C484" s="33" t="s">
        <v>647</v>
      </c>
      <c r="D484" s="33" t="s">
        <v>490</v>
      </c>
      <c r="E484" s="33" t="s">
        <v>567</v>
      </c>
      <c r="F484" s="33" t="s">
        <v>663</v>
      </c>
      <c r="I484" s="33">
        <v>39</v>
      </c>
      <c r="J484" s="33">
        <v>0</v>
      </c>
      <c r="K484" s="33">
        <v>0</v>
      </c>
      <c r="L484" s="33">
        <v>39</v>
      </c>
      <c r="M484" s="33" t="s">
        <v>522</v>
      </c>
    </row>
    <row r="485" spans="1:13">
      <c r="A485" s="33">
        <v>23029</v>
      </c>
      <c r="B485" s="33" t="s">
        <v>40</v>
      </c>
      <c r="C485" s="33" t="s">
        <v>647</v>
      </c>
      <c r="D485" s="33" t="s">
        <v>491</v>
      </c>
      <c r="E485" s="33" t="s">
        <v>679</v>
      </c>
      <c r="I485" s="33">
        <v>19</v>
      </c>
      <c r="J485" s="33">
        <v>0</v>
      </c>
      <c r="K485" s="33">
        <v>521</v>
      </c>
      <c r="L485" s="33">
        <v>540</v>
      </c>
      <c r="M485" s="33" t="s">
        <v>505</v>
      </c>
    </row>
    <row r="486" spans="1:13">
      <c r="A486" s="33">
        <v>23029</v>
      </c>
      <c r="B486" s="33" t="s">
        <v>40</v>
      </c>
      <c r="C486" s="33" t="s">
        <v>647</v>
      </c>
      <c r="D486" s="33" t="s">
        <v>493</v>
      </c>
      <c r="E486" s="33" t="s">
        <v>675</v>
      </c>
      <c r="F486" s="33" t="s">
        <v>661</v>
      </c>
      <c r="I486" s="33">
        <v>24</v>
      </c>
      <c r="J486" s="33">
        <v>0</v>
      </c>
      <c r="K486" s="33">
        <v>0</v>
      </c>
      <c r="L486" s="33">
        <v>24</v>
      </c>
      <c r="M486" s="33" t="s">
        <v>505</v>
      </c>
    </row>
    <row r="487" spans="1:13">
      <c r="A487" s="33">
        <v>23029</v>
      </c>
      <c r="B487" s="33" t="s">
        <v>40</v>
      </c>
      <c r="C487" s="33" t="s">
        <v>647</v>
      </c>
      <c r="D487" s="33" t="s">
        <v>494</v>
      </c>
      <c r="E487" s="33" t="s">
        <v>514</v>
      </c>
      <c r="F487" s="33" t="s">
        <v>552</v>
      </c>
      <c r="I487" s="33">
        <v>14</v>
      </c>
      <c r="J487" s="33">
        <v>0</v>
      </c>
      <c r="K487" s="33">
        <v>0</v>
      </c>
      <c r="L487" s="33">
        <v>14</v>
      </c>
      <c r="M487" s="33" t="s">
        <v>505</v>
      </c>
    </row>
    <row r="488" spans="1:13">
      <c r="A488" s="33">
        <v>23029</v>
      </c>
      <c r="B488" s="33" t="s">
        <v>40</v>
      </c>
      <c r="C488" s="33" t="s">
        <v>647</v>
      </c>
      <c r="D488" s="33" t="s">
        <v>506</v>
      </c>
      <c r="I488" s="33">
        <v>0</v>
      </c>
      <c r="J488" s="33">
        <v>0</v>
      </c>
      <c r="K488" s="33">
        <v>540</v>
      </c>
      <c r="L488" s="33">
        <v>540</v>
      </c>
      <c r="M488" s="33" t="s">
        <v>492</v>
      </c>
    </row>
    <row r="489" spans="1:13">
      <c r="A489" s="33">
        <v>23029</v>
      </c>
      <c r="B489" s="33" t="s">
        <v>40</v>
      </c>
      <c r="C489" s="33" t="s">
        <v>647</v>
      </c>
      <c r="D489" s="33" t="s">
        <v>507</v>
      </c>
      <c r="E489" s="33" t="s">
        <v>511</v>
      </c>
      <c r="F489" s="33" t="s">
        <v>700</v>
      </c>
      <c r="I489" s="33">
        <v>13</v>
      </c>
      <c r="J489" s="33">
        <v>78</v>
      </c>
      <c r="K489" s="33">
        <v>0</v>
      </c>
      <c r="L489" s="33">
        <v>91</v>
      </c>
      <c r="M489" s="33" t="s">
        <v>505</v>
      </c>
    </row>
    <row r="490" spans="1:13">
      <c r="A490" s="33">
        <v>23029</v>
      </c>
      <c r="B490" s="33" t="s">
        <v>40</v>
      </c>
      <c r="C490" s="33" t="s">
        <v>647</v>
      </c>
      <c r="D490" s="33" t="s">
        <v>534</v>
      </c>
      <c r="E490" s="33" t="s">
        <v>593</v>
      </c>
      <c r="F490" s="33" t="s">
        <v>568</v>
      </c>
      <c r="I490" s="33">
        <v>12</v>
      </c>
      <c r="J490" s="33">
        <v>0</v>
      </c>
      <c r="K490" s="33">
        <v>0</v>
      </c>
      <c r="L490" s="33">
        <v>12</v>
      </c>
      <c r="M490" s="33" t="s">
        <v>505</v>
      </c>
    </row>
    <row r="491" spans="1:13">
      <c r="A491" s="33">
        <v>23029</v>
      </c>
      <c r="B491" s="33" t="s">
        <v>40</v>
      </c>
      <c r="C491" s="33" t="s">
        <v>647</v>
      </c>
      <c r="D491" s="33" t="s">
        <v>535</v>
      </c>
      <c r="E491" s="33" t="s">
        <v>679</v>
      </c>
      <c r="F491" s="33" t="s">
        <v>681</v>
      </c>
      <c r="I491" s="33">
        <v>19</v>
      </c>
      <c r="J491" s="33">
        <v>0</v>
      </c>
      <c r="K491" s="33">
        <v>0</v>
      </c>
      <c r="L491" s="33">
        <v>19</v>
      </c>
      <c r="M491" s="33" t="s">
        <v>505</v>
      </c>
    </row>
    <row r="492" spans="1:13">
      <c r="A492" s="33">
        <v>23029</v>
      </c>
      <c r="B492" s="33" t="s">
        <v>40</v>
      </c>
      <c r="C492" s="33" t="s">
        <v>647</v>
      </c>
      <c r="D492" s="33" t="s">
        <v>512</v>
      </c>
      <c r="I492" s="33">
        <v>0</v>
      </c>
      <c r="J492" s="33">
        <v>0</v>
      </c>
      <c r="K492" s="33">
        <v>540</v>
      </c>
      <c r="L492" s="33">
        <v>540</v>
      </c>
      <c r="M492" s="33" t="s">
        <v>492</v>
      </c>
    </row>
    <row r="493" spans="1:13">
      <c r="A493" s="33">
        <v>23029</v>
      </c>
      <c r="B493" s="33" t="s">
        <v>40</v>
      </c>
      <c r="C493" s="33" t="s">
        <v>647</v>
      </c>
      <c r="D493" s="33" t="s">
        <v>515</v>
      </c>
      <c r="E493" s="33" t="s">
        <v>593</v>
      </c>
      <c r="F493" s="33" t="s">
        <v>661</v>
      </c>
      <c r="I493" s="33">
        <v>12</v>
      </c>
      <c r="J493" s="33">
        <v>0</v>
      </c>
      <c r="K493" s="33">
        <v>0</v>
      </c>
      <c r="L493" s="33">
        <v>12</v>
      </c>
      <c r="M493" s="33" t="s">
        <v>505</v>
      </c>
    </row>
    <row r="494" spans="1:13">
      <c r="A494" s="33">
        <v>23029</v>
      </c>
      <c r="B494" s="33" t="s">
        <v>40</v>
      </c>
      <c r="C494" s="33" t="s">
        <v>647</v>
      </c>
      <c r="D494" s="33" t="s">
        <v>517</v>
      </c>
      <c r="E494" s="33" t="s">
        <v>701</v>
      </c>
      <c r="F494" s="33" t="s">
        <v>702</v>
      </c>
      <c r="I494" s="33">
        <v>113</v>
      </c>
      <c r="J494" s="33">
        <v>210</v>
      </c>
      <c r="K494" s="33">
        <v>0</v>
      </c>
      <c r="L494" s="33">
        <v>323</v>
      </c>
      <c r="M494" s="33" t="s">
        <v>522</v>
      </c>
    </row>
    <row r="495" spans="1:13">
      <c r="A495" s="33">
        <v>23029</v>
      </c>
      <c r="B495" s="33" t="s">
        <v>40</v>
      </c>
      <c r="C495" s="33" t="s">
        <v>647</v>
      </c>
      <c r="D495" s="33" t="s">
        <v>518</v>
      </c>
      <c r="E495" s="33" t="s">
        <v>687</v>
      </c>
      <c r="I495" s="33">
        <v>0</v>
      </c>
      <c r="J495" s="33">
        <v>0</v>
      </c>
      <c r="K495" s="33">
        <v>540</v>
      </c>
      <c r="L495" s="33">
        <v>540</v>
      </c>
      <c r="M495" s="33" t="s">
        <v>505</v>
      </c>
    </row>
    <row r="496" spans="1:13">
      <c r="A496" s="33">
        <v>23030</v>
      </c>
      <c r="B496" s="33" t="s">
        <v>41</v>
      </c>
      <c r="C496" s="33" t="s">
        <v>647</v>
      </c>
      <c r="D496" s="33" t="s">
        <v>490</v>
      </c>
      <c r="E496" s="33" t="s">
        <v>557</v>
      </c>
      <c r="F496" s="33" t="s">
        <v>663</v>
      </c>
      <c r="I496" s="33">
        <v>46</v>
      </c>
      <c r="J496" s="33">
        <v>0</v>
      </c>
      <c r="K496" s="33">
        <v>0</v>
      </c>
      <c r="L496" s="33">
        <v>46</v>
      </c>
      <c r="M496" s="33" t="s">
        <v>522</v>
      </c>
    </row>
    <row r="497" spans="1:13">
      <c r="A497" s="33">
        <v>23030</v>
      </c>
      <c r="B497" s="33" t="s">
        <v>41</v>
      </c>
      <c r="C497" s="33" t="s">
        <v>647</v>
      </c>
      <c r="D497" s="33" t="s">
        <v>491</v>
      </c>
      <c r="E497" s="33" t="s">
        <v>567</v>
      </c>
      <c r="F497" s="33" t="s">
        <v>565</v>
      </c>
      <c r="I497" s="33">
        <v>39</v>
      </c>
      <c r="J497" s="33">
        <v>0</v>
      </c>
      <c r="K497" s="33">
        <v>0</v>
      </c>
      <c r="L497" s="33">
        <v>39</v>
      </c>
      <c r="M497" s="33" t="s">
        <v>522</v>
      </c>
    </row>
    <row r="498" spans="1:13">
      <c r="A498" s="33">
        <v>23030</v>
      </c>
      <c r="B498" s="33" t="s">
        <v>41</v>
      </c>
      <c r="C498" s="33" t="s">
        <v>647</v>
      </c>
      <c r="D498" s="33" t="s">
        <v>493</v>
      </c>
      <c r="E498" s="33" t="s">
        <v>652</v>
      </c>
      <c r="F498" s="33" t="s">
        <v>660</v>
      </c>
      <c r="I498" s="33">
        <v>68</v>
      </c>
      <c r="J498" s="33">
        <v>0</v>
      </c>
      <c r="K498" s="33">
        <v>0</v>
      </c>
      <c r="L498" s="33">
        <v>68</v>
      </c>
      <c r="M498" s="33" t="s">
        <v>522</v>
      </c>
    </row>
    <row r="499" spans="1:13">
      <c r="A499" s="33">
        <v>23030</v>
      </c>
      <c r="B499" s="33" t="s">
        <v>41</v>
      </c>
      <c r="C499" s="33" t="s">
        <v>647</v>
      </c>
      <c r="D499" s="33" t="s">
        <v>494</v>
      </c>
      <c r="I499" s="33">
        <v>0</v>
      </c>
      <c r="J499" s="33">
        <v>0</v>
      </c>
      <c r="K499" s="33">
        <v>540</v>
      </c>
      <c r="L499" s="33">
        <v>540</v>
      </c>
      <c r="M499" s="33" t="s">
        <v>492</v>
      </c>
    </row>
    <row r="500" spans="1:13">
      <c r="A500" s="33">
        <v>23030</v>
      </c>
      <c r="B500" s="33" t="s">
        <v>41</v>
      </c>
      <c r="C500" s="33" t="s">
        <v>647</v>
      </c>
      <c r="D500" s="33" t="s">
        <v>495</v>
      </c>
      <c r="E500" s="33" t="s">
        <v>586</v>
      </c>
      <c r="F500" s="33" t="s">
        <v>552</v>
      </c>
      <c r="I500" s="33">
        <v>25</v>
      </c>
      <c r="J500" s="33">
        <v>0</v>
      </c>
      <c r="K500" s="33">
        <v>0</v>
      </c>
      <c r="L500" s="33">
        <v>25</v>
      </c>
      <c r="M500" s="33" t="s">
        <v>505</v>
      </c>
    </row>
    <row r="501" spans="1:13">
      <c r="A501" s="33">
        <v>23030</v>
      </c>
      <c r="B501" s="33" t="s">
        <v>41</v>
      </c>
      <c r="C501" s="33" t="s">
        <v>647</v>
      </c>
      <c r="D501" s="33" t="s">
        <v>497</v>
      </c>
      <c r="E501" s="33" t="s">
        <v>664</v>
      </c>
      <c r="F501" s="33" t="s">
        <v>552</v>
      </c>
      <c r="I501" s="33">
        <v>47</v>
      </c>
      <c r="J501" s="33">
        <v>0</v>
      </c>
      <c r="K501" s="33">
        <v>0</v>
      </c>
      <c r="L501" s="33">
        <v>47</v>
      </c>
      <c r="M501" s="33" t="s">
        <v>522</v>
      </c>
    </row>
    <row r="502" spans="1:13">
      <c r="A502" s="33">
        <v>23030</v>
      </c>
      <c r="B502" s="33" t="s">
        <v>41</v>
      </c>
      <c r="C502" s="33" t="s">
        <v>647</v>
      </c>
      <c r="D502" s="33" t="s">
        <v>498</v>
      </c>
      <c r="E502" s="33" t="s">
        <v>667</v>
      </c>
      <c r="F502" s="33" t="s">
        <v>676</v>
      </c>
      <c r="I502" s="33">
        <v>35</v>
      </c>
      <c r="J502" s="33">
        <v>0</v>
      </c>
      <c r="K502" s="33">
        <v>0</v>
      </c>
      <c r="L502" s="33">
        <v>35</v>
      </c>
      <c r="M502" s="33" t="s">
        <v>522</v>
      </c>
    </row>
    <row r="503" spans="1:13">
      <c r="A503" s="33">
        <v>23030</v>
      </c>
      <c r="B503" s="33" t="s">
        <v>41</v>
      </c>
      <c r="C503" s="33" t="s">
        <v>647</v>
      </c>
      <c r="D503" s="33" t="s">
        <v>499</v>
      </c>
      <c r="I503" s="33">
        <v>0</v>
      </c>
      <c r="J503" s="33">
        <v>0</v>
      </c>
      <c r="K503" s="33">
        <v>540</v>
      </c>
      <c r="L503" s="33">
        <v>540</v>
      </c>
      <c r="M503" s="33" t="s">
        <v>492</v>
      </c>
    </row>
    <row r="504" spans="1:13">
      <c r="A504" s="33">
        <v>23030</v>
      </c>
      <c r="B504" s="33" t="s">
        <v>41</v>
      </c>
      <c r="C504" s="33" t="s">
        <v>647</v>
      </c>
      <c r="D504" s="33" t="s">
        <v>500</v>
      </c>
      <c r="E504" s="33" t="s">
        <v>641</v>
      </c>
      <c r="F504" s="33" t="s">
        <v>703</v>
      </c>
      <c r="I504" s="33">
        <v>74</v>
      </c>
      <c r="J504" s="33">
        <v>0</v>
      </c>
      <c r="K504" s="33">
        <v>0</v>
      </c>
      <c r="L504" s="33">
        <v>74</v>
      </c>
      <c r="M504" s="33" t="s">
        <v>522</v>
      </c>
    </row>
    <row r="505" spans="1:13">
      <c r="A505" s="33">
        <v>23030</v>
      </c>
      <c r="B505" s="33" t="s">
        <v>41</v>
      </c>
      <c r="C505" s="33" t="s">
        <v>647</v>
      </c>
      <c r="D505" s="33" t="s">
        <v>501</v>
      </c>
      <c r="E505" s="33" t="s">
        <v>525</v>
      </c>
      <c r="F505" s="33" t="s">
        <v>704</v>
      </c>
      <c r="I505" s="33">
        <v>40</v>
      </c>
      <c r="J505" s="33">
        <v>0</v>
      </c>
      <c r="K505" s="33">
        <v>0</v>
      </c>
      <c r="L505" s="33">
        <v>40</v>
      </c>
      <c r="M505" s="33" t="s">
        <v>522</v>
      </c>
    </row>
    <row r="506" spans="1:13">
      <c r="A506" s="33">
        <v>23030</v>
      </c>
      <c r="B506" s="33" t="s">
        <v>41</v>
      </c>
      <c r="C506" s="33" t="s">
        <v>647</v>
      </c>
      <c r="D506" s="33" t="s">
        <v>506</v>
      </c>
      <c r="I506" s="33">
        <v>0</v>
      </c>
      <c r="J506" s="33">
        <v>0</v>
      </c>
      <c r="K506" s="33">
        <v>540</v>
      </c>
      <c r="L506" s="33">
        <v>540</v>
      </c>
      <c r="M506" s="33" t="s">
        <v>492</v>
      </c>
    </row>
    <row r="507" spans="1:13">
      <c r="A507" s="33">
        <v>23030</v>
      </c>
      <c r="B507" s="33" t="s">
        <v>41</v>
      </c>
      <c r="C507" s="33" t="s">
        <v>647</v>
      </c>
      <c r="D507" s="33" t="s">
        <v>507</v>
      </c>
      <c r="E507" s="33" t="s">
        <v>523</v>
      </c>
      <c r="I507" s="33">
        <v>29</v>
      </c>
      <c r="J507" s="33">
        <v>0</v>
      </c>
      <c r="K507" s="33">
        <v>511</v>
      </c>
      <c r="L507" s="33">
        <v>540</v>
      </c>
      <c r="M507" s="33" t="s">
        <v>505</v>
      </c>
    </row>
    <row r="508" spans="1:13">
      <c r="A508" s="33">
        <v>23030</v>
      </c>
      <c r="B508" s="33" t="s">
        <v>41</v>
      </c>
      <c r="C508" s="33" t="s">
        <v>647</v>
      </c>
      <c r="D508" s="33" t="s">
        <v>508</v>
      </c>
      <c r="I508" s="33">
        <v>0</v>
      </c>
      <c r="J508" s="33">
        <v>0</v>
      </c>
      <c r="K508" s="33">
        <v>540</v>
      </c>
      <c r="L508" s="33">
        <v>540</v>
      </c>
      <c r="M508" s="33" t="s">
        <v>492</v>
      </c>
    </row>
    <row r="509" spans="1:13">
      <c r="A509" s="33">
        <v>23030</v>
      </c>
      <c r="B509" s="33" t="s">
        <v>41</v>
      </c>
      <c r="C509" s="33" t="s">
        <v>647</v>
      </c>
      <c r="D509" s="33" t="s">
        <v>534</v>
      </c>
      <c r="I509" s="33">
        <v>0</v>
      </c>
      <c r="J509" s="33">
        <v>0</v>
      </c>
      <c r="K509" s="33">
        <v>540</v>
      </c>
      <c r="L509" s="33">
        <v>540</v>
      </c>
      <c r="M509" s="33" t="s">
        <v>492</v>
      </c>
    </row>
    <row r="510" spans="1:13">
      <c r="A510" s="33">
        <v>23030</v>
      </c>
      <c r="B510" s="33" t="s">
        <v>41</v>
      </c>
      <c r="C510" s="33" t="s">
        <v>647</v>
      </c>
      <c r="D510" s="33" t="s">
        <v>535</v>
      </c>
      <c r="I510" s="33">
        <v>0</v>
      </c>
      <c r="J510" s="33">
        <v>0</v>
      </c>
      <c r="K510" s="33">
        <v>540</v>
      </c>
      <c r="L510" s="33">
        <v>540</v>
      </c>
      <c r="M510" s="33" t="s">
        <v>492</v>
      </c>
    </row>
    <row r="511" spans="1:13">
      <c r="A511" s="33">
        <v>23030</v>
      </c>
      <c r="B511" s="33" t="s">
        <v>41</v>
      </c>
      <c r="C511" s="33" t="s">
        <v>647</v>
      </c>
      <c r="D511" s="33" t="s">
        <v>510</v>
      </c>
      <c r="E511" s="33" t="s">
        <v>558</v>
      </c>
      <c r="F511" s="33" t="s">
        <v>629</v>
      </c>
      <c r="I511" s="33">
        <v>57</v>
      </c>
      <c r="J511" s="33">
        <v>0</v>
      </c>
      <c r="K511" s="33">
        <v>0</v>
      </c>
      <c r="L511" s="33">
        <v>57</v>
      </c>
      <c r="M511" s="33" t="s">
        <v>522</v>
      </c>
    </row>
    <row r="512" spans="1:13">
      <c r="A512" s="33">
        <v>23030</v>
      </c>
      <c r="B512" s="33" t="s">
        <v>41</v>
      </c>
      <c r="C512" s="33" t="s">
        <v>647</v>
      </c>
      <c r="D512" s="33" t="s">
        <v>538</v>
      </c>
      <c r="I512" s="33">
        <v>0</v>
      </c>
      <c r="J512" s="33">
        <v>0</v>
      </c>
      <c r="K512" s="33">
        <v>540</v>
      </c>
      <c r="L512" s="33">
        <v>540</v>
      </c>
      <c r="M512" s="33" t="s">
        <v>492</v>
      </c>
    </row>
    <row r="513" spans="1:13">
      <c r="A513" s="33">
        <v>23030</v>
      </c>
      <c r="B513" s="33" t="s">
        <v>41</v>
      </c>
      <c r="C513" s="33" t="s">
        <v>647</v>
      </c>
      <c r="D513" s="33" t="s">
        <v>540</v>
      </c>
      <c r="I513" s="33">
        <v>0</v>
      </c>
      <c r="J513" s="33">
        <v>0</v>
      </c>
      <c r="K513" s="33">
        <v>540</v>
      </c>
      <c r="L513" s="33">
        <v>540</v>
      </c>
      <c r="M513" s="33" t="s">
        <v>492</v>
      </c>
    </row>
    <row r="514" spans="1:13">
      <c r="A514" s="33">
        <v>23030</v>
      </c>
      <c r="B514" s="33" t="s">
        <v>41</v>
      </c>
      <c r="C514" s="33" t="s">
        <v>647</v>
      </c>
      <c r="D514" s="33" t="s">
        <v>543</v>
      </c>
      <c r="I514" s="33">
        <v>0</v>
      </c>
      <c r="J514" s="33">
        <v>0</v>
      </c>
      <c r="K514" s="33">
        <v>540</v>
      </c>
      <c r="L514" s="33">
        <v>540</v>
      </c>
      <c r="M514" s="33" t="s">
        <v>492</v>
      </c>
    </row>
    <row r="515" spans="1:13">
      <c r="A515" s="33">
        <v>23030</v>
      </c>
      <c r="B515" s="33" t="s">
        <v>41</v>
      </c>
      <c r="C515" s="33" t="s">
        <v>647</v>
      </c>
      <c r="D515" s="33" t="s">
        <v>512</v>
      </c>
      <c r="I515" s="33">
        <v>0</v>
      </c>
      <c r="J515" s="33">
        <v>0</v>
      </c>
      <c r="K515" s="33">
        <v>540</v>
      </c>
      <c r="L515" s="33">
        <v>540</v>
      </c>
      <c r="M515" s="33" t="s">
        <v>492</v>
      </c>
    </row>
    <row r="516" spans="1:13">
      <c r="A516" s="33">
        <v>23030</v>
      </c>
      <c r="B516" s="33" t="s">
        <v>41</v>
      </c>
      <c r="C516" s="33" t="s">
        <v>647</v>
      </c>
      <c r="D516" s="33" t="s">
        <v>515</v>
      </c>
      <c r="I516" s="33">
        <v>0</v>
      </c>
      <c r="J516" s="33">
        <v>0</v>
      </c>
      <c r="K516" s="33">
        <v>540</v>
      </c>
      <c r="L516" s="33">
        <v>540</v>
      </c>
      <c r="M516" s="33" t="s">
        <v>492</v>
      </c>
    </row>
    <row r="517" spans="1:13">
      <c r="A517" s="33">
        <v>23030</v>
      </c>
      <c r="B517" s="33" t="s">
        <v>41</v>
      </c>
      <c r="C517" s="33" t="s">
        <v>647</v>
      </c>
      <c r="D517" s="33" t="s">
        <v>517</v>
      </c>
      <c r="I517" s="33">
        <v>0</v>
      </c>
      <c r="J517" s="33">
        <v>0</v>
      </c>
      <c r="K517" s="33">
        <v>540</v>
      </c>
      <c r="L517" s="33">
        <v>540</v>
      </c>
      <c r="M517" s="33" t="s">
        <v>492</v>
      </c>
    </row>
    <row r="518" spans="1:13">
      <c r="A518" s="33">
        <v>23030</v>
      </c>
      <c r="B518" s="33" t="s">
        <v>41</v>
      </c>
      <c r="C518" s="33" t="s">
        <v>647</v>
      </c>
      <c r="D518" s="33" t="s">
        <v>518</v>
      </c>
      <c r="I518" s="33">
        <v>0</v>
      </c>
      <c r="J518" s="33">
        <v>0</v>
      </c>
      <c r="K518" s="33">
        <v>540</v>
      </c>
      <c r="L518" s="33">
        <v>540</v>
      </c>
      <c r="M518" s="33" t="s">
        <v>492</v>
      </c>
    </row>
    <row r="519" spans="1:13">
      <c r="A519" s="33">
        <v>23041</v>
      </c>
      <c r="B519" s="33" t="s">
        <v>51</v>
      </c>
      <c r="C519" s="33" t="s">
        <v>647</v>
      </c>
      <c r="D519" s="33" t="s">
        <v>490</v>
      </c>
      <c r="E519" s="33" t="s">
        <v>606</v>
      </c>
      <c r="F519" s="33" t="s">
        <v>653</v>
      </c>
      <c r="I519" s="33">
        <v>48</v>
      </c>
      <c r="J519" s="33">
        <v>0</v>
      </c>
      <c r="K519" s="33">
        <v>0</v>
      </c>
      <c r="L519" s="33">
        <v>48</v>
      </c>
      <c r="M519" s="33" t="s">
        <v>522</v>
      </c>
    </row>
    <row r="520" spans="1:13">
      <c r="A520" s="33">
        <v>23041</v>
      </c>
      <c r="B520" s="33" t="s">
        <v>51</v>
      </c>
      <c r="C520" s="33" t="s">
        <v>647</v>
      </c>
      <c r="D520" s="33" t="s">
        <v>491</v>
      </c>
      <c r="E520" s="33" t="s">
        <v>662</v>
      </c>
      <c r="F520" s="33" t="s">
        <v>648</v>
      </c>
      <c r="I520" s="33">
        <v>21</v>
      </c>
      <c r="J520" s="33">
        <v>0</v>
      </c>
      <c r="K520" s="33">
        <v>0</v>
      </c>
      <c r="L520" s="33">
        <v>21</v>
      </c>
      <c r="M520" s="33" t="s">
        <v>505</v>
      </c>
    </row>
    <row r="521" spans="1:13">
      <c r="A521" s="33">
        <v>23041</v>
      </c>
      <c r="B521" s="33" t="s">
        <v>51</v>
      </c>
      <c r="C521" s="33" t="s">
        <v>647</v>
      </c>
      <c r="D521" s="33" t="s">
        <v>493</v>
      </c>
      <c r="E521" s="33" t="s">
        <v>563</v>
      </c>
      <c r="F521" s="33" t="s">
        <v>659</v>
      </c>
      <c r="I521" s="33">
        <v>92</v>
      </c>
      <c r="J521" s="33">
        <v>0</v>
      </c>
      <c r="K521" s="33">
        <v>0</v>
      </c>
      <c r="L521" s="33">
        <v>92</v>
      </c>
      <c r="M521" s="33" t="s">
        <v>522</v>
      </c>
    </row>
    <row r="522" spans="1:13">
      <c r="A522" s="33">
        <v>23041</v>
      </c>
      <c r="B522" s="33" t="s">
        <v>51</v>
      </c>
      <c r="C522" s="33" t="s">
        <v>647</v>
      </c>
      <c r="D522" s="33" t="s">
        <v>494</v>
      </c>
      <c r="E522" s="33" t="s">
        <v>593</v>
      </c>
      <c r="F522" s="33" t="s">
        <v>530</v>
      </c>
      <c r="I522" s="33">
        <v>12</v>
      </c>
      <c r="J522" s="33">
        <v>0</v>
      </c>
      <c r="K522" s="33">
        <v>0</v>
      </c>
      <c r="L522" s="33">
        <v>12</v>
      </c>
      <c r="M522" s="33" t="s">
        <v>505</v>
      </c>
    </row>
    <row r="523" spans="1:13">
      <c r="A523" s="33">
        <v>23041</v>
      </c>
      <c r="B523" s="33" t="s">
        <v>51</v>
      </c>
      <c r="C523" s="33" t="s">
        <v>647</v>
      </c>
      <c r="D523" s="33" t="s">
        <v>495</v>
      </c>
      <c r="E523" s="33" t="s">
        <v>630</v>
      </c>
      <c r="I523" s="33">
        <v>18</v>
      </c>
      <c r="J523" s="33">
        <v>0</v>
      </c>
      <c r="K523" s="33">
        <v>522</v>
      </c>
      <c r="L523" s="33">
        <v>540</v>
      </c>
      <c r="M523" s="33" t="s">
        <v>505</v>
      </c>
    </row>
    <row r="524" spans="1:13">
      <c r="A524" s="33">
        <v>23041</v>
      </c>
      <c r="B524" s="33" t="s">
        <v>51</v>
      </c>
      <c r="C524" s="33" t="s">
        <v>647</v>
      </c>
      <c r="D524" s="33" t="s">
        <v>497</v>
      </c>
      <c r="E524" s="33" t="s">
        <v>630</v>
      </c>
      <c r="F524" s="33" t="s">
        <v>703</v>
      </c>
      <c r="I524" s="33">
        <v>18</v>
      </c>
      <c r="J524" s="33">
        <v>0</v>
      </c>
      <c r="K524" s="33">
        <v>0</v>
      </c>
      <c r="L524" s="33">
        <v>18</v>
      </c>
      <c r="M524" s="33" t="s">
        <v>505</v>
      </c>
    </row>
    <row r="525" spans="1:13">
      <c r="A525" s="33">
        <v>23041</v>
      </c>
      <c r="B525" s="33" t="s">
        <v>51</v>
      </c>
      <c r="C525" s="33" t="s">
        <v>647</v>
      </c>
      <c r="D525" s="33" t="s">
        <v>499</v>
      </c>
      <c r="E525" s="33" t="s">
        <v>586</v>
      </c>
      <c r="F525" s="33" t="s">
        <v>576</v>
      </c>
      <c r="I525" s="33">
        <v>25</v>
      </c>
      <c r="J525" s="33">
        <v>0</v>
      </c>
      <c r="K525" s="33">
        <v>0</v>
      </c>
      <c r="L525" s="33">
        <v>25</v>
      </c>
      <c r="M525" s="33" t="s">
        <v>505</v>
      </c>
    </row>
    <row r="526" spans="1:13">
      <c r="A526" s="33">
        <v>23041</v>
      </c>
      <c r="B526" s="33" t="s">
        <v>51</v>
      </c>
      <c r="C526" s="33" t="s">
        <v>647</v>
      </c>
      <c r="D526" s="33" t="s">
        <v>500</v>
      </c>
      <c r="E526" s="33" t="s">
        <v>593</v>
      </c>
      <c r="F526" s="33" t="s">
        <v>693</v>
      </c>
      <c r="I526" s="33">
        <v>12</v>
      </c>
      <c r="J526" s="33">
        <v>0</v>
      </c>
      <c r="K526" s="33">
        <v>0</v>
      </c>
      <c r="L526" s="33">
        <v>12</v>
      </c>
      <c r="M526" s="33" t="s">
        <v>505</v>
      </c>
    </row>
    <row r="527" spans="1:13">
      <c r="A527" s="33">
        <v>23041</v>
      </c>
      <c r="B527" s="33" t="s">
        <v>51</v>
      </c>
      <c r="C527" s="33" t="s">
        <v>647</v>
      </c>
      <c r="D527" s="33" t="s">
        <v>501</v>
      </c>
      <c r="E527" s="33" t="s">
        <v>679</v>
      </c>
      <c r="F527" s="33" t="s">
        <v>681</v>
      </c>
      <c r="I527" s="33">
        <v>19</v>
      </c>
      <c r="J527" s="33">
        <v>0</v>
      </c>
      <c r="K527" s="33">
        <v>0</v>
      </c>
      <c r="L527" s="33">
        <v>19</v>
      </c>
      <c r="M527" s="33" t="s">
        <v>505</v>
      </c>
    </row>
    <row r="528" spans="1:13">
      <c r="A528" s="33">
        <v>23041</v>
      </c>
      <c r="B528" s="33" t="s">
        <v>51</v>
      </c>
      <c r="C528" s="33" t="s">
        <v>647</v>
      </c>
      <c r="D528" s="33" t="s">
        <v>506</v>
      </c>
      <c r="I528" s="33">
        <v>0</v>
      </c>
      <c r="J528" s="33">
        <v>0</v>
      </c>
      <c r="K528" s="33">
        <v>540</v>
      </c>
      <c r="L528" s="33">
        <v>540</v>
      </c>
      <c r="M528" s="33" t="s">
        <v>492</v>
      </c>
    </row>
    <row r="529" spans="1:13">
      <c r="A529" s="33">
        <v>23041</v>
      </c>
      <c r="B529" s="33" t="s">
        <v>51</v>
      </c>
      <c r="C529" s="33" t="s">
        <v>647</v>
      </c>
      <c r="D529" s="33" t="s">
        <v>507</v>
      </c>
      <c r="I529" s="33">
        <v>0</v>
      </c>
      <c r="J529" s="33">
        <v>0</v>
      </c>
      <c r="K529" s="33">
        <v>540</v>
      </c>
      <c r="L529" s="33">
        <v>540</v>
      </c>
      <c r="M529" s="33" t="s">
        <v>492</v>
      </c>
    </row>
    <row r="530" spans="1:13">
      <c r="A530" s="33">
        <v>23041</v>
      </c>
      <c r="B530" s="33" t="s">
        <v>51</v>
      </c>
      <c r="C530" s="33" t="s">
        <v>647</v>
      </c>
      <c r="D530" s="33" t="s">
        <v>508</v>
      </c>
      <c r="E530" s="33" t="s">
        <v>514</v>
      </c>
      <c r="F530" s="33" t="s">
        <v>670</v>
      </c>
      <c r="I530" s="33">
        <v>14</v>
      </c>
      <c r="J530" s="33">
        <v>0</v>
      </c>
      <c r="K530" s="33">
        <v>0</v>
      </c>
      <c r="L530" s="33">
        <v>14</v>
      </c>
      <c r="M530" s="33" t="s">
        <v>505</v>
      </c>
    </row>
    <row r="531" spans="1:13">
      <c r="A531" s="33">
        <v>23041</v>
      </c>
      <c r="B531" s="33" t="s">
        <v>51</v>
      </c>
      <c r="C531" s="33" t="s">
        <v>647</v>
      </c>
      <c r="D531" s="33" t="s">
        <v>534</v>
      </c>
      <c r="E531" s="33" t="s">
        <v>675</v>
      </c>
      <c r="F531" s="33" t="s">
        <v>568</v>
      </c>
      <c r="I531" s="33">
        <v>24</v>
      </c>
      <c r="J531" s="33">
        <v>0</v>
      </c>
      <c r="K531" s="33">
        <v>0</v>
      </c>
      <c r="L531" s="33">
        <v>24</v>
      </c>
      <c r="M531" s="33" t="s">
        <v>505</v>
      </c>
    </row>
    <row r="532" spans="1:13">
      <c r="A532" s="33">
        <v>23041</v>
      </c>
      <c r="B532" s="33" t="s">
        <v>51</v>
      </c>
      <c r="C532" s="33" t="s">
        <v>647</v>
      </c>
      <c r="D532" s="33" t="s">
        <v>535</v>
      </c>
      <c r="E532" s="33" t="s">
        <v>679</v>
      </c>
      <c r="F532" s="33" t="s">
        <v>530</v>
      </c>
      <c r="I532" s="33">
        <v>19</v>
      </c>
      <c r="J532" s="33">
        <v>0</v>
      </c>
      <c r="K532" s="33">
        <v>0</v>
      </c>
      <c r="L532" s="33">
        <v>19</v>
      </c>
      <c r="M532" s="33" t="s">
        <v>505</v>
      </c>
    </row>
    <row r="533" spans="1:13">
      <c r="A533" s="33">
        <v>23041</v>
      </c>
      <c r="B533" s="33" t="s">
        <v>51</v>
      </c>
      <c r="C533" s="33" t="s">
        <v>647</v>
      </c>
      <c r="D533" s="33" t="s">
        <v>510</v>
      </c>
      <c r="E533" s="33" t="s">
        <v>680</v>
      </c>
      <c r="I533" s="33">
        <v>20</v>
      </c>
      <c r="J533" s="33">
        <v>0</v>
      </c>
      <c r="K533" s="33">
        <v>520</v>
      </c>
      <c r="L533" s="33">
        <v>540</v>
      </c>
      <c r="M533" s="33" t="s">
        <v>505</v>
      </c>
    </row>
    <row r="534" spans="1:13">
      <c r="A534" s="33">
        <v>23041</v>
      </c>
      <c r="B534" s="33" t="s">
        <v>51</v>
      </c>
      <c r="C534" s="33" t="s">
        <v>647</v>
      </c>
      <c r="D534" s="33" t="s">
        <v>538</v>
      </c>
      <c r="E534" s="33" t="s">
        <v>705</v>
      </c>
      <c r="F534" s="33" t="s">
        <v>565</v>
      </c>
      <c r="I534" s="33">
        <v>23</v>
      </c>
      <c r="J534" s="33">
        <v>0</v>
      </c>
      <c r="K534" s="33">
        <v>0</v>
      </c>
      <c r="L534" s="33">
        <v>23</v>
      </c>
      <c r="M534" s="33" t="s">
        <v>505</v>
      </c>
    </row>
    <row r="535" spans="1:13">
      <c r="A535" s="33">
        <v>23041</v>
      </c>
      <c r="B535" s="33" t="s">
        <v>51</v>
      </c>
      <c r="C535" s="33" t="s">
        <v>647</v>
      </c>
      <c r="D535" s="33" t="s">
        <v>540</v>
      </c>
      <c r="F535" s="33" t="s">
        <v>706</v>
      </c>
      <c r="I535" s="33">
        <v>0</v>
      </c>
      <c r="J535" s="33">
        <v>0</v>
      </c>
      <c r="K535" s="33">
        <v>540</v>
      </c>
      <c r="L535" s="33">
        <v>540</v>
      </c>
      <c r="M535" s="33" t="s">
        <v>492</v>
      </c>
    </row>
    <row r="536" spans="1:13">
      <c r="A536" s="33">
        <v>23041</v>
      </c>
      <c r="B536" s="33" t="s">
        <v>51</v>
      </c>
      <c r="C536" s="33" t="s">
        <v>647</v>
      </c>
      <c r="D536" s="33" t="s">
        <v>543</v>
      </c>
      <c r="E536" s="33" t="s">
        <v>511</v>
      </c>
      <c r="F536" s="33" t="s">
        <v>663</v>
      </c>
      <c r="I536" s="33">
        <v>13</v>
      </c>
      <c r="J536" s="33">
        <v>0</v>
      </c>
      <c r="K536" s="33">
        <v>0</v>
      </c>
      <c r="L536" s="33">
        <v>13</v>
      </c>
      <c r="M536" s="33" t="s">
        <v>505</v>
      </c>
    </row>
    <row r="537" spans="1:13">
      <c r="A537" s="33">
        <v>23041</v>
      </c>
      <c r="B537" s="33" t="s">
        <v>51</v>
      </c>
      <c r="C537" s="33" t="s">
        <v>647</v>
      </c>
      <c r="D537" s="33" t="s">
        <v>512</v>
      </c>
      <c r="I537" s="33">
        <v>0</v>
      </c>
      <c r="J537" s="33">
        <v>0</v>
      </c>
      <c r="K537" s="33">
        <v>540</v>
      </c>
      <c r="L537" s="33">
        <v>540</v>
      </c>
      <c r="M537" s="33" t="s">
        <v>492</v>
      </c>
    </row>
    <row r="538" spans="1:13">
      <c r="A538" s="33">
        <v>23041</v>
      </c>
      <c r="B538" s="33" t="s">
        <v>51</v>
      </c>
      <c r="C538" s="33" t="s">
        <v>647</v>
      </c>
      <c r="D538" s="33" t="s">
        <v>515</v>
      </c>
      <c r="E538" s="33" t="s">
        <v>689</v>
      </c>
      <c r="F538" s="33" t="s">
        <v>672</v>
      </c>
      <c r="I538" s="33">
        <v>28</v>
      </c>
      <c r="J538" s="33">
        <v>0</v>
      </c>
      <c r="K538" s="33">
        <v>0</v>
      </c>
      <c r="L538" s="33">
        <v>28</v>
      </c>
      <c r="M538" s="33" t="s">
        <v>505</v>
      </c>
    </row>
    <row r="539" spans="1:13">
      <c r="A539" s="33">
        <v>23041</v>
      </c>
      <c r="B539" s="33" t="s">
        <v>51</v>
      </c>
      <c r="C539" s="33" t="s">
        <v>647</v>
      </c>
      <c r="D539" s="33" t="s">
        <v>517</v>
      </c>
      <c r="E539" s="33" t="s">
        <v>630</v>
      </c>
      <c r="F539" s="33" t="s">
        <v>648</v>
      </c>
      <c r="I539" s="33">
        <v>18</v>
      </c>
      <c r="J539" s="33">
        <v>0</v>
      </c>
      <c r="K539" s="33">
        <v>0</v>
      </c>
      <c r="L539" s="33">
        <v>18</v>
      </c>
      <c r="M539" s="33" t="s">
        <v>505</v>
      </c>
    </row>
    <row r="540" spans="1:13">
      <c r="A540" s="33">
        <v>23041</v>
      </c>
      <c r="B540" s="33" t="s">
        <v>51</v>
      </c>
      <c r="C540" s="33" t="s">
        <v>647</v>
      </c>
      <c r="D540" s="33" t="s">
        <v>518</v>
      </c>
      <c r="E540" s="33" t="s">
        <v>635</v>
      </c>
      <c r="I540" s="33">
        <v>26</v>
      </c>
      <c r="J540" s="33">
        <v>0</v>
      </c>
      <c r="K540" s="33">
        <v>514</v>
      </c>
      <c r="L540" s="33">
        <v>540</v>
      </c>
      <c r="M540" s="33" t="s">
        <v>505</v>
      </c>
    </row>
    <row r="541" spans="1:13">
      <c r="A541" s="33">
        <v>23039</v>
      </c>
      <c r="B541" s="33" t="s">
        <v>49</v>
      </c>
      <c r="C541" s="33" t="s">
        <v>647</v>
      </c>
      <c r="D541" s="33" t="s">
        <v>490</v>
      </c>
      <c r="E541" s="33" t="s">
        <v>707</v>
      </c>
      <c r="F541" s="33" t="s">
        <v>672</v>
      </c>
      <c r="I541" s="33">
        <v>49</v>
      </c>
      <c r="J541" s="33">
        <v>0</v>
      </c>
      <c r="K541" s="33">
        <v>0</v>
      </c>
      <c r="L541" s="33">
        <v>49</v>
      </c>
      <c r="M541" s="33" t="s">
        <v>522</v>
      </c>
    </row>
    <row r="542" spans="1:13">
      <c r="A542" s="33">
        <v>23039</v>
      </c>
      <c r="B542" s="33" t="s">
        <v>49</v>
      </c>
      <c r="C542" s="33" t="s">
        <v>647</v>
      </c>
      <c r="D542" s="33" t="s">
        <v>491</v>
      </c>
      <c r="E542" s="33" t="s">
        <v>547</v>
      </c>
      <c r="F542" s="33" t="s">
        <v>648</v>
      </c>
      <c r="I542" s="33">
        <v>41</v>
      </c>
      <c r="J542" s="33">
        <v>0</v>
      </c>
      <c r="K542" s="33">
        <v>0</v>
      </c>
      <c r="L542" s="33">
        <v>41</v>
      </c>
      <c r="M542" s="33" t="s">
        <v>522</v>
      </c>
    </row>
    <row r="543" spans="1:13">
      <c r="A543" s="33">
        <v>23039</v>
      </c>
      <c r="B543" s="33" t="s">
        <v>49</v>
      </c>
      <c r="C543" s="33" t="s">
        <v>647</v>
      </c>
      <c r="D543" s="33" t="s">
        <v>493</v>
      </c>
      <c r="E543" s="33" t="s">
        <v>669</v>
      </c>
      <c r="F543" s="33" t="s">
        <v>696</v>
      </c>
      <c r="I543" s="33">
        <v>36</v>
      </c>
      <c r="J543" s="33">
        <v>0</v>
      </c>
      <c r="K543" s="33">
        <v>0</v>
      </c>
      <c r="L543" s="33">
        <v>36</v>
      </c>
      <c r="M543" s="33" t="s">
        <v>522</v>
      </c>
    </row>
    <row r="544" spans="1:13">
      <c r="A544" s="33">
        <v>23039</v>
      </c>
      <c r="B544" s="33" t="s">
        <v>49</v>
      </c>
      <c r="C544" s="33" t="s">
        <v>647</v>
      </c>
      <c r="D544" s="33" t="s">
        <v>494</v>
      </c>
      <c r="E544" s="33" t="s">
        <v>626</v>
      </c>
      <c r="F544" s="33" t="s">
        <v>670</v>
      </c>
      <c r="I544" s="33">
        <v>38</v>
      </c>
      <c r="J544" s="33">
        <v>0</v>
      </c>
      <c r="K544" s="33">
        <v>0</v>
      </c>
      <c r="L544" s="33">
        <v>38</v>
      </c>
      <c r="M544" s="33" t="s">
        <v>522</v>
      </c>
    </row>
    <row r="545" spans="1:13">
      <c r="A545" s="33">
        <v>23039</v>
      </c>
      <c r="B545" s="33" t="s">
        <v>49</v>
      </c>
      <c r="C545" s="33" t="s">
        <v>647</v>
      </c>
      <c r="D545" s="33" t="s">
        <v>495</v>
      </c>
      <c r="I545" s="33">
        <v>0</v>
      </c>
      <c r="J545" s="33">
        <v>0</v>
      </c>
      <c r="K545" s="33">
        <v>540</v>
      </c>
      <c r="L545" s="33">
        <v>540</v>
      </c>
      <c r="M545" s="33" t="s">
        <v>492</v>
      </c>
    </row>
    <row r="546" spans="1:13">
      <c r="A546" s="33">
        <v>23039</v>
      </c>
      <c r="B546" s="33" t="s">
        <v>49</v>
      </c>
      <c r="C546" s="33" t="s">
        <v>647</v>
      </c>
      <c r="D546" s="33" t="s">
        <v>497</v>
      </c>
      <c r="I546" s="33">
        <v>0</v>
      </c>
      <c r="J546" s="33">
        <v>0</v>
      </c>
      <c r="K546" s="33">
        <v>540</v>
      </c>
      <c r="L546" s="33">
        <v>540</v>
      </c>
      <c r="M546" s="33" t="s">
        <v>492</v>
      </c>
    </row>
    <row r="547" spans="1:13">
      <c r="A547" s="33">
        <v>23039</v>
      </c>
      <c r="B547" s="33" t="s">
        <v>49</v>
      </c>
      <c r="C547" s="33" t="s">
        <v>647</v>
      </c>
      <c r="D547" s="33" t="s">
        <v>498</v>
      </c>
      <c r="E547" s="33" t="s">
        <v>606</v>
      </c>
      <c r="F547" s="33" t="s">
        <v>708</v>
      </c>
      <c r="I547" s="33">
        <v>48</v>
      </c>
      <c r="J547" s="33">
        <v>0</v>
      </c>
      <c r="K547" s="33">
        <v>0</v>
      </c>
      <c r="L547" s="33">
        <v>48</v>
      </c>
      <c r="M547" s="33" t="s">
        <v>522</v>
      </c>
    </row>
    <row r="548" spans="1:13">
      <c r="A548" s="33">
        <v>23039</v>
      </c>
      <c r="B548" s="33" t="s">
        <v>49</v>
      </c>
      <c r="C548" s="33" t="s">
        <v>647</v>
      </c>
      <c r="D548" s="33" t="s">
        <v>499</v>
      </c>
      <c r="E548" s="33" t="s">
        <v>557</v>
      </c>
      <c r="F548" s="33" t="s">
        <v>576</v>
      </c>
      <c r="I548" s="33">
        <v>46</v>
      </c>
      <c r="J548" s="33">
        <v>0</v>
      </c>
      <c r="K548" s="33">
        <v>0</v>
      </c>
      <c r="L548" s="33">
        <v>46</v>
      </c>
      <c r="M548" s="33" t="s">
        <v>522</v>
      </c>
    </row>
    <row r="549" spans="1:13">
      <c r="A549" s="33">
        <v>23039</v>
      </c>
      <c r="B549" s="33" t="s">
        <v>49</v>
      </c>
      <c r="C549" s="33" t="s">
        <v>647</v>
      </c>
      <c r="D549" s="33" t="s">
        <v>500</v>
      </c>
      <c r="I549" s="33">
        <v>0</v>
      </c>
      <c r="J549" s="33">
        <v>0</v>
      </c>
      <c r="K549" s="33">
        <v>540</v>
      </c>
      <c r="L549" s="33">
        <v>540</v>
      </c>
      <c r="M549" s="33" t="s">
        <v>492</v>
      </c>
    </row>
    <row r="550" spans="1:13">
      <c r="A550" s="33">
        <v>23039</v>
      </c>
      <c r="B550" s="33" t="s">
        <v>49</v>
      </c>
      <c r="C550" s="33" t="s">
        <v>647</v>
      </c>
      <c r="D550" s="33" t="s">
        <v>501</v>
      </c>
      <c r="E550" s="33" t="s">
        <v>525</v>
      </c>
      <c r="F550" s="33" t="s">
        <v>659</v>
      </c>
      <c r="I550" s="33">
        <v>40</v>
      </c>
      <c r="J550" s="33">
        <v>0</v>
      </c>
      <c r="K550" s="33">
        <v>0</v>
      </c>
      <c r="L550" s="33">
        <v>40</v>
      </c>
      <c r="M550" s="33" t="s">
        <v>522</v>
      </c>
    </row>
    <row r="551" spans="1:13">
      <c r="A551" s="33">
        <v>23039</v>
      </c>
      <c r="B551" s="33" t="s">
        <v>49</v>
      </c>
      <c r="C551" s="33" t="s">
        <v>647</v>
      </c>
      <c r="D551" s="33" t="s">
        <v>506</v>
      </c>
      <c r="I551" s="33">
        <v>0</v>
      </c>
      <c r="J551" s="33">
        <v>0</v>
      </c>
      <c r="K551" s="33">
        <v>540</v>
      </c>
      <c r="L551" s="33">
        <v>540</v>
      </c>
      <c r="M551" s="33" t="s">
        <v>492</v>
      </c>
    </row>
    <row r="552" spans="1:13">
      <c r="A552" s="33">
        <v>23039</v>
      </c>
      <c r="B552" s="33" t="s">
        <v>49</v>
      </c>
      <c r="C552" s="33" t="s">
        <v>647</v>
      </c>
      <c r="D552" s="33" t="s">
        <v>507</v>
      </c>
      <c r="E552" s="33" t="s">
        <v>709</v>
      </c>
      <c r="F552" s="33" t="s">
        <v>584</v>
      </c>
      <c r="I552" s="33">
        <v>42</v>
      </c>
      <c r="J552" s="33">
        <v>0</v>
      </c>
      <c r="K552" s="33">
        <v>0</v>
      </c>
      <c r="L552" s="33">
        <v>42</v>
      </c>
      <c r="M552" s="33" t="s">
        <v>522</v>
      </c>
    </row>
    <row r="553" spans="1:13">
      <c r="A553" s="33">
        <v>23039</v>
      </c>
      <c r="B553" s="33" t="s">
        <v>49</v>
      </c>
      <c r="C553" s="33" t="s">
        <v>647</v>
      </c>
      <c r="D553" s="33" t="s">
        <v>508</v>
      </c>
      <c r="I553" s="33">
        <v>0</v>
      </c>
      <c r="J553" s="33">
        <v>0</v>
      </c>
      <c r="K553" s="33">
        <v>540</v>
      </c>
      <c r="L553" s="33">
        <v>540</v>
      </c>
      <c r="M553" s="33" t="s">
        <v>492</v>
      </c>
    </row>
    <row r="554" spans="1:13">
      <c r="A554" s="33">
        <v>23039</v>
      </c>
      <c r="B554" s="33" t="s">
        <v>49</v>
      </c>
      <c r="C554" s="33" t="s">
        <v>647</v>
      </c>
      <c r="D554" s="33" t="s">
        <v>534</v>
      </c>
      <c r="I554" s="33">
        <v>0</v>
      </c>
      <c r="J554" s="33">
        <v>0</v>
      </c>
      <c r="K554" s="33">
        <v>540</v>
      </c>
      <c r="L554" s="33">
        <v>540</v>
      </c>
      <c r="M554" s="33" t="s">
        <v>492</v>
      </c>
    </row>
    <row r="555" spans="1:13">
      <c r="A555" s="33">
        <v>23039</v>
      </c>
      <c r="B555" s="33" t="s">
        <v>49</v>
      </c>
      <c r="C555" s="33" t="s">
        <v>647</v>
      </c>
      <c r="D555" s="33" t="s">
        <v>535</v>
      </c>
      <c r="I555" s="33">
        <v>0</v>
      </c>
      <c r="J555" s="33">
        <v>0</v>
      </c>
      <c r="K555" s="33">
        <v>540</v>
      </c>
      <c r="L555" s="33">
        <v>540</v>
      </c>
      <c r="M555" s="33" t="s">
        <v>492</v>
      </c>
    </row>
    <row r="556" spans="1:13">
      <c r="A556" s="33">
        <v>23039</v>
      </c>
      <c r="B556" s="33" t="s">
        <v>49</v>
      </c>
      <c r="C556" s="33" t="s">
        <v>647</v>
      </c>
      <c r="D556" s="33" t="s">
        <v>510</v>
      </c>
      <c r="E556" s="33" t="s">
        <v>557</v>
      </c>
      <c r="F556" s="33" t="s">
        <v>584</v>
      </c>
      <c r="I556" s="33">
        <v>46</v>
      </c>
      <c r="J556" s="33">
        <v>0</v>
      </c>
      <c r="K556" s="33">
        <v>0</v>
      </c>
      <c r="L556" s="33">
        <v>46</v>
      </c>
      <c r="M556" s="33" t="s">
        <v>522</v>
      </c>
    </row>
    <row r="557" spans="1:13">
      <c r="A557" s="33">
        <v>23039</v>
      </c>
      <c r="B557" s="33" t="s">
        <v>49</v>
      </c>
      <c r="C557" s="33" t="s">
        <v>647</v>
      </c>
      <c r="D557" s="33" t="s">
        <v>538</v>
      </c>
      <c r="I557" s="33">
        <v>0</v>
      </c>
      <c r="J557" s="33">
        <v>0</v>
      </c>
      <c r="K557" s="33">
        <v>540</v>
      </c>
      <c r="L557" s="33">
        <v>540</v>
      </c>
      <c r="M557" s="33" t="s">
        <v>492</v>
      </c>
    </row>
    <row r="558" spans="1:13">
      <c r="A558" s="33">
        <v>23039</v>
      </c>
      <c r="B558" s="33" t="s">
        <v>49</v>
      </c>
      <c r="C558" s="33" t="s">
        <v>647</v>
      </c>
      <c r="D558" s="33" t="s">
        <v>540</v>
      </c>
      <c r="I558" s="33">
        <v>0</v>
      </c>
      <c r="J558" s="33">
        <v>0</v>
      </c>
      <c r="K558" s="33">
        <v>540</v>
      </c>
      <c r="L558" s="33">
        <v>540</v>
      </c>
      <c r="M558" s="33" t="s">
        <v>492</v>
      </c>
    </row>
    <row r="559" spans="1:13">
      <c r="A559" s="33">
        <v>23039</v>
      </c>
      <c r="B559" s="33" t="s">
        <v>49</v>
      </c>
      <c r="C559" s="33" t="s">
        <v>647</v>
      </c>
      <c r="D559" s="33" t="s">
        <v>543</v>
      </c>
      <c r="I559" s="33">
        <v>0</v>
      </c>
      <c r="J559" s="33">
        <v>0</v>
      </c>
      <c r="K559" s="33">
        <v>540</v>
      </c>
      <c r="L559" s="33">
        <v>540</v>
      </c>
      <c r="M559" s="33" t="s">
        <v>492</v>
      </c>
    </row>
    <row r="560" spans="1:13">
      <c r="A560" s="33">
        <v>23039</v>
      </c>
      <c r="B560" s="33" t="s">
        <v>49</v>
      </c>
      <c r="C560" s="33" t="s">
        <v>647</v>
      </c>
      <c r="D560" s="33" t="s">
        <v>512</v>
      </c>
      <c r="I560" s="33">
        <v>0</v>
      </c>
      <c r="J560" s="33">
        <v>0</v>
      </c>
      <c r="K560" s="33">
        <v>540</v>
      </c>
      <c r="L560" s="33">
        <v>540</v>
      </c>
      <c r="M560" s="33" t="s">
        <v>492</v>
      </c>
    </row>
    <row r="561" spans="1:13">
      <c r="A561" s="33">
        <v>23039</v>
      </c>
      <c r="B561" s="33" t="s">
        <v>49</v>
      </c>
      <c r="C561" s="33" t="s">
        <v>647</v>
      </c>
      <c r="D561" s="33" t="s">
        <v>515</v>
      </c>
      <c r="I561" s="33">
        <v>0</v>
      </c>
      <c r="J561" s="33">
        <v>0</v>
      </c>
      <c r="K561" s="33">
        <v>540</v>
      </c>
      <c r="L561" s="33">
        <v>540</v>
      </c>
      <c r="M561" s="33" t="s">
        <v>492</v>
      </c>
    </row>
    <row r="562" spans="1:13">
      <c r="A562" s="33">
        <v>23039</v>
      </c>
      <c r="B562" s="33" t="s">
        <v>49</v>
      </c>
      <c r="C562" s="33" t="s">
        <v>647</v>
      </c>
      <c r="D562" s="33" t="s">
        <v>517</v>
      </c>
      <c r="I562" s="33">
        <v>0</v>
      </c>
      <c r="J562" s="33">
        <v>0</v>
      </c>
      <c r="K562" s="33">
        <v>540</v>
      </c>
      <c r="L562" s="33">
        <v>540</v>
      </c>
      <c r="M562" s="33" t="s">
        <v>492</v>
      </c>
    </row>
    <row r="563" spans="1:13">
      <c r="A563" s="33">
        <v>23039</v>
      </c>
      <c r="B563" s="33" t="s">
        <v>49</v>
      </c>
      <c r="C563" s="33" t="s">
        <v>647</v>
      </c>
      <c r="D563" s="33" t="s">
        <v>518</v>
      </c>
      <c r="I563" s="33">
        <v>0</v>
      </c>
      <c r="J563" s="33">
        <v>0</v>
      </c>
      <c r="K563" s="33">
        <v>540</v>
      </c>
      <c r="L563" s="33">
        <v>540</v>
      </c>
      <c r="M563" s="33" t="s">
        <v>492</v>
      </c>
    </row>
  </sheetData>
  <autoFilter ref="A1:M563" xr:uid="{46F48A88-B12A-458C-87C1-74795ECABCFB}"/>
  <sortState xmlns:xlrd2="http://schemas.microsoft.com/office/spreadsheetml/2017/richdata2" ref="A4:M168">
    <sortCondition ref="A3:A168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6427A6-A29F-40FA-BF41-6F2A3392758F}">
  <dimension ref="A1:B112"/>
  <sheetViews>
    <sheetView topLeftCell="A87" workbookViewId="0">
      <selection activeCell="B91" sqref="B91"/>
    </sheetView>
  </sheetViews>
  <sheetFormatPr defaultRowHeight="14.4"/>
  <cols>
    <col min="1" max="1" width="35.33203125" bestFit="1" customWidth="1"/>
    <col min="2" max="2" width="11" bestFit="1" customWidth="1"/>
  </cols>
  <sheetData>
    <row r="1" spans="1:2">
      <c r="A1" t="s">
        <v>710</v>
      </c>
      <c r="B1" t="s">
        <v>711</v>
      </c>
    </row>
    <row r="2" spans="1:2">
      <c r="A2" t="s">
        <v>17</v>
      </c>
      <c r="B2">
        <v>201718001</v>
      </c>
    </row>
    <row r="3" spans="1:2">
      <c r="A3" t="s">
        <v>18</v>
      </c>
      <c r="B3">
        <v>201820001</v>
      </c>
    </row>
    <row r="4" spans="1:2">
      <c r="A4" t="s">
        <v>83</v>
      </c>
      <c r="B4">
        <v>201818002</v>
      </c>
    </row>
    <row r="5" spans="1:2">
      <c r="A5" t="s">
        <v>20</v>
      </c>
      <c r="B5">
        <v>201918003</v>
      </c>
    </row>
    <row r="6" spans="1:2">
      <c r="A6" t="s">
        <v>21</v>
      </c>
      <c r="B6">
        <v>201918004</v>
      </c>
    </row>
    <row r="7" spans="1:2">
      <c r="A7" t="s">
        <v>22</v>
      </c>
      <c r="B7">
        <v>201918005</v>
      </c>
    </row>
    <row r="8" spans="1:2">
      <c r="A8" t="s">
        <v>23</v>
      </c>
      <c r="B8">
        <v>202018006</v>
      </c>
    </row>
    <row r="9" spans="1:2">
      <c r="A9" t="s">
        <v>103</v>
      </c>
      <c r="B9">
        <v>202118007</v>
      </c>
    </row>
    <row r="10" spans="1:2">
      <c r="A10" t="s">
        <v>25</v>
      </c>
      <c r="B10">
        <v>202118008</v>
      </c>
    </row>
    <row r="11" spans="1:2">
      <c r="A11" t="s">
        <v>26</v>
      </c>
      <c r="B11">
        <v>202218009</v>
      </c>
    </row>
    <row r="12" spans="1:2">
      <c r="A12" t="s">
        <v>27</v>
      </c>
      <c r="B12">
        <v>202218010</v>
      </c>
    </row>
    <row r="13" spans="1:2">
      <c r="A13" t="s">
        <v>28</v>
      </c>
      <c r="B13">
        <v>202218011</v>
      </c>
    </row>
    <row r="14" spans="1:2">
      <c r="A14" t="s">
        <v>29</v>
      </c>
      <c r="B14">
        <v>202218012</v>
      </c>
    </row>
    <row r="15" spans="1:2">
      <c r="A15" t="s">
        <v>85</v>
      </c>
      <c r="B15">
        <v>202218013</v>
      </c>
    </row>
    <row r="16" spans="1:2">
      <c r="A16" t="s">
        <v>31</v>
      </c>
      <c r="B16">
        <v>202220002</v>
      </c>
    </row>
    <row r="17" spans="1:2">
      <c r="A17" t="s">
        <v>32</v>
      </c>
      <c r="B17">
        <v>202218014</v>
      </c>
    </row>
    <row r="18" spans="1:2">
      <c r="A18" t="s">
        <v>33</v>
      </c>
      <c r="B18">
        <v>202320003</v>
      </c>
    </row>
    <row r="19" spans="1:2">
      <c r="A19" t="s">
        <v>1380</v>
      </c>
      <c r="B19">
        <v>202318015</v>
      </c>
    </row>
    <row r="20" spans="1:2">
      <c r="A20" t="s">
        <v>712</v>
      </c>
      <c r="B20">
        <v>202320004</v>
      </c>
    </row>
    <row r="21" spans="1:2">
      <c r="A21" t="s">
        <v>36</v>
      </c>
      <c r="B21">
        <v>202318016</v>
      </c>
    </row>
    <row r="22" spans="1:2">
      <c r="A22" t="s">
        <v>37</v>
      </c>
      <c r="B22">
        <v>202318017</v>
      </c>
    </row>
    <row r="23" spans="1:2">
      <c r="A23" t="s">
        <v>38</v>
      </c>
      <c r="B23">
        <v>202320005</v>
      </c>
    </row>
    <row r="24" spans="1:2">
      <c r="A24" t="s">
        <v>39</v>
      </c>
      <c r="B24">
        <v>202320006</v>
      </c>
    </row>
    <row r="25" spans="1:2">
      <c r="A25" t="s">
        <v>40</v>
      </c>
      <c r="B25">
        <v>202318018</v>
      </c>
    </row>
    <row r="26" spans="1:2">
      <c r="A26" t="s">
        <v>89</v>
      </c>
      <c r="B26">
        <v>202318019</v>
      </c>
    </row>
    <row r="27" spans="1:2">
      <c r="A27" t="s">
        <v>183</v>
      </c>
      <c r="B27">
        <v>202320007</v>
      </c>
    </row>
    <row r="28" spans="1:2">
      <c r="A28" t="s">
        <v>43</v>
      </c>
      <c r="B28">
        <v>202318020</v>
      </c>
    </row>
    <row r="29" spans="1:2">
      <c r="A29" t="s">
        <v>257</v>
      </c>
      <c r="B29">
        <v>202318021</v>
      </c>
    </row>
    <row r="30" spans="1:2">
      <c r="A30" t="s">
        <v>45</v>
      </c>
      <c r="B30">
        <v>202318022</v>
      </c>
    </row>
    <row r="31" spans="1:2">
      <c r="A31" t="s">
        <v>46</v>
      </c>
      <c r="B31">
        <v>202320008</v>
      </c>
    </row>
    <row r="32" spans="1:2">
      <c r="A32" t="s">
        <v>143</v>
      </c>
      <c r="B32">
        <v>202320009</v>
      </c>
    </row>
    <row r="33" spans="1:2">
      <c r="A33" t="s">
        <v>148</v>
      </c>
      <c r="B33">
        <v>202318023</v>
      </c>
    </row>
    <row r="34" spans="1:2">
      <c r="A34" t="s">
        <v>49</v>
      </c>
      <c r="B34">
        <v>202320010</v>
      </c>
    </row>
    <row r="35" spans="1:2">
      <c r="A35" t="s">
        <v>92</v>
      </c>
      <c r="B35">
        <v>202318024</v>
      </c>
    </row>
    <row r="36" spans="1:2">
      <c r="A36" t="s">
        <v>122</v>
      </c>
      <c r="B36">
        <v>202318025</v>
      </c>
    </row>
    <row r="37" spans="1:2">
      <c r="A37" t="s">
        <v>52</v>
      </c>
      <c r="B37">
        <v>202320011</v>
      </c>
    </row>
    <row r="38" spans="1:2">
      <c r="A38" t="s">
        <v>53</v>
      </c>
      <c r="B38">
        <v>202318026</v>
      </c>
    </row>
    <row r="39" spans="1:2">
      <c r="A39" t="s">
        <v>54</v>
      </c>
      <c r="B39">
        <v>202318027</v>
      </c>
    </row>
    <row r="40" spans="1:2">
      <c r="A40" t="s">
        <v>55</v>
      </c>
      <c r="B40">
        <v>202320012</v>
      </c>
    </row>
    <row r="41" spans="1:2">
      <c r="A41" t="s">
        <v>56</v>
      </c>
      <c r="B41">
        <v>202320013</v>
      </c>
    </row>
    <row r="42" spans="1:2">
      <c r="A42" t="s">
        <v>57</v>
      </c>
      <c r="B42">
        <v>202318028</v>
      </c>
    </row>
    <row r="43" spans="1:2">
      <c r="A43" t="s">
        <v>94</v>
      </c>
      <c r="B43">
        <v>202320014</v>
      </c>
    </row>
    <row r="44" spans="1:2">
      <c r="A44" t="s">
        <v>59</v>
      </c>
      <c r="B44">
        <v>202318029</v>
      </c>
    </row>
    <row r="45" spans="1:2">
      <c r="A45" t="s">
        <v>60</v>
      </c>
      <c r="B45">
        <v>202418030</v>
      </c>
    </row>
    <row r="46" spans="1:2">
      <c r="A46" t="s">
        <v>61</v>
      </c>
      <c r="B46">
        <v>202401001</v>
      </c>
    </row>
    <row r="47" spans="1:2">
      <c r="A47" t="s">
        <v>62</v>
      </c>
      <c r="B47">
        <v>202418031</v>
      </c>
    </row>
    <row r="48" spans="1:2">
      <c r="A48" t="s">
        <v>63</v>
      </c>
      <c r="B48">
        <v>202418032</v>
      </c>
    </row>
    <row r="49" spans="1:2">
      <c r="A49" t="s">
        <v>64</v>
      </c>
      <c r="B49">
        <v>202420015</v>
      </c>
    </row>
    <row r="50" spans="1:2">
      <c r="A50" t="s">
        <v>65</v>
      </c>
      <c r="B50">
        <v>202418033</v>
      </c>
    </row>
    <row r="51" spans="1:2">
      <c r="A51" t="s">
        <v>95</v>
      </c>
      <c r="B51">
        <v>202218034</v>
      </c>
    </row>
    <row r="52" spans="1:2">
      <c r="A52" t="s">
        <v>96</v>
      </c>
      <c r="B52">
        <v>202418035</v>
      </c>
    </row>
    <row r="53" spans="1:2">
      <c r="A53" t="s">
        <v>221</v>
      </c>
      <c r="B53">
        <v>202421001</v>
      </c>
    </row>
    <row r="54" spans="1:2">
      <c r="A54" t="s">
        <v>223</v>
      </c>
      <c r="B54">
        <v>202421002</v>
      </c>
    </row>
    <row r="55" spans="1:2">
      <c r="A55" t="s">
        <v>232</v>
      </c>
      <c r="B55">
        <v>202418036</v>
      </c>
    </row>
    <row r="56" spans="1:2">
      <c r="A56" t="s">
        <v>205</v>
      </c>
      <c r="B56">
        <v>202421003</v>
      </c>
    </row>
    <row r="57" spans="1:2">
      <c r="A57" t="s">
        <v>243</v>
      </c>
      <c r="B57">
        <v>202418037</v>
      </c>
    </row>
    <row r="58" spans="1:2">
      <c r="A58" t="s">
        <v>246</v>
      </c>
      <c r="B58">
        <v>202418038</v>
      </c>
    </row>
    <row r="59" spans="1:2">
      <c r="A59" t="s">
        <v>270</v>
      </c>
      <c r="B59">
        <v>202421004</v>
      </c>
    </row>
    <row r="60" spans="1:2">
      <c r="A60" t="s">
        <v>271</v>
      </c>
      <c r="B60">
        <v>202421005</v>
      </c>
    </row>
    <row r="61" spans="1:2">
      <c r="A61" t="s">
        <v>272</v>
      </c>
      <c r="B61">
        <v>202421006</v>
      </c>
    </row>
    <row r="62" spans="1:2">
      <c r="A62" t="s">
        <v>273</v>
      </c>
      <c r="B62">
        <v>202421007</v>
      </c>
    </row>
    <row r="63" spans="1:2">
      <c r="A63" t="s">
        <v>274</v>
      </c>
      <c r="B63">
        <v>202421008</v>
      </c>
    </row>
    <row r="64" spans="1:2">
      <c r="A64" s="133" t="s">
        <v>279</v>
      </c>
      <c r="B64">
        <v>202421009</v>
      </c>
    </row>
    <row r="65" spans="1:2">
      <c r="A65" t="s">
        <v>280</v>
      </c>
      <c r="B65">
        <v>202420016</v>
      </c>
    </row>
    <row r="66" spans="1:2">
      <c r="A66" t="s">
        <v>288</v>
      </c>
      <c r="B66">
        <v>202421010</v>
      </c>
    </row>
    <row r="67" spans="1:2">
      <c r="A67" t="s">
        <v>292</v>
      </c>
      <c r="B67">
        <v>202418039</v>
      </c>
    </row>
    <row r="68" spans="1:2">
      <c r="A68" t="s">
        <v>309</v>
      </c>
      <c r="B68">
        <v>202421011</v>
      </c>
    </row>
    <row r="69" spans="1:2">
      <c r="A69" t="s">
        <v>713</v>
      </c>
      <c r="B69">
        <v>202401002</v>
      </c>
    </row>
    <row r="70" spans="1:2">
      <c r="A70" t="s">
        <v>341</v>
      </c>
      <c r="B70">
        <v>202418040</v>
      </c>
    </row>
    <row r="71" spans="1:2">
      <c r="A71" t="s">
        <v>375</v>
      </c>
      <c r="B71">
        <v>202420017</v>
      </c>
    </row>
    <row r="72" spans="1:2">
      <c r="A72" t="s">
        <v>376</v>
      </c>
      <c r="B72">
        <v>202418041</v>
      </c>
    </row>
    <row r="73" spans="1:2">
      <c r="A73" t="s">
        <v>377</v>
      </c>
      <c r="B73">
        <v>202421012</v>
      </c>
    </row>
    <row r="74" spans="1:2">
      <c r="A74" t="s">
        <v>378</v>
      </c>
      <c r="B74">
        <v>202421013</v>
      </c>
    </row>
    <row r="75" spans="1:2">
      <c r="A75" t="s">
        <v>402</v>
      </c>
      <c r="B75">
        <v>202418042</v>
      </c>
    </row>
    <row r="76" spans="1:2">
      <c r="A76" t="s">
        <v>403</v>
      </c>
      <c r="B76">
        <v>202518043</v>
      </c>
    </row>
    <row r="77" spans="1:2">
      <c r="A77" t="s">
        <v>441</v>
      </c>
      <c r="B77">
        <v>202521014</v>
      </c>
    </row>
    <row r="78" spans="1:2">
      <c r="A78" t="s">
        <v>433</v>
      </c>
      <c r="B78">
        <v>202518044</v>
      </c>
    </row>
    <row r="79" spans="1:2">
      <c r="A79" t="s">
        <v>829</v>
      </c>
      <c r="B79">
        <v>202521015</v>
      </c>
    </row>
    <row r="80" spans="1:2">
      <c r="A80" t="s">
        <v>87</v>
      </c>
      <c r="B80">
        <v>202518045</v>
      </c>
    </row>
    <row r="81" spans="1:2">
      <c r="A81" t="s">
        <v>833</v>
      </c>
      <c r="B81">
        <v>202501003</v>
      </c>
    </row>
    <row r="82" spans="1:2">
      <c r="A82" t="s">
        <v>839</v>
      </c>
      <c r="B82">
        <v>202501005</v>
      </c>
    </row>
    <row r="83" spans="1:2">
      <c r="A83" t="s">
        <v>842</v>
      </c>
      <c r="B83">
        <v>202518046</v>
      </c>
    </row>
    <row r="84" spans="1:2">
      <c r="A84" t="s">
        <v>1330</v>
      </c>
      <c r="B84">
        <v>202501006</v>
      </c>
    </row>
    <row r="85" spans="1:2">
      <c r="A85" t="s">
        <v>1367</v>
      </c>
      <c r="B85">
        <v>202501007</v>
      </c>
    </row>
    <row r="86" spans="1:2">
      <c r="A86" t="s">
        <v>1368</v>
      </c>
      <c r="B86">
        <v>202501008</v>
      </c>
    </row>
    <row r="87" spans="1:2">
      <c r="A87" t="s">
        <v>1369</v>
      </c>
      <c r="B87">
        <v>202501009</v>
      </c>
    </row>
    <row r="88" spans="1:2">
      <c r="A88" t="s">
        <v>1377</v>
      </c>
      <c r="B88">
        <v>202501010</v>
      </c>
    </row>
    <row r="89" spans="1:2">
      <c r="A89" t="s">
        <v>1383</v>
      </c>
      <c r="B89">
        <v>202501011</v>
      </c>
    </row>
    <row r="90" spans="1:2">
      <c r="A90" t="s">
        <v>1394</v>
      </c>
      <c r="B90">
        <v>202501012</v>
      </c>
    </row>
    <row r="91" spans="1:2">
      <c r="A91" t="s">
        <v>1395</v>
      </c>
      <c r="B91">
        <v>202501013</v>
      </c>
    </row>
    <row r="92" spans="1:2">
      <c r="A92" t="s">
        <v>1396</v>
      </c>
      <c r="B92">
        <v>202501014</v>
      </c>
    </row>
    <row r="93" spans="1:2">
      <c r="A93" t="s">
        <v>1402</v>
      </c>
      <c r="B93">
        <v>202501015</v>
      </c>
    </row>
    <row r="94" spans="1:2">
      <c r="A94" t="s">
        <v>1430</v>
      </c>
      <c r="B94">
        <v>202501016</v>
      </c>
    </row>
    <row r="95" spans="1:2">
      <c r="A95" t="s">
        <v>838</v>
      </c>
      <c r="B95">
        <v>202518047</v>
      </c>
    </row>
    <row r="96" spans="1:2">
      <c r="A96" t="s">
        <v>1459</v>
      </c>
      <c r="B96">
        <v>202501017</v>
      </c>
    </row>
    <row r="97" spans="1:2">
      <c r="A97" t="s">
        <v>1460</v>
      </c>
      <c r="B97">
        <v>202501018</v>
      </c>
    </row>
    <row r="98" spans="1:2">
      <c r="A98" t="s">
        <v>1461</v>
      </c>
      <c r="B98">
        <v>202501019</v>
      </c>
    </row>
    <row r="99" spans="1:2">
      <c r="A99" t="s">
        <v>1468</v>
      </c>
      <c r="B99">
        <v>202501020</v>
      </c>
    </row>
    <row r="100" spans="1:2">
      <c r="A100" t="s">
        <v>1488</v>
      </c>
      <c r="B100">
        <v>202518048</v>
      </c>
    </row>
    <row r="101" spans="1:2">
      <c r="A101" t="s">
        <v>1489</v>
      </c>
      <c r="B101">
        <v>202501021</v>
      </c>
    </row>
    <row r="102" spans="1:2">
      <c r="A102" t="s">
        <v>1492</v>
      </c>
      <c r="B102">
        <v>202501022</v>
      </c>
    </row>
    <row r="103" spans="1:2">
      <c r="A103" t="s">
        <v>1582</v>
      </c>
      <c r="B103">
        <v>202618049</v>
      </c>
    </row>
    <row r="104" spans="1:2">
      <c r="A104" t="s">
        <v>1620</v>
      </c>
      <c r="B104">
        <v>202618050</v>
      </c>
    </row>
    <row r="105" spans="1:2">
      <c r="A105" t="s">
        <v>1621</v>
      </c>
      <c r="B105">
        <v>202601023</v>
      </c>
    </row>
    <row r="106" spans="1:2">
      <c r="A106" t="s">
        <v>1622</v>
      </c>
      <c r="B106">
        <v>202601024</v>
      </c>
    </row>
    <row r="107" spans="1:2">
      <c r="A107" t="s">
        <v>1623</v>
      </c>
      <c r="B107">
        <v>202601025</v>
      </c>
    </row>
    <row r="108" spans="1:2">
      <c r="A108" t="s">
        <v>1624</v>
      </c>
      <c r="B108">
        <v>202601026</v>
      </c>
    </row>
    <row r="109" spans="1:2">
      <c r="A109" t="s">
        <v>1626</v>
      </c>
      <c r="B109">
        <v>202601027</v>
      </c>
    </row>
    <row r="110" spans="1:2">
      <c r="A110" t="s">
        <v>1636</v>
      </c>
      <c r="B110">
        <v>202620015</v>
      </c>
    </row>
    <row r="111" spans="1:2">
      <c r="A111" t="s">
        <v>1638</v>
      </c>
      <c r="B111">
        <v>202618051</v>
      </c>
    </row>
    <row r="112" spans="1:2">
      <c r="A112" t="s">
        <v>1659</v>
      </c>
      <c r="B112">
        <v>202618052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019C84-B6D3-4DB9-9F7D-F88DAFFB36AB}">
  <dimension ref="A1:E524"/>
  <sheetViews>
    <sheetView workbookViewId="0">
      <selection activeCell="F14" sqref="F14"/>
    </sheetView>
  </sheetViews>
  <sheetFormatPr defaultRowHeight="14.4"/>
  <cols>
    <col min="1" max="1" width="8" bestFit="1" customWidth="1"/>
    <col min="2" max="2" width="9.109375" bestFit="1" customWidth="1"/>
    <col min="3" max="3" width="9.5546875" bestFit="1" customWidth="1"/>
    <col min="4" max="4" width="10.33203125" bestFit="1" customWidth="1"/>
    <col min="5" max="5" width="12.33203125" bestFit="1" customWidth="1"/>
    <col min="6" max="6" width="9.77734375" bestFit="1" customWidth="1"/>
    <col min="7" max="7" width="8.21875" bestFit="1" customWidth="1"/>
    <col min="8" max="8" width="22.77734375" bestFit="1" customWidth="1"/>
    <col min="9" max="9" width="25.44140625" bestFit="1" customWidth="1"/>
    <col min="10" max="10" width="11.21875" bestFit="1" customWidth="1"/>
    <col min="11" max="11" width="15.21875" bestFit="1" customWidth="1"/>
    <col min="12" max="12" width="16.77734375" bestFit="1" customWidth="1"/>
    <col min="13" max="13" width="14.21875" bestFit="1" customWidth="1"/>
    <col min="14" max="14" width="11.77734375" bestFit="1" customWidth="1"/>
    <col min="15" max="15" width="14.21875" bestFit="1" customWidth="1"/>
    <col min="16" max="16" width="12.21875" bestFit="1" customWidth="1"/>
    <col min="17" max="17" width="13.77734375" bestFit="1" customWidth="1"/>
    <col min="18" max="18" width="9.77734375" customWidth="1"/>
  </cols>
  <sheetData>
    <row r="1" spans="1:5">
      <c r="A1" t="s">
        <v>97</v>
      </c>
      <c r="B1" t="s">
        <v>714</v>
      </c>
      <c r="C1" t="s">
        <v>478</v>
      </c>
      <c r="D1" t="s">
        <v>98</v>
      </c>
      <c r="E1" t="s">
        <v>99</v>
      </c>
    </row>
    <row r="2" spans="1:5">
      <c r="A2" t="s">
        <v>843</v>
      </c>
      <c r="B2" t="s">
        <v>724</v>
      </c>
      <c r="C2" t="s">
        <v>725</v>
      </c>
      <c r="D2" s="71">
        <v>45292</v>
      </c>
      <c r="E2" t="s">
        <v>79</v>
      </c>
    </row>
    <row r="3" spans="1:5">
      <c r="A3" t="s">
        <v>844</v>
      </c>
      <c r="B3" t="s">
        <v>724</v>
      </c>
      <c r="C3" t="s">
        <v>725</v>
      </c>
      <c r="D3" s="71">
        <v>45293</v>
      </c>
      <c r="E3" t="s">
        <v>79</v>
      </c>
    </row>
    <row r="4" spans="1:5">
      <c r="A4" t="s">
        <v>845</v>
      </c>
      <c r="B4" t="s">
        <v>724</v>
      </c>
      <c r="C4" t="s">
        <v>725</v>
      </c>
      <c r="D4" s="71">
        <v>45294</v>
      </c>
      <c r="E4" t="s">
        <v>79</v>
      </c>
    </row>
    <row r="5" spans="1:5">
      <c r="A5" t="s">
        <v>846</v>
      </c>
      <c r="B5" t="s">
        <v>724</v>
      </c>
      <c r="C5" t="s">
        <v>725</v>
      </c>
      <c r="D5" s="71">
        <v>45295</v>
      </c>
      <c r="E5" t="s">
        <v>79</v>
      </c>
    </row>
    <row r="6" spans="1:5">
      <c r="A6" t="s">
        <v>847</v>
      </c>
      <c r="B6" t="s">
        <v>724</v>
      </c>
      <c r="C6" t="s">
        <v>725</v>
      </c>
      <c r="D6" s="71">
        <v>45296</v>
      </c>
      <c r="E6" t="s">
        <v>79</v>
      </c>
    </row>
    <row r="7" spans="1:5">
      <c r="A7" t="s">
        <v>848</v>
      </c>
      <c r="B7" t="s">
        <v>724</v>
      </c>
      <c r="C7" t="s">
        <v>725</v>
      </c>
      <c r="D7" s="71">
        <v>45297</v>
      </c>
      <c r="E7" t="s">
        <v>79</v>
      </c>
    </row>
    <row r="8" spans="1:5">
      <c r="A8" t="s">
        <v>849</v>
      </c>
      <c r="B8" t="s">
        <v>724</v>
      </c>
      <c r="C8" t="s">
        <v>725</v>
      </c>
      <c r="D8" s="71">
        <v>45299</v>
      </c>
      <c r="E8" t="s">
        <v>79</v>
      </c>
    </row>
    <row r="9" spans="1:5">
      <c r="A9" t="s">
        <v>850</v>
      </c>
      <c r="B9" t="s">
        <v>724</v>
      </c>
      <c r="C9" t="s">
        <v>725</v>
      </c>
      <c r="D9" s="71">
        <v>45300</v>
      </c>
      <c r="E9" t="s">
        <v>79</v>
      </c>
    </row>
    <row r="10" spans="1:5">
      <c r="A10" t="s">
        <v>851</v>
      </c>
      <c r="B10" t="s">
        <v>724</v>
      </c>
      <c r="C10" t="s">
        <v>725</v>
      </c>
      <c r="D10" s="71">
        <v>45301</v>
      </c>
      <c r="E10" t="s">
        <v>79</v>
      </c>
    </row>
    <row r="11" spans="1:5">
      <c r="A11" t="s">
        <v>852</v>
      </c>
      <c r="B11" t="s">
        <v>724</v>
      </c>
      <c r="C11" t="s">
        <v>725</v>
      </c>
      <c r="D11" s="71">
        <v>45302</v>
      </c>
      <c r="E11" t="s">
        <v>79</v>
      </c>
    </row>
    <row r="12" spans="1:5">
      <c r="A12" t="s">
        <v>853</v>
      </c>
      <c r="B12" t="s">
        <v>724</v>
      </c>
      <c r="C12" t="s">
        <v>725</v>
      </c>
      <c r="D12" s="71">
        <v>45303</v>
      </c>
      <c r="E12" t="s">
        <v>14</v>
      </c>
    </row>
    <row r="13" spans="1:5">
      <c r="A13" t="s">
        <v>854</v>
      </c>
      <c r="B13" t="s">
        <v>724</v>
      </c>
      <c r="C13" t="s">
        <v>725</v>
      </c>
      <c r="D13" s="71">
        <v>45304</v>
      </c>
      <c r="E13" t="s">
        <v>80</v>
      </c>
    </row>
    <row r="14" spans="1:5">
      <c r="A14" t="s">
        <v>855</v>
      </c>
      <c r="B14" t="s">
        <v>724</v>
      </c>
      <c r="C14" t="s">
        <v>725</v>
      </c>
      <c r="D14" s="71">
        <v>45306</v>
      </c>
      <c r="E14" t="s">
        <v>79</v>
      </c>
    </row>
    <row r="15" spans="1:5">
      <c r="A15" t="s">
        <v>856</v>
      </c>
      <c r="B15" t="s">
        <v>724</v>
      </c>
      <c r="C15" t="s">
        <v>725</v>
      </c>
      <c r="D15" s="71">
        <v>45307</v>
      </c>
      <c r="E15" t="s">
        <v>79</v>
      </c>
    </row>
    <row r="16" spans="1:5">
      <c r="A16" t="s">
        <v>857</v>
      </c>
      <c r="B16" t="s">
        <v>724</v>
      </c>
      <c r="C16" t="s">
        <v>725</v>
      </c>
      <c r="D16" s="71">
        <v>45308</v>
      </c>
      <c r="E16" t="s">
        <v>79</v>
      </c>
    </row>
    <row r="17" spans="1:5">
      <c r="A17" t="s">
        <v>858</v>
      </c>
      <c r="B17" t="s">
        <v>724</v>
      </c>
      <c r="C17" t="s">
        <v>725</v>
      </c>
      <c r="D17" s="71">
        <v>45311</v>
      </c>
      <c r="E17" t="s">
        <v>80</v>
      </c>
    </row>
    <row r="18" spans="1:5">
      <c r="A18" t="s">
        <v>859</v>
      </c>
      <c r="B18" t="s">
        <v>724</v>
      </c>
      <c r="C18" t="s">
        <v>725</v>
      </c>
      <c r="D18" s="71">
        <v>45313</v>
      </c>
      <c r="E18" t="s">
        <v>80</v>
      </c>
    </row>
    <row r="19" spans="1:5">
      <c r="A19" t="s">
        <v>860</v>
      </c>
      <c r="B19" t="s">
        <v>724</v>
      </c>
      <c r="C19" t="s">
        <v>725</v>
      </c>
      <c r="D19" s="71">
        <v>45317</v>
      </c>
      <c r="E19" t="s">
        <v>79</v>
      </c>
    </row>
    <row r="20" spans="1:5">
      <c r="A20" t="s">
        <v>861</v>
      </c>
      <c r="B20" t="s">
        <v>724</v>
      </c>
      <c r="C20" t="s">
        <v>725</v>
      </c>
      <c r="D20" s="71">
        <v>45318</v>
      </c>
      <c r="E20" t="s">
        <v>80</v>
      </c>
    </row>
    <row r="21" spans="1:5">
      <c r="A21" t="s">
        <v>862</v>
      </c>
      <c r="B21" t="s">
        <v>724</v>
      </c>
      <c r="C21" t="s">
        <v>725</v>
      </c>
      <c r="D21" s="71">
        <v>45320</v>
      </c>
      <c r="E21" t="s">
        <v>81</v>
      </c>
    </row>
    <row r="22" spans="1:5">
      <c r="A22" t="s">
        <v>863</v>
      </c>
      <c r="B22" t="s">
        <v>724</v>
      </c>
      <c r="C22" t="s">
        <v>725</v>
      </c>
      <c r="D22" s="71">
        <v>45321</v>
      </c>
      <c r="E22" t="s">
        <v>79</v>
      </c>
    </row>
    <row r="23" spans="1:5">
      <c r="A23" t="s">
        <v>864</v>
      </c>
      <c r="B23" t="s">
        <v>724</v>
      </c>
      <c r="C23" t="s">
        <v>725</v>
      </c>
      <c r="D23" s="71">
        <v>45322</v>
      </c>
      <c r="E23" t="s">
        <v>80</v>
      </c>
    </row>
    <row r="24" spans="1:5">
      <c r="A24" t="s">
        <v>865</v>
      </c>
      <c r="B24" t="s">
        <v>772</v>
      </c>
      <c r="C24" t="s">
        <v>748</v>
      </c>
      <c r="D24" s="71">
        <v>45292</v>
      </c>
      <c r="E24" t="s">
        <v>79</v>
      </c>
    </row>
    <row r="25" spans="1:5">
      <c r="A25" t="s">
        <v>866</v>
      </c>
      <c r="B25" t="s">
        <v>772</v>
      </c>
      <c r="C25" t="s">
        <v>748</v>
      </c>
      <c r="D25" s="71">
        <v>45293</v>
      </c>
      <c r="E25" t="s">
        <v>79</v>
      </c>
    </row>
    <row r="26" spans="1:5">
      <c r="A26" t="s">
        <v>867</v>
      </c>
      <c r="B26" t="s">
        <v>772</v>
      </c>
      <c r="C26" t="s">
        <v>748</v>
      </c>
      <c r="D26" s="71">
        <v>45294</v>
      </c>
      <c r="E26" t="s">
        <v>79</v>
      </c>
    </row>
    <row r="27" spans="1:5">
      <c r="A27" t="s">
        <v>868</v>
      </c>
      <c r="B27" t="s">
        <v>772</v>
      </c>
      <c r="C27" t="s">
        <v>748</v>
      </c>
      <c r="D27" s="71">
        <v>45295</v>
      </c>
      <c r="E27" t="s">
        <v>79</v>
      </c>
    </row>
    <row r="28" spans="1:5">
      <c r="A28" t="s">
        <v>869</v>
      </c>
      <c r="B28" t="s">
        <v>772</v>
      </c>
      <c r="C28" t="s">
        <v>748</v>
      </c>
      <c r="D28" s="71">
        <v>45296</v>
      </c>
      <c r="E28" t="s">
        <v>79</v>
      </c>
    </row>
    <row r="29" spans="1:5">
      <c r="A29" t="s">
        <v>870</v>
      </c>
      <c r="B29" t="s">
        <v>772</v>
      </c>
      <c r="C29" t="s">
        <v>748</v>
      </c>
      <c r="D29" s="71">
        <v>45297</v>
      </c>
      <c r="E29" t="s">
        <v>79</v>
      </c>
    </row>
    <row r="30" spans="1:5">
      <c r="A30" t="s">
        <v>871</v>
      </c>
      <c r="B30" t="s">
        <v>772</v>
      </c>
      <c r="C30" t="s">
        <v>748</v>
      </c>
      <c r="D30" s="71">
        <v>45299</v>
      </c>
      <c r="E30" t="s">
        <v>79</v>
      </c>
    </row>
    <row r="31" spans="1:5">
      <c r="A31" t="s">
        <v>872</v>
      </c>
      <c r="B31" t="s">
        <v>772</v>
      </c>
      <c r="C31" t="s">
        <v>748</v>
      </c>
      <c r="D31" s="71">
        <v>45300</v>
      </c>
      <c r="E31" t="s">
        <v>79</v>
      </c>
    </row>
    <row r="32" spans="1:5">
      <c r="A32" t="s">
        <v>873</v>
      </c>
      <c r="B32" t="s">
        <v>772</v>
      </c>
      <c r="C32" t="s">
        <v>748</v>
      </c>
      <c r="D32" s="71">
        <v>45301</v>
      </c>
      <c r="E32" t="s">
        <v>81</v>
      </c>
    </row>
    <row r="33" spans="1:5">
      <c r="A33" t="s">
        <v>874</v>
      </c>
      <c r="B33" t="s">
        <v>772</v>
      </c>
      <c r="C33" t="s">
        <v>748</v>
      </c>
      <c r="D33" s="71">
        <v>45302</v>
      </c>
      <c r="E33" t="s">
        <v>79</v>
      </c>
    </row>
    <row r="34" spans="1:5">
      <c r="A34" t="s">
        <v>875</v>
      </c>
      <c r="B34" t="s">
        <v>772</v>
      </c>
      <c r="C34" t="s">
        <v>748</v>
      </c>
      <c r="D34" s="71">
        <v>45303</v>
      </c>
      <c r="E34" t="s">
        <v>79</v>
      </c>
    </row>
    <row r="35" spans="1:5">
      <c r="A35" t="s">
        <v>876</v>
      </c>
      <c r="B35" t="s">
        <v>772</v>
      </c>
      <c r="C35" t="s">
        <v>748</v>
      </c>
      <c r="D35" s="71">
        <v>45304</v>
      </c>
      <c r="E35" t="s">
        <v>79</v>
      </c>
    </row>
    <row r="36" spans="1:5">
      <c r="A36" t="s">
        <v>877</v>
      </c>
      <c r="B36" t="s">
        <v>772</v>
      </c>
      <c r="C36" t="s">
        <v>748</v>
      </c>
      <c r="D36" s="71">
        <v>45306</v>
      </c>
      <c r="E36" t="s">
        <v>79</v>
      </c>
    </row>
    <row r="37" spans="1:5">
      <c r="A37" t="s">
        <v>878</v>
      </c>
      <c r="B37" t="s">
        <v>772</v>
      </c>
      <c r="C37" t="s">
        <v>748</v>
      </c>
      <c r="D37" s="71">
        <v>45307</v>
      </c>
      <c r="E37" t="s">
        <v>79</v>
      </c>
    </row>
    <row r="38" spans="1:5">
      <c r="A38" t="s">
        <v>879</v>
      </c>
      <c r="B38" t="s">
        <v>772</v>
      </c>
      <c r="C38" t="s">
        <v>748</v>
      </c>
      <c r="D38" s="71">
        <v>45308</v>
      </c>
      <c r="E38" t="s">
        <v>79</v>
      </c>
    </row>
    <row r="39" spans="1:5">
      <c r="A39" t="s">
        <v>880</v>
      </c>
      <c r="B39" t="s">
        <v>772</v>
      </c>
      <c r="C39" t="s">
        <v>748</v>
      </c>
      <c r="D39" s="71">
        <v>45309</v>
      </c>
      <c r="E39" t="s">
        <v>79</v>
      </c>
    </row>
    <row r="40" spans="1:5">
      <c r="A40" t="s">
        <v>881</v>
      </c>
      <c r="B40" t="s">
        <v>772</v>
      </c>
      <c r="C40" t="s">
        <v>748</v>
      </c>
      <c r="D40" s="71">
        <v>45310</v>
      </c>
      <c r="E40" t="s">
        <v>79</v>
      </c>
    </row>
    <row r="41" spans="1:5">
      <c r="A41" t="s">
        <v>882</v>
      </c>
      <c r="B41" t="s">
        <v>772</v>
      </c>
      <c r="C41" t="s">
        <v>748</v>
      </c>
      <c r="D41" s="71">
        <v>45311</v>
      </c>
      <c r="E41" t="s">
        <v>79</v>
      </c>
    </row>
    <row r="42" spans="1:5">
      <c r="A42" t="s">
        <v>883</v>
      </c>
      <c r="B42" t="s">
        <v>772</v>
      </c>
      <c r="C42" t="s">
        <v>748</v>
      </c>
      <c r="D42" s="71">
        <v>45313</v>
      </c>
      <c r="E42" t="s">
        <v>79</v>
      </c>
    </row>
    <row r="43" spans="1:5">
      <c r="A43" t="s">
        <v>884</v>
      </c>
      <c r="B43" t="s">
        <v>772</v>
      </c>
      <c r="C43" t="s">
        <v>748</v>
      </c>
      <c r="D43" s="71">
        <v>45314</v>
      </c>
      <c r="E43" t="s">
        <v>79</v>
      </c>
    </row>
    <row r="44" spans="1:5">
      <c r="A44" t="s">
        <v>885</v>
      </c>
      <c r="B44" t="s">
        <v>772</v>
      </c>
      <c r="C44" t="s">
        <v>748</v>
      </c>
      <c r="D44" s="71">
        <v>45315</v>
      </c>
      <c r="E44" t="s">
        <v>79</v>
      </c>
    </row>
    <row r="45" spans="1:5">
      <c r="A45" t="s">
        <v>886</v>
      </c>
      <c r="B45" t="s">
        <v>772</v>
      </c>
      <c r="C45" t="s">
        <v>748</v>
      </c>
      <c r="D45" s="71">
        <v>45316</v>
      </c>
      <c r="E45" t="s">
        <v>79</v>
      </c>
    </row>
    <row r="46" spans="1:5">
      <c r="A46" t="s">
        <v>887</v>
      </c>
      <c r="B46" t="s">
        <v>772</v>
      </c>
      <c r="C46" t="s">
        <v>748</v>
      </c>
      <c r="D46" s="71">
        <v>45317</v>
      </c>
      <c r="E46" t="s">
        <v>79</v>
      </c>
    </row>
    <row r="47" spans="1:5">
      <c r="A47" t="s">
        <v>888</v>
      </c>
      <c r="B47" t="s">
        <v>772</v>
      </c>
      <c r="C47" t="s">
        <v>748</v>
      </c>
      <c r="D47" s="71">
        <v>45318</v>
      </c>
      <c r="E47" t="s">
        <v>79</v>
      </c>
    </row>
    <row r="48" spans="1:5">
      <c r="A48" t="s">
        <v>889</v>
      </c>
      <c r="B48" t="s">
        <v>772</v>
      </c>
      <c r="C48" t="s">
        <v>748</v>
      </c>
      <c r="D48" s="71">
        <v>45320</v>
      </c>
      <c r="E48" t="s">
        <v>79</v>
      </c>
    </row>
    <row r="49" spans="1:5">
      <c r="A49" t="s">
        <v>890</v>
      </c>
      <c r="B49" t="s">
        <v>772</v>
      </c>
      <c r="C49" t="s">
        <v>748</v>
      </c>
      <c r="D49" s="71">
        <v>45321</v>
      </c>
      <c r="E49" t="s">
        <v>79</v>
      </c>
    </row>
    <row r="50" spans="1:5">
      <c r="A50" t="s">
        <v>891</v>
      </c>
      <c r="B50" t="s">
        <v>772</v>
      </c>
      <c r="C50" t="s">
        <v>748</v>
      </c>
      <c r="D50" s="71">
        <v>45322</v>
      </c>
      <c r="E50" t="s">
        <v>79</v>
      </c>
    </row>
    <row r="51" spans="1:5">
      <c r="A51" t="s">
        <v>892</v>
      </c>
      <c r="B51" t="s">
        <v>776</v>
      </c>
      <c r="C51" t="s">
        <v>747</v>
      </c>
      <c r="D51" s="71">
        <v>45292</v>
      </c>
      <c r="E51" t="s">
        <v>79</v>
      </c>
    </row>
    <row r="52" spans="1:5">
      <c r="A52" t="s">
        <v>893</v>
      </c>
      <c r="B52" t="s">
        <v>776</v>
      </c>
      <c r="C52" t="s">
        <v>747</v>
      </c>
      <c r="D52" s="71">
        <v>45293</v>
      </c>
      <c r="E52" t="s">
        <v>79</v>
      </c>
    </row>
    <row r="53" spans="1:5">
      <c r="A53" t="s">
        <v>894</v>
      </c>
      <c r="B53" t="s">
        <v>776</v>
      </c>
      <c r="C53" t="s">
        <v>747</v>
      </c>
      <c r="D53" s="71">
        <v>45294</v>
      </c>
      <c r="E53" t="s">
        <v>79</v>
      </c>
    </row>
    <row r="54" spans="1:5">
      <c r="A54" t="s">
        <v>895</v>
      </c>
      <c r="B54" t="s">
        <v>776</v>
      </c>
      <c r="C54" t="s">
        <v>747</v>
      </c>
      <c r="D54" s="71">
        <v>45295</v>
      </c>
      <c r="E54" t="s">
        <v>79</v>
      </c>
    </row>
    <row r="55" spans="1:5">
      <c r="A55" t="s">
        <v>896</v>
      </c>
      <c r="B55" t="s">
        <v>776</v>
      </c>
      <c r="C55" t="s">
        <v>747</v>
      </c>
      <c r="D55" s="71">
        <v>45296</v>
      </c>
      <c r="E55" t="s">
        <v>79</v>
      </c>
    </row>
    <row r="56" spans="1:5">
      <c r="A56" t="s">
        <v>897</v>
      </c>
      <c r="B56" t="s">
        <v>776</v>
      </c>
      <c r="C56" t="s">
        <v>747</v>
      </c>
      <c r="D56" s="71">
        <v>45297</v>
      </c>
      <c r="E56" t="s">
        <v>79</v>
      </c>
    </row>
    <row r="57" spans="1:5">
      <c r="A57" t="s">
        <v>898</v>
      </c>
      <c r="B57" t="s">
        <v>776</v>
      </c>
      <c r="C57" t="s">
        <v>747</v>
      </c>
      <c r="D57" s="71">
        <v>45299</v>
      </c>
      <c r="E57" t="s">
        <v>14</v>
      </c>
    </row>
    <row r="58" spans="1:5">
      <c r="A58" t="s">
        <v>899</v>
      </c>
      <c r="B58" t="s">
        <v>776</v>
      </c>
      <c r="C58" t="s">
        <v>747</v>
      </c>
      <c r="D58" s="71">
        <v>45300</v>
      </c>
      <c r="E58" t="s">
        <v>14</v>
      </c>
    </row>
    <row r="59" spans="1:5">
      <c r="A59" t="s">
        <v>900</v>
      </c>
      <c r="B59" t="s">
        <v>776</v>
      </c>
      <c r="C59" t="s">
        <v>747</v>
      </c>
      <c r="D59" s="71">
        <v>45301</v>
      </c>
      <c r="E59" t="s">
        <v>14</v>
      </c>
    </row>
    <row r="60" spans="1:5">
      <c r="A60" t="s">
        <v>901</v>
      </c>
      <c r="B60" t="s">
        <v>776</v>
      </c>
      <c r="C60" t="s">
        <v>747</v>
      </c>
      <c r="D60" s="71">
        <v>45302</v>
      </c>
      <c r="E60" t="s">
        <v>14</v>
      </c>
    </row>
    <row r="61" spans="1:5">
      <c r="A61" t="s">
        <v>902</v>
      </c>
      <c r="B61" t="s">
        <v>776</v>
      </c>
      <c r="C61" t="s">
        <v>747</v>
      </c>
      <c r="D61" s="71">
        <v>45303</v>
      </c>
      <c r="E61" t="s">
        <v>14</v>
      </c>
    </row>
    <row r="62" spans="1:5">
      <c r="A62" t="s">
        <v>903</v>
      </c>
      <c r="B62" t="s">
        <v>776</v>
      </c>
      <c r="C62" t="s">
        <v>747</v>
      </c>
      <c r="D62" s="71">
        <v>45304</v>
      </c>
      <c r="E62" t="s">
        <v>14</v>
      </c>
    </row>
    <row r="63" spans="1:5">
      <c r="A63" t="s">
        <v>904</v>
      </c>
      <c r="B63" t="s">
        <v>776</v>
      </c>
      <c r="C63" t="s">
        <v>747</v>
      </c>
      <c r="D63" s="71">
        <v>45306</v>
      </c>
      <c r="E63" t="s">
        <v>79</v>
      </c>
    </row>
    <row r="64" spans="1:5">
      <c r="A64" t="s">
        <v>905</v>
      </c>
      <c r="B64" t="s">
        <v>776</v>
      </c>
      <c r="C64" t="s">
        <v>747</v>
      </c>
      <c r="D64" s="71">
        <v>45307</v>
      </c>
      <c r="E64" t="s">
        <v>81</v>
      </c>
    </row>
    <row r="65" spans="1:5">
      <c r="A65" t="s">
        <v>906</v>
      </c>
      <c r="B65" t="s">
        <v>776</v>
      </c>
      <c r="C65" t="s">
        <v>747</v>
      </c>
      <c r="D65" s="71">
        <v>45308</v>
      </c>
      <c r="E65" t="s">
        <v>79</v>
      </c>
    </row>
    <row r="66" spans="1:5">
      <c r="A66" t="s">
        <v>907</v>
      </c>
      <c r="B66" t="s">
        <v>776</v>
      </c>
      <c r="C66" t="s">
        <v>747</v>
      </c>
      <c r="D66" s="71">
        <v>45309</v>
      </c>
      <c r="E66" t="s">
        <v>79</v>
      </c>
    </row>
    <row r="67" spans="1:5">
      <c r="A67" t="s">
        <v>908</v>
      </c>
      <c r="B67" t="s">
        <v>776</v>
      </c>
      <c r="C67" t="s">
        <v>747</v>
      </c>
      <c r="D67" s="71">
        <v>45310</v>
      </c>
      <c r="E67" t="s">
        <v>79</v>
      </c>
    </row>
    <row r="68" spans="1:5">
      <c r="A68" t="s">
        <v>909</v>
      </c>
      <c r="B68" t="s">
        <v>776</v>
      </c>
      <c r="C68" t="s">
        <v>747</v>
      </c>
      <c r="D68" s="71">
        <v>45311</v>
      </c>
      <c r="E68" t="s">
        <v>14</v>
      </c>
    </row>
    <row r="69" spans="1:5">
      <c r="A69" t="s">
        <v>910</v>
      </c>
      <c r="B69" t="s">
        <v>776</v>
      </c>
      <c r="C69" t="s">
        <v>747</v>
      </c>
      <c r="D69" s="71">
        <v>45313</v>
      </c>
      <c r="E69" t="s">
        <v>14</v>
      </c>
    </row>
    <row r="70" spans="1:5">
      <c r="A70" t="s">
        <v>911</v>
      </c>
      <c r="B70" t="s">
        <v>776</v>
      </c>
      <c r="C70" t="s">
        <v>747</v>
      </c>
      <c r="D70" s="71">
        <v>45314</v>
      </c>
      <c r="E70" t="s">
        <v>81</v>
      </c>
    </row>
    <row r="71" spans="1:5">
      <c r="A71" t="s">
        <v>912</v>
      </c>
      <c r="B71" t="s">
        <v>776</v>
      </c>
      <c r="C71" t="s">
        <v>747</v>
      </c>
      <c r="D71" s="71">
        <v>45315</v>
      </c>
      <c r="E71" t="s">
        <v>14</v>
      </c>
    </row>
    <row r="72" spans="1:5">
      <c r="A72" t="s">
        <v>913</v>
      </c>
      <c r="B72" t="s">
        <v>776</v>
      </c>
      <c r="C72" t="s">
        <v>747</v>
      </c>
      <c r="D72" s="71">
        <v>45316</v>
      </c>
      <c r="E72" t="s">
        <v>14</v>
      </c>
    </row>
    <row r="73" spans="1:5">
      <c r="A73" t="s">
        <v>914</v>
      </c>
      <c r="B73" t="s">
        <v>776</v>
      </c>
      <c r="C73" t="s">
        <v>747</v>
      </c>
      <c r="D73" s="71">
        <v>45317</v>
      </c>
      <c r="E73" t="s">
        <v>79</v>
      </c>
    </row>
    <row r="74" spans="1:5">
      <c r="A74" t="s">
        <v>915</v>
      </c>
      <c r="B74" t="s">
        <v>776</v>
      </c>
      <c r="C74" t="s">
        <v>747</v>
      </c>
      <c r="D74" s="71">
        <v>45318</v>
      </c>
      <c r="E74" t="s">
        <v>79</v>
      </c>
    </row>
    <row r="75" spans="1:5">
      <c r="A75" t="s">
        <v>916</v>
      </c>
      <c r="B75" t="s">
        <v>776</v>
      </c>
      <c r="C75" t="s">
        <v>747</v>
      </c>
      <c r="D75" s="71">
        <v>45320</v>
      </c>
      <c r="E75" t="s">
        <v>14</v>
      </c>
    </row>
    <row r="76" spans="1:5">
      <c r="A76" t="s">
        <v>917</v>
      </c>
      <c r="B76" t="s">
        <v>776</v>
      </c>
      <c r="C76" t="s">
        <v>747</v>
      </c>
      <c r="D76" s="71">
        <v>45321</v>
      </c>
      <c r="E76" t="s">
        <v>14</v>
      </c>
    </row>
    <row r="77" spans="1:5">
      <c r="A77" t="s">
        <v>918</v>
      </c>
      <c r="B77" t="s">
        <v>776</v>
      </c>
      <c r="C77" t="s">
        <v>747</v>
      </c>
      <c r="D77" s="71">
        <v>45322</v>
      </c>
      <c r="E77" t="s">
        <v>14</v>
      </c>
    </row>
    <row r="78" spans="1:5">
      <c r="A78" t="s">
        <v>919</v>
      </c>
      <c r="B78" t="s">
        <v>778</v>
      </c>
      <c r="C78" t="s">
        <v>746</v>
      </c>
      <c r="D78" s="71">
        <v>45292</v>
      </c>
      <c r="E78" t="s">
        <v>79</v>
      </c>
    </row>
    <row r="79" spans="1:5">
      <c r="A79" t="s">
        <v>920</v>
      </c>
      <c r="B79" t="s">
        <v>778</v>
      </c>
      <c r="C79" t="s">
        <v>746</v>
      </c>
      <c r="D79" s="71">
        <v>45293</v>
      </c>
      <c r="E79" t="s">
        <v>79</v>
      </c>
    </row>
    <row r="80" spans="1:5">
      <c r="A80" t="s">
        <v>921</v>
      </c>
      <c r="B80" t="s">
        <v>778</v>
      </c>
      <c r="C80" t="s">
        <v>746</v>
      </c>
      <c r="D80" s="71">
        <v>45294</v>
      </c>
      <c r="E80" t="s">
        <v>79</v>
      </c>
    </row>
    <row r="81" spans="1:5">
      <c r="A81" t="s">
        <v>922</v>
      </c>
      <c r="B81" t="s">
        <v>778</v>
      </c>
      <c r="C81" t="s">
        <v>746</v>
      </c>
      <c r="D81" s="71">
        <v>45295</v>
      </c>
      <c r="E81" t="s">
        <v>14</v>
      </c>
    </row>
    <row r="82" spans="1:5">
      <c r="A82" t="s">
        <v>923</v>
      </c>
      <c r="B82" t="s">
        <v>778</v>
      </c>
      <c r="C82" t="s">
        <v>746</v>
      </c>
      <c r="D82" s="71">
        <v>45296</v>
      </c>
      <c r="E82" t="s">
        <v>14</v>
      </c>
    </row>
    <row r="83" spans="1:5">
      <c r="A83" t="s">
        <v>924</v>
      </c>
      <c r="B83" t="s">
        <v>778</v>
      </c>
      <c r="C83" t="s">
        <v>746</v>
      </c>
      <c r="D83" s="71">
        <v>45297</v>
      </c>
      <c r="E83" t="s">
        <v>14</v>
      </c>
    </row>
    <row r="84" spans="1:5">
      <c r="A84" t="s">
        <v>925</v>
      </c>
      <c r="B84" t="s">
        <v>778</v>
      </c>
      <c r="C84" t="s">
        <v>746</v>
      </c>
      <c r="D84" s="71">
        <v>45299</v>
      </c>
      <c r="E84" t="s">
        <v>14</v>
      </c>
    </row>
    <row r="85" spans="1:5">
      <c r="A85" t="s">
        <v>926</v>
      </c>
      <c r="B85" t="s">
        <v>778</v>
      </c>
      <c r="C85" t="s">
        <v>746</v>
      </c>
      <c r="D85" s="71">
        <v>45300</v>
      </c>
      <c r="E85" t="s">
        <v>14</v>
      </c>
    </row>
    <row r="86" spans="1:5">
      <c r="A86" t="s">
        <v>927</v>
      </c>
      <c r="B86" t="s">
        <v>778</v>
      </c>
      <c r="C86" t="s">
        <v>746</v>
      </c>
      <c r="D86" s="71">
        <v>45302</v>
      </c>
      <c r="E86" t="s">
        <v>14</v>
      </c>
    </row>
    <row r="87" spans="1:5">
      <c r="A87" t="s">
        <v>928</v>
      </c>
      <c r="B87" t="s">
        <v>778</v>
      </c>
      <c r="C87" t="s">
        <v>746</v>
      </c>
      <c r="D87" s="71">
        <v>45303</v>
      </c>
      <c r="E87" t="s">
        <v>14</v>
      </c>
    </row>
    <row r="88" spans="1:5">
      <c r="A88" t="s">
        <v>929</v>
      </c>
      <c r="B88" t="s">
        <v>778</v>
      </c>
      <c r="C88" t="s">
        <v>746</v>
      </c>
      <c r="D88" s="71">
        <v>45304</v>
      </c>
      <c r="E88" t="s">
        <v>14</v>
      </c>
    </row>
    <row r="89" spans="1:5">
      <c r="A89" t="s">
        <v>930</v>
      </c>
      <c r="B89" t="s">
        <v>778</v>
      </c>
      <c r="C89" t="s">
        <v>746</v>
      </c>
      <c r="D89" s="71">
        <v>45306</v>
      </c>
      <c r="E89" t="s">
        <v>79</v>
      </c>
    </row>
    <row r="90" spans="1:5">
      <c r="A90" t="s">
        <v>931</v>
      </c>
      <c r="B90" t="s">
        <v>778</v>
      </c>
      <c r="C90" t="s">
        <v>746</v>
      </c>
      <c r="D90" s="71">
        <v>45307</v>
      </c>
      <c r="E90" t="s">
        <v>14</v>
      </c>
    </row>
    <row r="91" spans="1:5">
      <c r="A91" t="s">
        <v>932</v>
      </c>
      <c r="B91" t="s">
        <v>778</v>
      </c>
      <c r="C91" t="s">
        <v>746</v>
      </c>
      <c r="D91" s="71">
        <v>45308</v>
      </c>
      <c r="E91" t="s">
        <v>79</v>
      </c>
    </row>
    <row r="92" spans="1:5">
      <c r="A92" t="s">
        <v>933</v>
      </c>
      <c r="B92" t="s">
        <v>778</v>
      </c>
      <c r="C92" t="s">
        <v>746</v>
      </c>
      <c r="D92" s="71">
        <v>45309</v>
      </c>
      <c r="E92" t="s">
        <v>79</v>
      </c>
    </row>
    <row r="93" spans="1:5">
      <c r="A93" t="s">
        <v>934</v>
      </c>
      <c r="B93" t="s">
        <v>778</v>
      </c>
      <c r="C93" t="s">
        <v>746</v>
      </c>
      <c r="D93" s="71">
        <v>45310</v>
      </c>
      <c r="E93" t="s">
        <v>79</v>
      </c>
    </row>
    <row r="94" spans="1:5">
      <c r="A94" t="s">
        <v>935</v>
      </c>
      <c r="B94" t="s">
        <v>778</v>
      </c>
      <c r="C94" t="s">
        <v>746</v>
      </c>
      <c r="D94" s="71">
        <v>45311</v>
      </c>
      <c r="E94" t="s">
        <v>79</v>
      </c>
    </row>
    <row r="95" spans="1:5">
      <c r="A95" t="s">
        <v>936</v>
      </c>
      <c r="B95" t="s">
        <v>778</v>
      </c>
      <c r="C95" t="s">
        <v>746</v>
      </c>
      <c r="D95" s="71">
        <v>45313</v>
      </c>
      <c r="E95" t="s">
        <v>14</v>
      </c>
    </row>
    <row r="96" spans="1:5">
      <c r="A96" t="s">
        <v>937</v>
      </c>
      <c r="B96" t="s">
        <v>778</v>
      </c>
      <c r="C96" t="s">
        <v>746</v>
      </c>
      <c r="D96" s="71">
        <v>45314</v>
      </c>
      <c r="E96" t="s">
        <v>79</v>
      </c>
    </row>
    <row r="97" spans="1:5">
      <c r="A97" t="s">
        <v>938</v>
      </c>
      <c r="B97" t="s">
        <v>778</v>
      </c>
      <c r="C97" t="s">
        <v>746</v>
      </c>
      <c r="D97" s="71">
        <v>45315</v>
      </c>
      <c r="E97" t="s">
        <v>79</v>
      </c>
    </row>
    <row r="98" spans="1:5">
      <c r="A98" t="s">
        <v>939</v>
      </c>
      <c r="B98" t="s">
        <v>778</v>
      </c>
      <c r="C98" t="s">
        <v>746</v>
      </c>
      <c r="D98" s="71">
        <v>45316</v>
      </c>
      <c r="E98" t="s">
        <v>14</v>
      </c>
    </row>
    <row r="99" spans="1:5">
      <c r="A99" t="s">
        <v>940</v>
      </c>
      <c r="B99" t="s">
        <v>778</v>
      </c>
      <c r="C99" t="s">
        <v>746</v>
      </c>
      <c r="D99" s="71">
        <v>45317</v>
      </c>
      <c r="E99" t="s">
        <v>79</v>
      </c>
    </row>
    <row r="100" spans="1:5">
      <c r="A100" t="s">
        <v>941</v>
      </c>
      <c r="B100" t="s">
        <v>778</v>
      </c>
      <c r="C100" t="s">
        <v>746</v>
      </c>
      <c r="D100" s="71">
        <v>45318</v>
      </c>
      <c r="E100" t="s">
        <v>79</v>
      </c>
    </row>
    <row r="101" spans="1:5">
      <c r="A101" t="s">
        <v>942</v>
      </c>
      <c r="B101" t="s">
        <v>778</v>
      </c>
      <c r="C101" t="s">
        <v>746</v>
      </c>
      <c r="D101" s="71">
        <v>45320</v>
      </c>
      <c r="E101" t="s">
        <v>79</v>
      </c>
    </row>
    <row r="102" spans="1:5">
      <c r="A102" t="s">
        <v>943</v>
      </c>
      <c r="B102" t="s">
        <v>778</v>
      </c>
      <c r="C102" t="s">
        <v>746</v>
      </c>
      <c r="D102" s="71">
        <v>45321</v>
      </c>
      <c r="E102" t="s">
        <v>79</v>
      </c>
    </row>
    <row r="103" spans="1:5">
      <c r="A103" t="s">
        <v>944</v>
      </c>
      <c r="B103" t="s">
        <v>778</v>
      </c>
      <c r="C103" t="s">
        <v>746</v>
      </c>
      <c r="D103" s="71">
        <v>45322</v>
      </c>
      <c r="E103" t="s">
        <v>79</v>
      </c>
    </row>
    <row r="104" spans="1:5">
      <c r="A104" t="s">
        <v>945</v>
      </c>
      <c r="B104" t="s">
        <v>781</v>
      </c>
      <c r="C104" t="s">
        <v>745</v>
      </c>
      <c r="D104" s="71">
        <v>45292</v>
      </c>
      <c r="E104" t="s">
        <v>79</v>
      </c>
    </row>
    <row r="105" spans="1:5">
      <c r="A105" t="s">
        <v>946</v>
      </c>
      <c r="B105" t="s">
        <v>781</v>
      </c>
      <c r="C105" t="s">
        <v>745</v>
      </c>
      <c r="D105" s="71">
        <v>45293</v>
      </c>
      <c r="E105" t="s">
        <v>79</v>
      </c>
    </row>
    <row r="106" spans="1:5">
      <c r="A106" t="s">
        <v>947</v>
      </c>
      <c r="B106" t="s">
        <v>781</v>
      </c>
      <c r="C106" t="s">
        <v>745</v>
      </c>
      <c r="D106" s="71">
        <v>45294</v>
      </c>
      <c r="E106" t="s">
        <v>81</v>
      </c>
    </row>
    <row r="107" spans="1:5">
      <c r="A107" t="s">
        <v>948</v>
      </c>
      <c r="B107" t="s">
        <v>781</v>
      </c>
      <c r="C107" t="s">
        <v>745</v>
      </c>
      <c r="D107" s="71">
        <v>45295</v>
      </c>
      <c r="E107" t="s">
        <v>14</v>
      </c>
    </row>
    <row r="108" spans="1:5">
      <c r="A108" t="s">
        <v>949</v>
      </c>
      <c r="B108" t="s">
        <v>781</v>
      </c>
      <c r="C108" t="s">
        <v>745</v>
      </c>
      <c r="D108" s="71">
        <v>45296</v>
      </c>
      <c r="E108" t="s">
        <v>14</v>
      </c>
    </row>
    <row r="109" spans="1:5">
      <c r="A109" t="s">
        <v>950</v>
      </c>
      <c r="B109" t="s">
        <v>781</v>
      </c>
      <c r="C109" t="s">
        <v>745</v>
      </c>
      <c r="D109" s="71">
        <v>45297</v>
      </c>
      <c r="E109" t="s">
        <v>14</v>
      </c>
    </row>
    <row r="110" spans="1:5">
      <c r="A110" t="s">
        <v>951</v>
      </c>
      <c r="B110" t="s">
        <v>781</v>
      </c>
      <c r="C110" t="s">
        <v>745</v>
      </c>
      <c r="D110" s="71">
        <v>45299</v>
      </c>
      <c r="E110" t="s">
        <v>14</v>
      </c>
    </row>
    <row r="111" spans="1:5">
      <c r="A111" t="s">
        <v>952</v>
      </c>
      <c r="B111" t="s">
        <v>781</v>
      </c>
      <c r="C111" t="s">
        <v>745</v>
      </c>
      <c r="D111" s="71">
        <v>45300</v>
      </c>
      <c r="E111" t="s">
        <v>14</v>
      </c>
    </row>
    <row r="112" spans="1:5">
      <c r="A112" t="s">
        <v>953</v>
      </c>
      <c r="B112" t="s">
        <v>781</v>
      </c>
      <c r="C112" t="s">
        <v>745</v>
      </c>
      <c r="D112" s="71">
        <v>45301</v>
      </c>
      <c r="E112" t="s">
        <v>14</v>
      </c>
    </row>
    <row r="113" spans="1:5">
      <c r="A113" t="s">
        <v>954</v>
      </c>
      <c r="B113" t="s">
        <v>781</v>
      </c>
      <c r="C113" t="s">
        <v>745</v>
      </c>
      <c r="D113" s="71">
        <v>45302</v>
      </c>
      <c r="E113" t="s">
        <v>14</v>
      </c>
    </row>
    <row r="114" spans="1:5">
      <c r="A114" t="s">
        <v>955</v>
      </c>
      <c r="B114" t="s">
        <v>781</v>
      </c>
      <c r="C114" t="s">
        <v>745</v>
      </c>
      <c r="D114" s="71">
        <v>45303</v>
      </c>
      <c r="E114" t="s">
        <v>14</v>
      </c>
    </row>
    <row r="115" spans="1:5">
      <c r="A115" t="s">
        <v>956</v>
      </c>
      <c r="B115" t="s">
        <v>781</v>
      </c>
      <c r="C115" t="s">
        <v>745</v>
      </c>
      <c r="D115" s="71">
        <v>45304</v>
      </c>
      <c r="E115" t="s">
        <v>14</v>
      </c>
    </row>
    <row r="116" spans="1:5">
      <c r="A116" t="s">
        <v>957</v>
      </c>
      <c r="B116" t="s">
        <v>781</v>
      </c>
      <c r="C116" t="s">
        <v>745</v>
      </c>
      <c r="D116" s="71">
        <v>45306</v>
      </c>
      <c r="E116" t="s">
        <v>79</v>
      </c>
    </row>
    <row r="117" spans="1:5">
      <c r="A117" t="s">
        <v>958</v>
      </c>
      <c r="B117" t="s">
        <v>781</v>
      </c>
      <c r="C117" t="s">
        <v>745</v>
      </c>
      <c r="D117" s="71">
        <v>45307</v>
      </c>
      <c r="E117" t="s">
        <v>81</v>
      </c>
    </row>
    <row r="118" spans="1:5">
      <c r="A118" t="s">
        <v>959</v>
      </c>
      <c r="B118" t="s">
        <v>781</v>
      </c>
      <c r="C118" t="s">
        <v>745</v>
      </c>
      <c r="D118" s="71">
        <v>45308</v>
      </c>
      <c r="E118" t="s">
        <v>79</v>
      </c>
    </row>
    <row r="119" spans="1:5">
      <c r="A119" t="s">
        <v>960</v>
      </c>
      <c r="B119" t="s">
        <v>781</v>
      </c>
      <c r="C119" t="s">
        <v>745</v>
      </c>
      <c r="D119" s="71">
        <v>45309</v>
      </c>
      <c r="E119" t="s">
        <v>79</v>
      </c>
    </row>
    <row r="120" spans="1:5">
      <c r="A120" t="s">
        <v>961</v>
      </c>
      <c r="B120" t="s">
        <v>781</v>
      </c>
      <c r="C120" t="s">
        <v>745</v>
      </c>
      <c r="D120" s="71">
        <v>45310</v>
      </c>
      <c r="E120" t="s">
        <v>14</v>
      </c>
    </row>
    <row r="121" spans="1:5">
      <c r="A121" t="s">
        <v>962</v>
      </c>
      <c r="B121" t="s">
        <v>781</v>
      </c>
      <c r="C121" t="s">
        <v>745</v>
      </c>
      <c r="D121" s="71">
        <v>45311</v>
      </c>
      <c r="E121" t="s">
        <v>14</v>
      </c>
    </row>
    <row r="122" spans="1:5">
      <c r="A122" t="s">
        <v>963</v>
      </c>
      <c r="B122" t="s">
        <v>781</v>
      </c>
      <c r="C122" t="s">
        <v>745</v>
      </c>
      <c r="D122" s="71">
        <v>45313</v>
      </c>
      <c r="E122" t="s">
        <v>14</v>
      </c>
    </row>
    <row r="123" spans="1:5">
      <c r="A123" t="s">
        <v>964</v>
      </c>
      <c r="B123" t="s">
        <v>781</v>
      </c>
      <c r="C123" t="s">
        <v>745</v>
      </c>
      <c r="D123" s="71">
        <v>45314</v>
      </c>
      <c r="E123" t="s">
        <v>14</v>
      </c>
    </row>
    <row r="124" spans="1:5">
      <c r="A124" t="s">
        <v>965</v>
      </c>
      <c r="B124" t="s">
        <v>781</v>
      </c>
      <c r="C124" t="s">
        <v>745</v>
      </c>
      <c r="D124" s="71">
        <v>45315</v>
      </c>
      <c r="E124" t="s">
        <v>14</v>
      </c>
    </row>
    <row r="125" spans="1:5">
      <c r="A125" t="s">
        <v>966</v>
      </c>
      <c r="B125" t="s">
        <v>781</v>
      </c>
      <c r="C125" t="s">
        <v>745</v>
      </c>
      <c r="D125" s="71">
        <v>45316</v>
      </c>
      <c r="E125" t="s">
        <v>14</v>
      </c>
    </row>
    <row r="126" spans="1:5">
      <c r="A126" t="s">
        <v>967</v>
      </c>
      <c r="B126" t="s">
        <v>781</v>
      </c>
      <c r="C126" t="s">
        <v>745</v>
      </c>
      <c r="D126" s="71">
        <v>45317</v>
      </c>
      <c r="E126" t="s">
        <v>79</v>
      </c>
    </row>
    <row r="127" spans="1:5">
      <c r="A127" t="s">
        <v>968</v>
      </c>
      <c r="B127" t="s">
        <v>781</v>
      </c>
      <c r="C127" t="s">
        <v>745</v>
      </c>
      <c r="D127" s="71">
        <v>45318</v>
      </c>
      <c r="E127" t="s">
        <v>79</v>
      </c>
    </row>
    <row r="128" spans="1:5">
      <c r="A128" t="s">
        <v>969</v>
      </c>
      <c r="B128" t="s">
        <v>781</v>
      </c>
      <c r="C128" t="s">
        <v>745</v>
      </c>
      <c r="D128" s="71">
        <v>45320</v>
      </c>
      <c r="E128" t="s">
        <v>14</v>
      </c>
    </row>
    <row r="129" spans="1:5">
      <c r="A129" t="s">
        <v>970</v>
      </c>
      <c r="B129" t="s">
        <v>781</v>
      </c>
      <c r="C129" t="s">
        <v>745</v>
      </c>
      <c r="D129" s="71">
        <v>45321</v>
      </c>
      <c r="E129" t="s">
        <v>14</v>
      </c>
    </row>
    <row r="130" spans="1:5">
      <c r="A130" t="s">
        <v>971</v>
      </c>
      <c r="B130" t="s">
        <v>781</v>
      </c>
      <c r="C130" t="s">
        <v>745</v>
      </c>
      <c r="D130" s="71">
        <v>45322</v>
      </c>
      <c r="E130" t="s">
        <v>14</v>
      </c>
    </row>
    <row r="131" spans="1:5">
      <c r="A131" t="s">
        <v>972</v>
      </c>
      <c r="B131" t="s">
        <v>784</v>
      </c>
      <c r="C131" t="s">
        <v>744</v>
      </c>
      <c r="D131" s="71">
        <v>45292</v>
      </c>
      <c r="E131" t="s">
        <v>79</v>
      </c>
    </row>
    <row r="132" spans="1:5">
      <c r="A132" t="s">
        <v>973</v>
      </c>
      <c r="B132" t="s">
        <v>784</v>
      </c>
      <c r="C132" t="s">
        <v>744</v>
      </c>
      <c r="D132" s="71">
        <v>45293</v>
      </c>
      <c r="E132" t="s">
        <v>79</v>
      </c>
    </row>
    <row r="133" spans="1:5">
      <c r="A133" t="s">
        <v>974</v>
      </c>
      <c r="B133" t="s">
        <v>784</v>
      </c>
      <c r="C133" t="s">
        <v>744</v>
      </c>
      <c r="D133" s="71">
        <v>45294</v>
      </c>
      <c r="E133" t="s">
        <v>14</v>
      </c>
    </row>
    <row r="134" spans="1:5">
      <c r="A134" t="s">
        <v>975</v>
      </c>
      <c r="B134" t="s">
        <v>784</v>
      </c>
      <c r="C134" t="s">
        <v>744</v>
      </c>
      <c r="D134" s="71">
        <v>45297</v>
      </c>
      <c r="E134" t="s">
        <v>79</v>
      </c>
    </row>
    <row r="135" spans="1:5">
      <c r="A135" t="s">
        <v>976</v>
      </c>
      <c r="B135" t="s">
        <v>784</v>
      </c>
      <c r="C135" t="s">
        <v>744</v>
      </c>
      <c r="D135" s="71">
        <v>45299</v>
      </c>
      <c r="E135" t="s">
        <v>79</v>
      </c>
    </row>
    <row r="136" spans="1:5">
      <c r="A136" t="s">
        <v>977</v>
      </c>
      <c r="B136" t="s">
        <v>784</v>
      </c>
      <c r="C136" t="s">
        <v>744</v>
      </c>
      <c r="D136" s="71">
        <v>45306</v>
      </c>
      <c r="E136" t="s">
        <v>79</v>
      </c>
    </row>
    <row r="137" spans="1:5">
      <c r="A137" t="s">
        <v>978</v>
      </c>
      <c r="B137" t="s">
        <v>784</v>
      </c>
      <c r="C137" t="s">
        <v>744</v>
      </c>
      <c r="D137" s="71">
        <v>45307</v>
      </c>
      <c r="E137" t="s">
        <v>80</v>
      </c>
    </row>
    <row r="138" spans="1:5">
      <c r="A138" t="s">
        <v>979</v>
      </c>
      <c r="B138" t="s">
        <v>784</v>
      </c>
      <c r="C138" t="s">
        <v>744</v>
      </c>
      <c r="D138" s="71">
        <v>45311</v>
      </c>
      <c r="E138" t="s">
        <v>79</v>
      </c>
    </row>
    <row r="139" spans="1:5">
      <c r="A139" t="s">
        <v>980</v>
      </c>
      <c r="B139" t="s">
        <v>784</v>
      </c>
      <c r="C139" t="s">
        <v>744</v>
      </c>
      <c r="D139" s="71">
        <v>45313</v>
      </c>
      <c r="E139" t="s">
        <v>79</v>
      </c>
    </row>
    <row r="140" spans="1:5">
      <c r="A140" t="s">
        <v>981</v>
      </c>
      <c r="B140" t="s">
        <v>784</v>
      </c>
      <c r="C140" t="s">
        <v>744</v>
      </c>
      <c r="D140" s="71">
        <v>45317</v>
      </c>
      <c r="E140" t="s">
        <v>79</v>
      </c>
    </row>
    <row r="141" spans="1:5">
      <c r="A141" t="s">
        <v>982</v>
      </c>
      <c r="B141" t="s">
        <v>784</v>
      </c>
      <c r="C141" t="s">
        <v>744</v>
      </c>
      <c r="D141" s="71">
        <v>45318</v>
      </c>
      <c r="E141" t="s">
        <v>79</v>
      </c>
    </row>
    <row r="142" spans="1:5">
      <c r="A142" t="s">
        <v>983</v>
      </c>
      <c r="B142" t="s">
        <v>784</v>
      </c>
      <c r="C142" t="s">
        <v>744</v>
      </c>
      <c r="D142" s="71">
        <v>45322</v>
      </c>
      <c r="E142" t="s">
        <v>80</v>
      </c>
    </row>
    <row r="143" spans="1:5">
      <c r="A143" t="s">
        <v>984</v>
      </c>
      <c r="B143" t="s">
        <v>786</v>
      </c>
      <c r="C143" t="s">
        <v>741</v>
      </c>
      <c r="D143" s="71">
        <v>45292</v>
      </c>
      <c r="E143" t="s">
        <v>79</v>
      </c>
    </row>
    <row r="144" spans="1:5">
      <c r="A144" t="s">
        <v>985</v>
      </c>
      <c r="B144" t="s">
        <v>786</v>
      </c>
      <c r="C144" t="s">
        <v>741</v>
      </c>
      <c r="D144" s="71">
        <v>45293</v>
      </c>
      <c r="E144" t="s">
        <v>14</v>
      </c>
    </row>
    <row r="145" spans="1:5">
      <c r="A145" t="s">
        <v>986</v>
      </c>
      <c r="B145" t="s">
        <v>786</v>
      </c>
      <c r="C145" t="s">
        <v>741</v>
      </c>
      <c r="D145" s="71">
        <v>45295</v>
      </c>
      <c r="E145" t="s">
        <v>14</v>
      </c>
    </row>
    <row r="146" spans="1:5">
      <c r="A146" t="s">
        <v>987</v>
      </c>
      <c r="B146" t="s">
        <v>786</v>
      </c>
      <c r="C146" t="s">
        <v>741</v>
      </c>
      <c r="D146" s="71">
        <v>45296</v>
      </c>
      <c r="E146" t="s">
        <v>79</v>
      </c>
    </row>
    <row r="147" spans="1:5">
      <c r="A147" t="s">
        <v>988</v>
      </c>
      <c r="B147" t="s">
        <v>786</v>
      </c>
      <c r="C147" t="s">
        <v>741</v>
      </c>
      <c r="D147" s="71">
        <v>45299</v>
      </c>
      <c r="E147" t="s">
        <v>14</v>
      </c>
    </row>
    <row r="148" spans="1:5">
      <c r="A148" t="s">
        <v>989</v>
      </c>
      <c r="B148" t="s">
        <v>786</v>
      </c>
      <c r="C148" t="s">
        <v>741</v>
      </c>
      <c r="D148" s="71">
        <v>45303</v>
      </c>
      <c r="E148" t="s">
        <v>14</v>
      </c>
    </row>
    <row r="149" spans="1:5">
      <c r="A149" t="s">
        <v>990</v>
      </c>
      <c r="B149" t="s">
        <v>786</v>
      </c>
      <c r="C149" t="s">
        <v>741</v>
      </c>
      <c r="D149" s="71">
        <v>45306</v>
      </c>
      <c r="E149" t="s">
        <v>79</v>
      </c>
    </row>
    <row r="150" spans="1:5">
      <c r="A150" t="s">
        <v>991</v>
      </c>
      <c r="B150" t="s">
        <v>786</v>
      </c>
      <c r="C150" t="s">
        <v>741</v>
      </c>
      <c r="D150" s="71">
        <v>45315</v>
      </c>
      <c r="E150" t="s">
        <v>14</v>
      </c>
    </row>
    <row r="151" spans="1:5">
      <c r="A151" t="s">
        <v>992</v>
      </c>
      <c r="B151" t="s">
        <v>786</v>
      </c>
      <c r="C151" t="s">
        <v>741</v>
      </c>
      <c r="D151" s="71">
        <v>45317</v>
      </c>
      <c r="E151" t="s">
        <v>79</v>
      </c>
    </row>
    <row r="152" spans="1:5">
      <c r="A152" t="s">
        <v>993</v>
      </c>
      <c r="B152" t="s">
        <v>786</v>
      </c>
      <c r="C152" t="s">
        <v>741</v>
      </c>
      <c r="D152" s="71">
        <v>45318</v>
      </c>
      <c r="E152" t="s">
        <v>14</v>
      </c>
    </row>
    <row r="153" spans="1:5">
      <c r="A153" t="s">
        <v>994</v>
      </c>
      <c r="B153" t="s">
        <v>786</v>
      </c>
      <c r="C153" t="s">
        <v>741</v>
      </c>
      <c r="D153" s="71">
        <v>45321</v>
      </c>
      <c r="E153" t="s">
        <v>14</v>
      </c>
    </row>
    <row r="154" spans="1:5">
      <c r="A154" t="s">
        <v>995</v>
      </c>
      <c r="B154" t="s">
        <v>786</v>
      </c>
      <c r="C154" t="s">
        <v>741</v>
      </c>
      <c r="D154" s="71">
        <v>45322</v>
      </c>
      <c r="E154" t="s">
        <v>14</v>
      </c>
    </row>
    <row r="155" spans="1:5">
      <c r="A155" t="s">
        <v>996</v>
      </c>
      <c r="B155" t="s">
        <v>787</v>
      </c>
      <c r="C155" t="s">
        <v>740</v>
      </c>
      <c r="D155" s="71">
        <v>45292</v>
      </c>
      <c r="E155" t="s">
        <v>79</v>
      </c>
    </row>
    <row r="156" spans="1:5">
      <c r="A156" t="s">
        <v>997</v>
      </c>
      <c r="B156" t="s">
        <v>787</v>
      </c>
      <c r="C156" t="s">
        <v>740</v>
      </c>
      <c r="D156" s="71">
        <v>45293</v>
      </c>
      <c r="E156" t="s">
        <v>14</v>
      </c>
    </row>
    <row r="157" spans="1:5">
      <c r="A157" t="s">
        <v>998</v>
      </c>
      <c r="B157" t="s">
        <v>787</v>
      </c>
      <c r="C157" t="s">
        <v>740</v>
      </c>
      <c r="D157" s="71">
        <v>45295</v>
      </c>
      <c r="E157" t="s">
        <v>79</v>
      </c>
    </row>
    <row r="158" spans="1:5">
      <c r="A158" t="s">
        <v>999</v>
      </c>
      <c r="B158" t="s">
        <v>787</v>
      </c>
      <c r="C158" t="s">
        <v>740</v>
      </c>
      <c r="D158" s="71">
        <v>45306</v>
      </c>
      <c r="E158" t="s">
        <v>79</v>
      </c>
    </row>
    <row r="159" spans="1:5">
      <c r="A159" t="s">
        <v>1000</v>
      </c>
      <c r="B159" t="s">
        <v>787</v>
      </c>
      <c r="C159" t="s">
        <v>740</v>
      </c>
      <c r="D159" s="71">
        <v>45317</v>
      </c>
      <c r="E159" t="s">
        <v>79</v>
      </c>
    </row>
    <row r="160" spans="1:5">
      <c r="A160" t="s">
        <v>1001</v>
      </c>
      <c r="B160" t="s">
        <v>787</v>
      </c>
      <c r="C160" t="s">
        <v>740</v>
      </c>
      <c r="D160" s="71">
        <v>45318</v>
      </c>
      <c r="E160" t="s">
        <v>14</v>
      </c>
    </row>
    <row r="161" spans="1:5">
      <c r="A161" t="s">
        <v>1002</v>
      </c>
      <c r="B161" t="s">
        <v>787</v>
      </c>
      <c r="C161" t="s">
        <v>740</v>
      </c>
      <c r="D161" s="71">
        <v>45322</v>
      </c>
      <c r="E161" t="s">
        <v>80</v>
      </c>
    </row>
    <row r="162" spans="1:5">
      <c r="A162" t="s">
        <v>1003</v>
      </c>
      <c r="B162" t="s">
        <v>775</v>
      </c>
      <c r="C162" t="s">
        <v>737</v>
      </c>
      <c r="D162" s="71">
        <v>45292</v>
      </c>
      <c r="E162" t="s">
        <v>79</v>
      </c>
    </row>
    <row r="163" spans="1:5">
      <c r="A163" t="s">
        <v>1004</v>
      </c>
      <c r="B163" t="s">
        <v>775</v>
      </c>
      <c r="C163" t="s">
        <v>737</v>
      </c>
      <c r="D163" s="71">
        <v>45293</v>
      </c>
      <c r="E163" t="s">
        <v>14</v>
      </c>
    </row>
    <row r="164" spans="1:5">
      <c r="A164" t="s">
        <v>1005</v>
      </c>
      <c r="B164" t="s">
        <v>775</v>
      </c>
      <c r="C164" t="s">
        <v>737</v>
      </c>
      <c r="D164" s="71">
        <v>45294</v>
      </c>
      <c r="E164" t="s">
        <v>80</v>
      </c>
    </row>
    <row r="165" spans="1:5">
      <c r="A165" t="s">
        <v>1006</v>
      </c>
      <c r="B165" t="s">
        <v>775</v>
      </c>
      <c r="C165" t="s">
        <v>737</v>
      </c>
      <c r="D165" s="71">
        <v>45296</v>
      </c>
      <c r="E165" t="s">
        <v>79</v>
      </c>
    </row>
    <row r="166" spans="1:5">
      <c r="A166" t="s">
        <v>1007</v>
      </c>
      <c r="B166" t="s">
        <v>775</v>
      </c>
      <c r="C166" t="s">
        <v>737</v>
      </c>
      <c r="D166" s="71">
        <v>45297</v>
      </c>
      <c r="E166" t="s">
        <v>80</v>
      </c>
    </row>
    <row r="167" spans="1:5">
      <c r="A167" t="s">
        <v>1008</v>
      </c>
      <c r="B167" t="s">
        <v>775</v>
      </c>
      <c r="C167" t="s">
        <v>737</v>
      </c>
      <c r="D167" s="71">
        <v>45300</v>
      </c>
      <c r="E167" t="s">
        <v>80</v>
      </c>
    </row>
    <row r="168" spans="1:5">
      <c r="A168" t="s">
        <v>1009</v>
      </c>
      <c r="B168" t="s">
        <v>775</v>
      </c>
      <c r="C168" t="s">
        <v>737</v>
      </c>
      <c r="D168" s="71">
        <v>45306</v>
      </c>
      <c r="E168" t="s">
        <v>79</v>
      </c>
    </row>
    <row r="169" spans="1:5">
      <c r="A169" t="s">
        <v>1010</v>
      </c>
      <c r="B169" t="s">
        <v>775</v>
      </c>
      <c r="C169" t="s">
        <v>737</v>
      </c>
      <c r="D169" s="71">
        <v>45317</v>
      </c>
      <c r="E169" t="s">
        <v>79</v>
      </c>
    </row>
    <row r="170" spans="1:5">
      <c r="A170" t="s">
        <v>1011</v>
      </c>
      <c r="B170" t="s">
        <v>775</v>
      </c>
      <c r="C170" t="s">
        <v>737</v>
      </c>
      <c r="D170" s="71">
        <v>45318</v>
      </c>
      <c r="E170" t="s">
        <v>79</v>
      </c>
    </row>
    <row r="171" spans="1:5">
      <c r="A171" t="s">
        <v>1012</v>
      </c>
      <c r="B171" t="s">
        <v>775</v>
      </c>
      <c r="C171" t="s">
        <v>737</v>
      </c>
      <c r="D171" s="71">
        <v>45322</v>
      </c>
      <c r="E171" t="s">
        <v>80</v>
      </c>
    </row>
    <row r="172" spans="1:5">
      <c r="A172" t="s">
        <v>1013</v>
      </c>
      <c r="B172" t="s">
        <v>793</v>
      </c>
      <c r="C172" t="s">
        <v>736</v>
      </c>
      <c r="D172" s="71">
        <v>45292</v>
      </c>
      <c r="E172" t="s">
        <v>79</v>
      </c>
    </row>
    <row r="173" spans="1:5">
      <c r="A173" t="s">
        <v>1014</v>
      </c>
      <c r="B173" t="s">
        <v>793</v>
      </c>
      <c r="C173" t="s">
        <v>736</v>
      </c>
      <c r="D173" s="71">
        <v>45293</v>
      </c>
      <c r="E173" t="s">
        <v>14</v>
      </c>
    </row>
    <row r="174" spans="1:5">
      <c r="A174" t="s">
        <v>1015</v>
      </c>
      <c r="B174" t="s">
        <v>793</v>
      </c>
      <c r="C174" t="s">
        <v>736</v>
      </c>
      <c r="D174" s="71">
        <v>45300</v>
      </c>
      <c r="E174" t="s">
        <v>14</v>
      </c>
    </row>
    <row r="175" spans="1:5">
      <c r="A175" t="s">
        <v>1016</v>
      </c>
      <c r="B175" t="s">
        <v>793</v>
      </c>
      <c r="C175" t="s">
        <v>736</v>
      </c>
      <c r="D175" s="71">
        <v>45306</v>
      </c>
      <c r="E175" t="s">
        <v>79</v>
      </c>
    </row>
    <row r="176" spans="1:5">
      <c r="A176" t="s">
        <v>1017</v>
      </c>
      <c r="B176" t="s">
        <v>793</v>
      </c>
      <c r="C176" t="s">
        <v>736</v>
      </c>
      <c r="D176" s="71">
        <v>45316</v>
      </c>
      <c r="E176" t="s">
        <v>79</v>
      </c>
    </row>
    <row r="177" spans="1:5">
      <c r="A177" t="s">
        <v>1018</v>
      </c>
      <c r="B177" t="s">
        <v>793</v>
      </c>
      <c r="C177" t="s">
        <v>736</v>
      </c>
      <c r="D177" s="71">
        <v>45317</v>
      </c>
      <c r="E177" t="s">
        <v>79</v>
      </c>
    </row>
    <row r="178" spans="1:5">
      <c r="A178" t="s">
        <v>1019</v>
      </c>
      <c r="B178" t="s">
        <v>793</v>
      </c>
      <c r="C178" t="s">
        <v>736</v>
      </c>
      <c r="D178" s="71">
        <v>45318</v>
      </c>
      <c r="E178" t="s">
        <v>14</v>
      </c>
    </row>
    <row r="179" spans="1:5">
      <c r="A179" t="s">
        <v>1020</v>
      </c>
      <c r="B179" t="s">
        <v>793</v>
      </c>
      <c r="C179" t="s">
        <v>736</v>
      </c>
      <c r="D179" s="71">
        <v>45322</v>
      </c>
      <c r="E179" t="s">
        <v>80</v>
      </c>
    </row>
    <row r="180" spans="1:5">
      <c r="A180" t="s">
        <v>1021</v>
      </c>
      <c r="B180" t="s">
        <v>795</v>
      </c>
      <c r="C180" t="s">
        <v>735</v>
      </c>
      <c r="D180" s="71">
        <v>45292</v>
      </c>
      <c r="E180" t="s">
        <v>79</v>
      </c>
    </row>
    <row r="181" spans="1:5">
      <c r="A181" t="s">
        <v>1022</v>
      </c>
      <c r="B181" t="s">
        <v>795</v>
      </c>
      <c r="C181" t="s">
        <v>735</v>
      </c>
      <c r="D181" s="71">
        <v>45293</v>
      </c>
      <c r="E181" t="s">
        <v>14</v>
      </c>
    </row>
    <row r="182" spans="1:5">
      <c r="A182" t="s">
        <v>1023</v>
      </c>
      <c r="B182" t="s">
        <v>795</v>
      </c>
      <c r="C182" t="s">
        <v>735</v>
      </c>
      <c r="D182" s="71">
        <v>45294</v>
      </c>
      <c r="E182" t="s">
        <v>79</v>
      </c>
    </row>
    <row r="183" spans="1:5">
      <c r="A183" t="s">
        <v>1024</v>
      </c>
      <c r="B183" t="s">
        <v>795</v>
      </c>
      <c r="C183" t="s">
        <v>735</v>
      </c>
      <c r="D183" s="71">
        <v>45295</v>
      </c>
      <c r="E183" t="s">
        <v>79</v>
      </c>
    </row>
    <row r="184" spans="1:5">
      <c r="A184" t="s">
        <v>1025</v>
      </c>
      <c r="B184" t="s">
        <v>795</v>
      </c>
      <c r="C184" t="s">
        <v>735</v>
      </c>
      <c r="D184" s="71">
        <v>45296</v>
      </c>
      <c r="E184" t="s">
        <v>79</v>
      </c>
    </row>
    <row r="185" spans="1:5">
      <c r="A185" t="s">
        <v>1026</v>
      </c>
      <c r="B185" t="s">
        <v>795</v>
      </c>
      <c r="C185" t="s">
        <v>735</v>
      </c>
      <c r="D185" s="71">
        <v>45297</v>
      </c>
      <c r="E185" t="s">
        <v>79</v>
      </c>
    </row>
    <row r="186" spans="1:5">
      <c r="A186" t="s">
        <v>1027</v>
      </c>
      <c r="B186" t="s">
        <v>795</v>
      </c>
      <c r="C186" t="s">
        <v>735</v>
      </c>
      <c r="D186" s="71">
        <v>45299</v>
      </c>
      <c r="E186" t="s">
        <v>80</v>
      </c>
    </row>
    <row r="187" spans="1:5">
      <c r="A187" t="s">
        <v>1028</v>
      </c>
      <c r="B187" t="s">
        <v>795</v>
      </c>
      <c r="C187" t="s">
        <v>735</v>
      </c>
      <c r="D187" s="71">
        <v>45306</v>
      </c>
      <c r="E187" t="s">
        <v>79</v>
      </c>
    </row>
    <row r="188" spans="1:5">
      <c r="A188" t="s">
        <v>1029</v>
      </c>
      <c r="B188" t="s">
        <v>795</v>
      </c>
      <c r="C188" t="s">
        <v>735</v>
      </c>
      <c r="D188" s="71">
        <v>45307</v>
      </c>
      <c r="E188" t="s">
        <v>79</v>
      </c>
    </row>
    <row r="189" spans="1:5">
      <c r="A189" t="s">
        <v>1030</v>
      </c>
      <c r="B189" t="s">
        <v>795</v>
      </c>
      <c r="C189" t="s">
        <v>735</v>
      </c>
      <c r="D189" s="71">
        <v>45308</v>
      </c>
      <c r="E189" t="s">
        <v>81</v>
      </c>
    </row>
    <row r="190" spans="1:5">
      <c r="A190" t="s">
        <v>1031</v>
      </c>
      <c r="B190" t="s">
        <v>795</v>
      </c>
      <c r="C190" t="s">
        <v>735</v>
      </c>
      <c r="D190" s="71">
        <v>45311</v>
      </c>
      <c r="E190" t="s">
        <v>80</v>
      </c>
    </row>
    <row r="191" spans="1:5">
      <c r="A191" t="s">
        <v>1032</v>
      </c>
      <c r="B191" t="s">
        <v>795</v>
      </c>
      <c r="C191" t="s">
        <v>735</v>
      </c>
      <c r="D191" s="71">
        <v>45317</v>
      </c>
      <c r="E191" t="s">
        <v>79</v>
      </c>
    </row>
    <row r="192" spans="1:5">
      <c r="A192" t="s">
        <v>1033</v>
      </c>
      <c r="B192" t="s">
        <v>795</v>
      </c>
      <c r="C192" t="s">
        <v>735</v>
      </c>
      <c r="D192" s="71">
        <v>45318</v>
      </c>
      <c r="E192" t="s">
        <v>79</v>
      </c>
    </row>
    <row r="193" spans="1:5">
      <c r="A193" t="s">
        <v>1034</v>
      </c>
      <c r="B193" t="s">
        <v>795</v>
      </c>
      <c r="C193" t="s">
        <v>735</v>
      </c>
      <c r="D193" s="71">
        <v>45322</v>
      </c>
      <c r="E193" t="s">
        <v>80</v>
      </c>
    </row>
    <row r="194" spans="1:5">
      <c r="A194" t="s">
        <v>1035</v>
      </c>
      <c r="B194" t="s">
        <v>797</v>
      </c>
      <c r="C194" t="s">
        <v>734</v>
      </c>
      <c r="D194" s="71">
        <v>45294</v>
      </c>
      <c r="E194" t="s">
        <v>14</v>
      </c>
    </row>
    <row r="195" spans="1:5">
      <c r="A195" t="s">
        <v>1036</v>
      </c>
      <c r="B195" t="s">
        <v>797</v>
      </c>
      <c r="C195" t="s">
        <v>734</v>
      </c>
      <c r="D195" s="71">
        <v>45295</v>
      </c>
      <c r="E195" t="s">
        <v>14</v>
      </c>
    </row>
    <row r="196" spans="1:5">
      <c r="A196" t="s">
        <v>1037</v>
      </c>
      <c r="B196" t="s">
        <v>797</v>
      </c>
      <c r="C196" t="s">
        <v>734</v>
      </c>
      <c r="D196" s="71">
        <v>45296</v>
      </c>
      <c r="E196" t="s">
        <v>14</v>
      </c>
    </row>
    <row r="197" spans="1:5">
      <c r="A197" t="s">
        <v>1038</v>
      </c>
      <c r="B197" t="s">
        <v>797</v>
      </c>
      <c r="C197" t="s">
        <v>734</v>
      </c>
      <c r="D197" s="71">
        <v>45297</v>
      </c>
      <c r="E197" t="s">
        <v>14</v>
      </c>
    </row>
    <row r="198" spans="1:5">
      <c r="A198" t="s">
        <v>1039</v>
      </c>
      <c r="B198" t="s">
        <v>797</v>
      </c>
      <c r="C198" t="s">
        <v>734</v>
      </c>
      <c r="D198" s="71">
        <v>45299</v>
      </c>
      <c r="E198" t="s">
        <v>14</v>
      </c>
    </row>
    <row r="199" spans="1:5">
      <c r="A199" t="s">
        <v>1040</v>
      </c>
      <c r="B199" t="s">
        <v>797</v>
      </c>
      <c r="C199" t="s">
        <v>734</v>
      </c>
      <c r="D199" s="71">
        <v>45300</v>
      </c>
      <c r="E199" t="s">
        <v>14</v>
      </c>
    </row>
    <row r="200" spans="1:5">
      <c r="A200" t="s">
        <v>1041</v>
      </c>
      <c r="B200" t="s">
        <v>797</v>
      </c>
      <c r="C200" t="s">
        <v>734</v>
      </c>
      <c r="D200" s="71">
        <v>45301</v>
      </c>
      <c r="E200" t="s">
        <v>14</v>
      </c>
    </row>
    <row r="201" spans="1:5">
      <c r="A201" t="s">
        <v>1042</v>
      </c>
      <c r="B201" t="s">
        <v>797</v>
      </c>
      <c r="C201" t="s">
        <v>734</v>
      </c>
      <c r="D201" s="71">
        <v>45302</v>
      </c>
      <c r="E201" t="s">
        <v>14</v>
      </c>
    </row>
    <row r="202" spans="1:5">
      <c r="A202" t="s">
        <v>1043</v>
      </c>
      <c r="B202" t="s">
        <v>797</v>
      </c>
      <c r="C202" t="s">
        <v>734</v>
      </c>
      <c r="D202" s="71">
        <v>45303</v>
      </c>
      <c r="E202" t="s">
        <v>14</v>
      </c>
    </row>
    <row r="203" spans="1:5">
      <c r="A203" t="s">
        <v>1044</v>
      </c>
      <c r="B203" t="s">
        <v>797</v>
      </c>
      <c r="C203" t="s">
        <v>734</v>
      </c>
      <c r="D203" s="71">
        <v>45304</v>
      </c>
      <c r="E203" t="s">
        <v>14</v>
      </c>
    </row>
    <row r="204" spans="1:5">
      <c r="A204" t="s">
        <v>1045</v>
      </c>
      <c r="B204" t="s">
        <v>797</v>
      </c>
      <c r="C204" t="s">
        <v>734</v>
      </c>
      <c r="D204" s="71">
        <v>45306</v>
      </c>
      <c r="E204" t="s">
        <v>79</v>
      </c>
    </row>
    <row r="205" spans="1:5">
      <c r="A205" t="s">
        <v>1046</v>
      </c>
      <c r="B205" t="s">
        <v>797</v>
      </c>
      <c r="C205" t="s">
        <v>734</v>
      </c>
      <c r="D205" s="71">
        <v>45307</v>
      </c>
      <c r="E205" t="s">
        <v>14</v>
      </c>
    </row>
    <row r="206" spans="1:5">
      <c r="A206" t="s">
        <v>1047</v>
      </c>
      <c r="B206" t="s">
        <v>797</v>
      </c>
      <c r="C206" t="s">
        <v>734</v>
      </c>
      <c r="D206" s="71">
        <v>45308</v>
      </c>
      <c r="E206" t="s">
        <v>14</v>
      </c>
    </row>
    <row r="207" spans="1:5">
      <c r="A207" t="s">
        <v>1048</v>
      </c>
      <c r="B207" t="s">
        <v>797</v>
      </c>
      <c r="C207" t="s">
        <v>734</v>
      </c>
      <c r="D207" s="71">
        <v>45309</v>
      </c>
      <c r="E207" t="s">
        <v>14</v>
      </c>
    </row>
    <row r="208" spans="1:5">
      <c r="A208" t="s">
        <v>1049</v>
      </c>
      <c r="B208" t="s">
        <v>797</v>
      </c>
      <c r="C208" t="s">
        <v>734</v>
      </c>
      <c r="D208" s="71">
        <v>45310</v>
      </c>
      <c r="E208" t="s">
        <v>14</v>
      </c>
    </row>
    <row r="209" spans="1:5">
      <c r="A209" t="s">
        <v>1050</v>
      </c>
      <c r="B209" t="s">
        <v>797</v>
      </c>
      <c r="C209" t="s">
        <v>734</v>
      </c>
      <c r="D209" s="71">
        <v>45311</v>
      </c>
      <c r="E209" t="s">
        <v>14</v>
      </c>
    </row>
    <row r="210" spans="1:5">
      <c r="A210" t="s">
        <v>1051</v>
      </c>
      <c r="B210" t="s">
        <v>797</v>
      </c>
      <c r="C210" t="s">
        <v>734</v>
      </c>
      <c r="D210" s="71">
        <v>45313</v>
      </c>
      <c r="E210" t="s">
        <v>79</v>
      </c>
    </row>
    <row r="211" spans="1:5">
      <c r="A211" t="s">
        <v>1052</v>
      </c>
      <c r="B211" t="s">
        <v>797</v>
      </c>
      <c r="C211" t="s">
        <v>734</v>
      </c>
      <c r="D211" s="71">
        <v>45314</v>
      </c>
      <c r="E211" t="s">
        <v>14</v>
      </c>
    </row>
    <row r="212" spans="1:5">
      <c r="A212" t="s">
        <v>1053</v>
      </c>
      <c r="B212" t="s">
        <v>797</v>
      </c>
      <c r="C212" t="s">
        <v>734</v>
      </c>
      <c r="D212" s="71">
        <v>45315</v>
      </c>
      <c r="E212" t="s">
        <v>14</v>
      </c>
    </row>
    <row r="213" spans="1:5">
      <c r="A213" t="s">
        <v>1054</v>
      </c>
      <c r="B213" t="s">
        <v>797</v>
      </c>
      <c r="C213" t="s">
        <v>734</v>
      </c>
      <c r="D213" s="71">
        <v>45316</v>
      </c>
      <c r="E213" t="s">
        <v>14</v>
      </c>
    </row>
    <row r="214" spans="1:5">
      <c r="A214" t="s">
        <v>1055</v>
      </c>
      <c r="B214" t="s">
        <v>797</v>
      </c>
      <c r="C214" t="s">
        <v>734</v>
      </c>
      <c r="D214" s="71">
        <v>45317</v>
      </c>
      <c r="E214" t="s">
        <v>79</v>
      </c>
    </row>
    <row r="215" spans="1:5">
      <c r="A215" t="s">
        <v>1056</v>
      </c>
      <c r="B215" t="s">
        <v>797</v>
      </c>
      <c r="C215" t="s">
        <v>734</v>
      </c>
      <c r="D215" s="71">
        <v>45318</v>
      </c>
      <c r="E215" t="s">
        <v>14</v>
      </c>
    </row>
    <row r="216" spans="1:5">
      <c r="A216" t="s">
        <v>1057</v>
      </c>
      <c r="B216" t="s">
        <v>797</v>
      </c>
      <c r="C216" t="s">
        <v>734</v>
      </c>
      <c r="D216" s="71">
        <v>45320</v>
      </c>
      <c r="E216" t="s">
        <v>14</v>
      </c>
    </row>
    <row r="217" spans="1:5">
      <c r="A217" t="s">
        <v>1058</v>
      </c>
      <c r="B217" t="s">
        <v>797</v>
      </c>
      <c r="C217" t="s">
        <v>734</v>
      </c>
      <c r="D217" s="71">
        <v>45321</v>
      </c>
      <c r="E217" t="s">
        <v>14</v>
      </c>
    </row>
    <row r="218" spans="1:5">
      <c r="A218" t="s">
        <v>1059</v>
      </c>
      <c r="B218" t="s">
        <v>797</v>
      </c>
      <c r="C218" t="s">
        <v>734</v>
      </c>
      <c r="D218" s="71">
        <v>45322</v>
      </c>
      <c r="E218" t="s">
        <v>14</v>
      </c>
    </row>
    <row r="219" spans="1:5">
      <c r="A219" t="s">
        <v>1060</v>
      </c>
      <c r="B219" t="s">
        <v>773</v>
      </c>
      <c r="C219" t="s">
        <v>733</v>
      </c>
      <c r="D219" s="71">
        <v>45292</v>
      </c>
      <c r="E219" t="s">
        <v>79</v>
      </c>
    </row>
    <row r="220" spans="1:5">
      <c r="A220" t="s">
        <v>1061</v>
      </c>
      <c r="B220" t="s">
        <v>773</v>
      </c>
      <c r="C220" t="s">
        <v>733</v>
      </c>
      <c r="D220" s="71">
        <v>45293</v>
      </c>
      <c r="E220" t="s">
        <v>14</v>
      </c>
    </row>
    <row r="221" spans="1:5">
      <c r="A221" t="s">
        <v>1062</v>
      </c>
      <c r="B221" t="s">
        <v>773</v>
      </c>
      <c r="C221" t="s">
        <v>733</v>
      </c>
      <c r="D221" s="71">
        <v>45296</v>
      </c>
      <c r="E221" t="s">
        <v>14</v>
      </c>
    </row>
    <row r="222" spans="1:5">
      <c r="A222" t="s">
        <v>1063</v>
      </c>
      <c r="B222" t="s">
        <v>773</v>
      </c>
      <c r="C222" t="s">
        <v>733</v>
      </c>
      <c r="D222" s="71">
        <v>45299</v>
      </c>
      <c r="E222" t="s">
        <v>79</v>
      </c>
    </row>
    <row r="223" spans="1:5">
      <c r="A223" t="s">
        <v>1064</v>
      </c>
      <c r="B223" t="s">
        <v>773</v>
      </c>
      <c r="C223" t="s">
        <v>733</v>
      </c>
      <c r="D223" s="71">
        <v>45300</v>
      </c>
      <c r="E223" t="s">
        <v>80</v>
      </c>
    </row>
    <row r="224" spans="1:5">
      <c r="A224" t="s">
        <v>1065</v>
      </c>
      <c r="B224" t="s">
        <v>773</v>
      </c>
      <c r="C224" t="s">
        <v>733</v>
      </c>
      <c r="D224" s="71">
        <v>45301</v>
      </c>
      <c r="E224" t="s">
        <v>14</v>
      </c>
    </row>
    <row r="225" spans="1:5">
      <c r="A225" t="s">
        <v>1066</v>
      </c>
      <c r="B225" t="s">
        <v>773</v>
      </c>
      <c r="C225" t="s">
        <v>733</v>
      </c>
      <c r="D225" s="71">
        <v>45306</v>
      </c>
      <c r="E225" t="s">
        <v>79</v>
      </c>
    </row>
    <row r="226" spans="1:5">
      <c r="A226" t="s">
        <v>1067</v>
      </c>
      <c r="B226" t="s">
        <v>773</v>
      </c>
      <c r="C226" t="s">
        <v>733</v>
      </c>
      <c r="D226" s="71">
        <v>45313</v>
      </c>
      <c r="E226" t="s">
        <v>79</v>
      </c>
    </row>
    <row r="227" spans="1:5">
      <c r="A227" t="s">
        <v>1068</v>
      </c>
      <c r="B227" t="s">
        <v>773</v>
      </c>
      <c r="C227" t="s">
        <v>733</v>
      </c>
      <c r="D227" s="71">
        <v>45317</v>
      </c>
      <c r="E227" t="s">
        <v>79</v>
      </c>
    </row>
    <row r="228" spans="1:5">
      <c r="A228" t="s">
        <v>1069</v>
      </c>
      <c r="B228" t="s">
        <v>773</v>
      </c>
      <c r="C228" t="s">
        <v>733</v>
      </c>
      <c r="D228" s="71">
        <v>45318</v>
      </c>
      <c r="E228" t="s">
        <v>14</v>
      </c>
    </row>
    <row r="229" spans="1:5">
      <c r="A229" t="s">
        <v>1070</v>
      </c>
      <c r="B229" t="s">
        <v>773</v>
      </c>
      <c r="C229" t="s">
        <v>733</v>
      </c>
      <c r="D229" s="71">
        <v>45322</v>
      </c>
      <c r="E229" t="s">
        <v>80</v>
      </c>
    </row>
    <row r="230" spans="1:5">
      <c r="A230" t="s">
        <v>1071</v>
      </c>
      <c r="B230" t="s">
        <v>766</v>
      </c>
      <c r="C230" t="s">
        <v>732</v>
      </c>
      <c r="D230" s="71">
        <v>45292</v>
      </c>
      <c r="E230" t="s">
        <v>14</v>
      </c>
    </row>
    <row r="231" spans="1:5">
      <c r="A231" t="s">
        <v>1072</v>
      </c>
      <c r="B231" t="s">
        <v>766</v>
      </c>
      <c r="C231" t="s">
        <v>732</v>
      </c>
      <c r="D231" s="71">
        <v>45293</v>
      </c>
      <c r="E231" t="s">
        <v>14</v>
      </c>
    </row>
    <row r="232" spans="1:5">
      <c r="A232" t="s">
        <v>1073</v>
      </c>
      <c r="B232" t="s">
        <v>766</v>
      </c>
      <c r="C232" t="s">
        <v>732</v>
      </c>
      <c r="D232" s="71">
        <v>45296</v>
      </c>
      <c r="E232" t="s">
        <v>14</v>
      </c>
    </row>
    <row r="233" spans="1:5">
      <c r="A233" t="s">
        <v>1074</v>
      </c>
      <c r="B233" t="s">
        <v>766</v>
      </c>
      <c r="C233" t="s">
        <v>732</v>
      </c>
      <c r="D233" s="71">
        <v>45300</v>
      </c>
      <c r="E233" t="s">
        <v>14</v>
      </c>
    </row>
    <row r="234" spans="1:5">
      <c r="A234" t="s">
        <v>1075</v>
      </c>
      <c r="B234" t="s">
        <v>766</v>
      </c>
      <c r="C234" t="s">
        <v>732</v>
      </c>
      <c r="D234" s="71">
        <v>45301</v>
      </c>
      <c r="E234" t="s">
        <v>79</v>
      </c>
    </row>
    <row r="235" spans="1:5">
      <c r="A235" t="s">
        <v>1076</v>
      </c>
      <c r="B235" t="s">
        <v>766</v>
      </c>
      <c r="C235" t="s">
        <v>732</v>
      </c>
      <c r="D235" s="71">
        <v>45306</v>
      </c>
      <c r="E235" t="s">
        <v>79</v>
      </c>
    </row>
    <row r="236" spans="1:5">
      <c r="A236" t="s">
        <v>1077</v>
      </c>
      <c r="B236" t="s">
        <v>766</v>
      </c>
      <c r="C236" t="s">
        <v>732</v>
      </c>
      <c r="D236" s="71">
        <v>45309</v>
      </c>
      <c r="E236" t="s">
        <v>79</v>
      </c>
    </row>
    <row r="237" spans="1:5">
      <c r="A237" t="s">
        <v>1078</v>
      </c>
      <c r="B237" t="s">
        <v>766</v>
      </c>
      <c r="C237" t="s">
        <v>732</v>
      </c>
      <c r="D237" s="71">
        <v>45310</v>
      </c>
      <c r="E237" t="s">
        <v>79</v>
      </c>
    </row>
    <row r="238" spans="1:5">
      <c r="A238" t="s">
        <v>1079</v>
      </c>
      <c r="B238" t="s">
        <v>766</v>
      </c>
      <c r="C238" t="s">
        <v>732</v>
      </c>
      <c r="D238" s="71">
        <v>45311</v>
      </c>
      <c r="E238" t="s">
        <v>79</v>
      </c>
    </row>
    <row r="239" spans="1:5">
      <c r="A239" t="s">
        <v>1080</v>
      </c>
      <c r="B239" t="s">
        <v>766</v>
      </c>
      <c r="C239" t="s">
        <v>732</v>
      </c>
      <c r="D239" s="71">
        <v>45313</v>
      </c>
      <c r="E239" t="s">
        <v>79</v>
      </c>
    </row>
    <row r="240" spans="1:5">
      <c r="A240" t="s">
        <v>1081</v>
      </c>
      <c r="B240" t="s">
        <v>766</v>
      </c>
      <c r="C240" t="s">
        <v>732</v>
      </c>
      <c r="D240" s="71">
        <v>45314</v>
      </c>
      <c r="E240" t="s">
        <v>79</v>
      </c>
    </row>
    <row r="241" spans="1:5">
      <c r="A241" t="s">
        <v>1082</v>
      </c>
      <c r="B241" t="s">
        <v>766</v>
      </c>
      <c r="C241" t="s">
        <v>732</v>
      </c>
      <c r="D241" s="71">
        <v>45315</v>
      </c>
      <c r="E241" t="s">
        <v>79</v>
      </c>
    </row>
    <row r="242" spans="1:5">
      <c r="A242" t="s">
        <v>1083</v>
      </c>
      <c r="B242" t="s">
        <v>766</v>
      </c>
      <c r="C242" t="s">
        <v>732</v>
      </c>
      <c r="D242" s="71">
        <v>45316</v>
      </c>
      <c r="E242" t="s">
        <v>79</v>
      </c>
    </row>
    <row r="243" spans="1:5">
      <c r="A243" t="s">
        <v>1084</v>
      </c>
      <c r="B243" t="s">
        <v>766</v>
      </c>
      <c r="C243" t="s">
        <v>732</v>
      </c>
      <c r="D243" s="71">
        <v>45317</v>
      </c>
      <c r="E243" t="s">
        <v>79</v>
      </c>
    </row>
    <row r="244" spans="1:5">
      <c r="A244" t="s">
        <v>1085</v>
      </c>
      <c r="B244" t="s">
        <v>766</v>
      </c>
      <c r="C244" t="s">
        <v>732</v>
      </c>
      <c r="D244" s="71">
        <v>45318</v>
      </c>
      <c r="E244" t="s">
        <v>14</v>
      </c>
    </row>
    <row r="245" spans="1:5">
      <c r="A245" t="s">
        <v>1086</v>
      </c>
      <c r="B245" t="s">
        <v>766</v>
      </c>
      <c r="C245" t="s">
        <v>732</v>
      </c>
      <c r="D245" s="71">
        <v>45320</v>
      </c>
      <c r="E245" t="s">
        <v>79</v>
      </c>
    </row>
    <row r="246" spans="1:5">
      <c r="A246" t="s">
        <v>1087</v>
      </c>
      <c r="B246" t="s">
        <v>766</v>
      </c>
      <c r="C246" t="s">
        <v>732</v>
      </c>
      <c r="D246" s="71">
        <v>45321</v>
      </c>
      <c r="E246" t="s">
        <v>79</v>
      </c>
    </row>
    <row r="247" spans="1:5">
      <c r="A247" t="s">
        <v>1088</v>
      </c>
      <c r="B247" t="s">
        <v>766</v>
      </c>
      <c r="C247" t="s">
        <v>732</v>
      </c>
      <c r="D247" s="71">
        <v>45322</v>
      </c>
      <c r="E247" t="s">
        <v>79</v>
      </c>
    </row>
    <row r="248" spans="1:5">
      <c r="A248" t="s">
        <v>1089</v>
      </c>
      <c r="B248" t="s">
        <v>742</v>
      </c>
      <c r="C248" t="s">
        <v>731</v>
      </c>
      <c r="D248" s="71">
        <v>45292</v>
      </c>
      <c r="E248" t="s">
        <v>79</v>
      </c>
    </row>
    <row r="249" spans="1:5">
      <c r="A249" t="s">
        <v>1090</v>
      </c>
      <c r="B249" t="s">
        <v>742</v>
      </c>
      <c r="C249" t="s">
        <v>731</v>
      </c>
      <c r="D249" s="71">
        <v>45293</v>
      </c>
      <c r="E249" t="s">
        <v>14</v>
      </c>
    </row>
    <row r="250" spans="1:5">
      <c r="A250" t="s">
        <v>1091</v>
      </c>
      <c r="B250" t="s">
        <v>742</v>
      </c>
      <c r="C250" t="s">
        <v>731</v>
      </c>
      <c r="D250" s="71">
        <v>45296</v>
      </c>
      <c r="E250" t="s">
        <v>80</v>
      </c>
    </row>
    <row r="251" spans="1:5">
      <c r="A251" t="s">
        <v>1092</v>
      </c>
      <c r="B251" t="s">
        <v>742</v>
      </c>
      <c r="C251" t="s">
        <v>731</v>
      </c>
      <c r="D251" s="71">
        <v>45301</v>
      </c>
      <c r="E251" t="s">
        <v>14</v>
      </c>
    </row>
    <row r="252" spans="1:5">
      <c r="A252" t="s">
        <v>1093</v>
      </c>
      <c r="B252" t="s">
        <v>742</v>
      </c>
      <c r="C252" t="s">
        <v>731</v>
      </c>
      <c r="D252" s="71">
        <v>45306</v>
      </c>
      <c r="E252" t="s">
        <v>79</v>
      </c>
    </row>
    <row r="253" spans="1:5">
      <c r="A253" t="s">
        <v>1094</v>
      </c>
      <c r="B253" t="s">
        <v>742</v>
      </c>
      <c r="C253" t="s">
        <v>731</v>
      </c>
      <c r="D253" s="71">
        <v>45311</v>
      </c>
      <c r="E253" t="s">
        <v>80</v>
      </c>
    </row>
    <row r="254" spans="1:5">
      <c r="A254" t="s">
        <v>1095</v>
      </c>
      <c r="B254" t="s">
        <v>742</v>
      </c>
      <c r="C254" t="s">
        <v>731</v>
      </c>
      <c r="D254" s="71">
        <v>45317</v>
      </c>
      <c r="E254" t="s">
        <v>79</v>
      </c>
    </row>
    <row r="255" spans="1:5">
      <c r="A255" t="s">
        <v>1096</v>
      </c>
      <c r="B255" t="s">
        <v>742</v>
      </c>
      <c r="C255" t="s">
        <v>731</v>
      </c>
      <c r="D255" s="71">
        <v>45318</v>
      </c>
      <c r="E255" t="s">
        <v>14</v>
      </c>
    </row>
    <row r="256" spans="1:5">
      <c r="A256" t="s">
        <v>1097</v>
      </c>
      <c r="B256" t="s">
        <v>742</v>
      </c>
      <c r="C256" t="s">
        <v>731</v>
      </c>
      <c r="D256" s="71">
        <v>45322</v>
      </c>
      <c r="E256" t="s">
        <v>80</v>
      </c>
    </row>
    <row r="257" spans="1:5">
      <c r="A257" t="s">
        <v>1098</v>
      </c>
      <c r="B257" t="s">
        <v>726</v>
      </c>
      <c r="C257" t="s">
        <v>728</v>
      </c>
      <c r="D257" s="71">
        <v>45292</v>
      </c>
      <c r="E257" t="s">
        <v>79</v>
      </c>
    </row>
    <row r="258" spans="1:5">
      <c r="A258" t="s">
        <v>1099</v>
      </c>
      <c r="B258" t="s">
        <v>726</v>
      </c>
      <c r="C258" t="s">
        <v>728</v>
      </c>
      <c r="D258" s="71">
        <v>45293</v>
      </c>
      <c r="E258" t="s">
        <v>14</v>
      </c>
    </row>
    <row r="259" spans="1:5">
      <c r="A259" t="s">
        <v>1100</v>
      </c>
      <c r="B259" t="s">
        <v>726</v>
      </c>
      <c r="C259" t="s">
        <v>728</v>
      </c>
      <c r="D259" s="71">
        <v>45294</v>
      </c>
      <c r="E259" t="s">
        <v>14</v>
      </c>
    </row>
    <row r="260" spans="1:5">
      <c r="A260" t="s">
        <v>1101</v>
      </c>
      <c r="B260" t="s">
        <v>726</v>
      </c>
      <c r="C260" t="s">
        <v>728</v>
      </c>
      <c r="D260" s="71">
        <v>45295</v>
      </c>
      <c r="E260" t="s">
        <v>14</v>
      </c>
    </row>
    <row r="261" spans="1:5">
      <c r="A261" t="s">
        <v>1102</v>
      </c>
      <c r="B261" t="s">
        <v>726</v>
      </c>
      <c r="C261" t="s">
        <v>728</v>
      </c>
      <c r="D261" s="71">
        <v>45296</v>
      </c>
      <c r="E261" t="s">
        <v>14</v>
      </c>
    </row>
    <row r="262" spans="1:5">
      <c r="A262" t="s">
        <v>1103</v>
      </c>
      <c r="B262" t="s">
        <v>726</v>
      </c>
      <c r="C262" t="s">
        <v>728</v>
      </c>
      <c r="D262" s="71">
        <v>45297</v>
      </c>
      <c r="E262" t="s">
        <v>14</v>
      </c>
    </row>
    <row r="263" spans="1:5">
      <c r="A263" t="s">
        <v>1104</v>
      </c>
      <c r="B263" t="s">
        <v>726</v>
      </c>
      <c r="C263" t="s">
        <v>728</v>
      </c>
      <c r="D263" s="71">
        <v>45299</v>
      </c>
      <c r="E263" t="s">
        <v>14</v>
      </c>
    </row>
    <row r="264" spans="1:5">
      <c r="A264" t="s">
        <v>1105</v>
      </c>
      <c r="B264" t="s">
        <v>726</v>
      </c>
      <c r="C264" t="s">
        <v>728</v>
      </c>
      <c r="D264" s="71">
        <v>45300</v>
      </c>
      <c r="E264" t="s">
        <v>14</v>
      </c>
    </row>
    <row r="265" spans="1:5">
      <c r="A265" t="s">
        <v>1106</v>
      </c>
      <c r="B265" t="s">
        <v>726</v>
      </c>
      <c r="C265" t="s">
        <v>728</v>
      </c>
      <c r="D265" s="71">
        <v>45301</v>
      </c>
      <c r="E265" t="s">
        <v>14</v>
      </c>
    </row>
    <row r="266" spans="1:5">
      <c r="A266" t="s">
        <v>1107</v>
      </c>
      <c r="B266" t="s">
        <v>726</v>
      </c>
      <c r="C266" t="s">
        <v>728</v>
      </c>
      <c r="D266" s="71">
        <v>45302</v>
      </c>
      <c r="E266" t="s">
        <v>79</v>
      </c>
    </row>
    <row r="267" spans="1:5">
      <c r="A267" t="s">
        <v>1108</v>
      </c>
      <c r="B267" t="s">
        <v>726</v>
      </c>
      <c r="C267" t="s">
        <v>728</v>
      </c>
      <c r="D267" s="71">
        <v>45303</v>
      </c>
      <c r="E267" t="s">
        <v>14</v>
      </c>
    </row>
    <row r="268" spans="1:5">
      <c r="A268" t="s">
        <v>1109</v>
      </c>
      <c r="B268" t="s">
        <v>726</v>
      </c>
      <c r="C268" t="s">
        <v>728</v>
      </c>
      <c r="D268" s="71">
        <v>45304</v>
      </c>
      <c r="E268" t="s">
        <v>79</v>
      </c>
    </row>
    <row r="269" spans="1:5">
      <c r="A269" t="s">
        <v>1110</v>
      </c>
      <c r="B269" t="s">
        <v>726</v>
      </c>
      <c r="C269" t="s">
        <v>728</v>
      </c>
      <c r="D269" s="71">
        <v>45306</v>
      </c>
      <c r="E269" t="s">
        <v>79</v>
      </c>
    </row>
    <row r="270" spans="1:5">
      <c r="A270" t="s">
        <v>1111</v>
      </c>
      <c r="B270" t="s">
        <v>726</v>
      </c>
      <c r="C270" t="s">
        <v>728</v>
      </c>
      <c r="D270" s="71">
        <v>45307</v>
      </c>
      <c r="E270" t="s">
        <v>14</v>
      </c>
    </row>
    <row r="271" spans="1:5">
      <c r="A271" t="s">
        <v>1112</v>
      </c>
      <c r="B271" t="s">
        <v>726</v>
      </c>
      <c r="C271" t="s">
        <v>728</v>
      </c>
      <c r="D271" s="71">
        <v>45308</v>
      </c>
      <c r="E271" t="s">
        <v>14</v>
      </c>
    </row>
    <row r="272" spans="1:5">
      <c r="A272" t="s">
        <v>1113</v>
      </c>
      <c r="B272" t="s">
        <v>726</v>
      </c>
      <c r="C272" t="s">
        <v>728</v>
      </c>
      <c r="D272" s="71">
        <v>45309</v>
      </c>
      <c r="E272" t="s">
        <v>79</v>
      </c>
    </row>
    <row r="273" spans="1:5">
      <c r="A273" t="s">
        <v>1114</v>
      </c>
      <c r="B273" t="s">
        <v>726</v>
      </c>
      <c r="C273" t="s">
        <v>728</v>
      </c>
      <c r="D273" s="71">
        <v>45310</v>
      </c>
      <c r="E273" t="s">
        <v>14</v>
      </c>
    </row>
    <row r="274" spans="1:5">
      <c r="A274" t="s">
        <v>1115</v>
      </c>
      <c r="B274" t="s">
        <v>726</v>
      </c>
      <c r="C274" t="s">
        <v>728</v>
      </c>
      <c r="D274" s="71">
        <v>45311</v>
      </c>
      <c r="E274" t="s">
        <v>14</v>
      </c>
    </row>
    <row r="275" spans="1:5">
      <c r="A275" t="s">
        <v>1116</v>
      </c>
      <c r="B275" t="s">
        <v>726</v>
      </c>
      <c r="C275" t="s">
        <v>728</v>
      </c>
      <c r="D275" s="71">
        <v>45313</v>
      </c>
      <c r="E275" t="s">
        <v>14</v>
      </c>
    </row>
    <row r="276" spans="1:5">
      <c r="A276" t="s">
        <v>1117</v>
      </c>
      <c r="B276" t="s">
        <v>726</v>
      </c>
      <c r="C276" t="s">
        <v>728</v>
      </c>
      <c r="D276" s="71">
        <v>45314</v>
      </c>
      <c r="E276" t="s">
        <v>14</v>
      </c>
    </row>
    <row r="277" spans="1:5">
      <c r="A277" t="s">
        <v>1118</v>
      </c>
      <c r="B277" t="s">
        <v>726</v>
      </c>
      <c r="C277" t="s">
        <v>728</v>
      </c>
      <c r="D277" s="71">
        <v>45315</v>
      </c>
      <c r="E277" t="s">
        <v>79</v>
      </c>
    </row>
    <row r="278" spans="1:5">
      <c r="A278" t="s">
        <v>1119</v>
      </c>
      <c r="B278" t="s">
        <v>726</v>
      </c>
      <c r="C278" t="s">
        <v>728</v>
      </c>
      <c r="D278" s="71">
        <v>45316</v>
      </c>
      <c r="E278" t="s">
        <v>79</v>
      </c>
    </row>
    <row r="279" spans="1:5">
      <c r="A279" t="s">
        <v>1120</v>
      </c>
      <c r="B279" t="s">
        <v>726</v>
      </c>
      <c r="C279" t="s">
        <v>728</v>
      </c>
      <c r="D279" s="71">
        <v>45317</v>
      </c>
      <c r="E279" t="s">
        <v>79</v>
      </c>
    </row>
    <row r="280" spans="1:5">
      <c r="A280" t="s">
        <v>1121</v>
      </c>
      <c r="B280" t="s">
        <v>726</v>
      </c>
      <c r="C280" t="s">
        <v>728</v>
      </c>
      <c r="D280" s="71">
        <v>45318</v>
      </c>
      <c r="E280" t="s">
        <v>79</v>
      </c>
    </row>
    <row r="281" spans="1:5">
      <c r="A281" t="s">
        <v>1122</v>
      </c>
      <c r="B281" t="s">
        <v>726</v>
      </c>
      <c r="C281" t="s">
        <v>728</v>
      </c>
      <c r="D281" s="71">
        <v>45320</v>
      </c>
      <c r="E281" t="s">
        <v>79</v>
      </c>
    </row>
    <row r="282" spans="1:5">
      <c r="A282" t="s">
        <v>1123</v>
      </c>
      <c r="B282" t="s">
        <v>726</v>
      </c>
      <c r="C282" t="s">
        <v>728</v>
      </c>
      <c r="D282" s="71">
        <v>45321</v>
      </c>
      <c r="E282" t="s">
        <v>79</v>
      </c>
    </row>
    <row r="283" spans="1:5">
      <c r="A283" t="s">
        <v>1124</v>
      </c>
      <c r="B283" t="s">
        <v>726</v>
      </c>
      <c r="C283" t="s">
        <v>728</v>
      </c>
      <c r="D283" s="71">
        <v>45322</v>
      </c>
      <c r="E283" t="s">
        <v>79</v>
      </c>
    </row>
    <row r="284" spans="1:5">
      <c r="A284" t="s">
        <v>1110</v>
      </c>
      <c r="B284" t="s">
        <v>726</v>
      </c>
      <c r="C284" t="s">
        <v>727</v>
      </c>
      <c r="D284" s="71">
        <v>45306</v>
      </c>
      <c r="E284" t="s">
        <v>79</v>
      </c>
    </row>
    <row r="285" spans="1:5">
      <c r="A285" t="s">
        <v>1111</v>
      </c>
      <c r="B285" t="s">
        <v>726</v>
      </c>
      <c r="C285" t="s">
        <v>727</v>
      </c>
      <c r="D285" s="71">
        <v>45307</v>
      </c>
      <c r="E285" t="s">
        <v>14</v>
      </c>
    </row>
    <row r="286" spans="1:5">
      <c r="A286" t="s">
        <v>1113</v>
      </c>
      <c r="B286" t="s">
        <v>726</v>
      </c>
      <c r="C286" t="s">
        <v>727</v>
      </c>
      <c r="D286" s="71">
        <v>45309</v>
      </c>
      <c r="E286" t="s">
        <v>14</v>
      </c>
    </row>
    <row r="287" spans="1:5">
      <c r="A287" t="s">
        <v>1116</v>
      </c>
      <c r="B287" t="s">
        <v>726</v>
      </c>
      <c r="C287" t="s">
        <v>727</v>
      </c>
      <c r="D287" s="71">
        <v>45313</v>
      </c>
      <c r="E287" t="s">
        <v>80</v>
      </c>
    </row>
    <row r="288" spans="1:5">
      <c r="A288" t="s">
        <v>1119</v>
      </c>
      <c r="B288" t="s">
        <v>726</v>
      </c>
      <c r="C288" t="s">
        <v>727</v>
      </c>
      <c r="D288" s="71">
        <v>45316</v>
      </c>
      <c r="E288" t="s">
        <v>14</v>
      </c>
    </row>
    <row r="289" spans="1:5">
      <c r="A289" t="s">
        <v>1120</v>
      </c>
      <c r="B289" t="s">
        <v>726</v>
      </c>
      <c r="C289" t="s">
        <v>727</v>
      </c>
      <c r="D289" s="71">
        <v>45317</v>
      </c>
      <c r="E289" t="s">
        <v>79</v>
      </c>
    </row>
    <row r="290" spans="1:5">
      <c r="A290" t="s">
        <v>1124</v>
      </c>
      <c r="B290" t="s">
        <v>726</v>
      </c>
      <c r="C290" t="s">
        <v>727</v>
      </c>
      <c r="D290" s="71">
        <v>45322</v>
      </c>
      <c r="E290" t="s">
        <v>80</v>
      </c>
    </row>
    <row r="291" spans="1:5">
      <c r="A291" t="s">
        <v>1089</v>
      </c>
      <c r="B291" t="s">
        <v>742</v>
      </c>
      <c r="C291" t="s">
        <v>743</v>
      </c>
      <c r="D291" s="71">
        <v>45292</v>
      </c>
      <c r="E291" t="s">
        <v>14</v>
      </c>
    </row>
    <row r="292" spans="1:5">
      <c r="A292" t="s">
        <v>1090</v>
      </c>
      <c r="B292" t="s">
        <v>742</v>
      </c>
      <c r="C292" t="s">
        <v>743</v>
      </c>
      <c r="D292" s="71">
        <v>45293</v>
      </c>
      <c r="E292" t="s">
        <v>79</v>
      </c>
    </row>
    <row r="293" spans="1:5">
      <c r="A293" t="s">
        <v>1125</v>
      </c>
      <c r="B293" t="s">
        <v>742</v>
      </c>
      <c r="C293" t="s">
        <v>743</v>
      </c>
      <c r="D293" s="71">
        <v>45294</v>
      </c>
      <c r="E293" t="s">
        <v>79</v>
      </c>
    </row>
    <row r="294" spans="1:5">
      <c r="A294" t="s">
        <v>1126</v>
      </c>
      <c r="B294" t="s">
        <v>742</v>
      </c>
      <c r="C294" t="s">
        <v>743</v>
      </c>
      <c r="D294" s="71">
        <v>45295</v>
      </c>
      <c r="E294" t="s">
        <v>79</v>
      </c>
    </row>
    <row r="295" spans="1:5">
      <c r="A295" t="s">
        <v>1091</v>
      </c>
      <c r="B295" t="s">
        <v>742</v>
      </c>
      <c r="C295" t="s">
        <v>743</v>
      </c>
      <c r="D295" s="71">
        <v>45296</v>
      </c>
      <c r="E295" t="s">
        <v>79</v>
      </c>
    </row>
    <row r="296" spans="1:5">
      <c r="A296" t="s">
        <v>1127</v>
      </c>
      <c r="B296" t="s">
        <v>742</v>
      </c>
      <c r="C296" t="s">
        <v>743</v>
      </c>
      <c r="D296" s="71">
        <v>45299</v>
      </c>
      <c r="E296" t="s">
        <v>79</v>
      </c>
    </row>
    <row r="297" spans="1:5">
      <c r="A297" t="s">
        <v>1128</v>
      </c>
      <c r="B297" t="s">
        <v>742</v>
      </c>
      <c r="C297" t="s">
        <v>743</v>
      </c>
      <c r="D297" s="71">
        <v>45300</v>
      </c>
      <c r="E297" t="s">
        <v>79</v>
      </c>
    </row>
    <row r="298" spans="1:5">
      <c r="A298" t="s">
        <v>1092</v>
      </c>
      <c r="B298" t="s">
        <v>742</v>
      </c>
      <c r="C298" t="s">
        <v>743</v>
      </c>
      <c r="D298" s="71">
        <v>45301</v>
      </c>
      <c r="E298" t="s">
        <v>79</v>
      </c>
    </row>
    <row r="299" spans="1:5">
      <c r="A299" t="s">
        <v>1129</v>
      </c>
      <c r="B299" t="s">
        <v>742</v>
      </c>
      <c r="C299" t="s">
        <v>743</v>
      </c>
      <c r="D299" s="71">
        <v>45302</v>
      </c>
      <c r="E299" t="s">
        <v>79</v>
      </c>
    </row>
    <row r="300" spans="1:5">
      <c r="A300" t="s">
        <v>1130</v>
      </c>
      <c r="B300" t="s">
        <v>742</v>
      </c>
      <c r="C300" t="s">
        <v>743</v>
      </c>
      <c r="D300" s="71">
        <v>45303</v>
      </c>
      <c r="E300" t="s">
        <v>79</v>
      </c>
    </row>
    <row r="301" spans="1:5">
      <c r="A301" t="s">
        <v>1093</v>
      </c>
      <c r="B301" t="s">
        <v>742</v>
      </c>
      <c r="C301" t="s">
        <v>743</v>
      </c>
      <c r="D301" s="71">
        <v>45306</v>
      </c>
      <c r="E301" t="s">
        <v>79</v>
      </c>
    </row>
    <row r="302" spans="1:5">
      <c r="A302" t="s">
        <v>1131</v>
      </c>
      <c r="B302" t="s">
        <v>742</v>
      </c>
      <c r="C302" t="s">
        <v>743</v>
      </c>
      <c r="D302" s="71">
        <v>45307</v>
      </c>
      <c r="E302" t="s">
        <v>79</v>
      </c>
    </row>
    <row r="303" spans="1:5">
      <c r="A303" t="s">
        <v>1132</v>
      </c>
      <c r="B303" t="s">
        <v>742</v>
      </c>
      <c r="C303" t="s">
        <v>743</v>
      </c>
      <c r="D303" s="71">
        <v>45308</v>
      </c>
      <c r="E303" t="s">
        <v>79</v>
      </c>
    </row>
    <row r="304" spans="1:5">
      <c r="A304" t="s">
        <v>1133</v>
      </c>
      <c r="B304" t="s">
        <v>742</v>
      </c>
      <c r="C304" t="s">
        <v>743</v>
      </c>
      <c r="D304" s="71">
        <v>45309</v>
      </c>
      <c r="E304" t="s">
        <v>79</v>
      </c>
    </row>
    <row r="305" spans="1:5">
      <c r="A305" t="s">
        <v>1134</v>
      </c>
      <c r="B305" t="s">
        <v>742</v>
      </c>
      <c r="C305" t="s">
        <v>743</v>
      </c>
      <c r="D305" s="71">
        <v>45310</v>
      </c>
      <c r="E305" t="s">
        <v>79</v>
      </c>
    </row>
    <row r="306" spans="1:5">
      <c r="A306" t="s">
        <v>1135</v>
      </c>
      <c r="B306" t="s">
        <v>742</v>
      </c>
      <c r="C306" t="s">
        <v>743</v>
      </c>
      <c r="D306" s="71">
        <v>45313</v>
      </c>
      <c r="E306" t="s">
        <v>79</v>
      </c>
    </row>
    <row r="307" spans="1:5">
      <c r="A307" t="s">
        <v>1136</v>
      </c>
      <c r="B307" t="s">
        <v>742</v>
      </c>
      <c r="C307" t="s">
        <v>743</v>
      </c>
      <c r="D307" s="71">
        <v>45314</v>
      </c>
      <c r="E307" t="s">
        <v>79</v>
      </c>
    </row>
    <row r="308" spans="1:5">
      <c r="A308" t="s">
        <v>1137</v>
      </c>
      <c r="B308" t="s">
        <v>742</v>
      </c>
      <c r="C308" t="s">
        <v>743</v>
      </c>
      <c r="D308" s="71">
        <v>45315</v>
      </c>
      <c r="E308" t="s">
        <v>79</v>
      </c>
    </row>
    <row r="309" spans="1:5">
      <c r="A309" t="s">
        <v>1138</v>
      </c>
      <c r="B309" t="s">
        <v>742</v>
      </c>
      <c r="C309" t="s">
        <v>743</v>
      </c>
      <c r="D309" s="71">
        <v>45316</v>
      </c>
      <c r="E309" t="s">
        <v>79</v>
      </c>
    </row>
    <row r="310" spans="1:5">
      <c r="A310" t="s">
        <v>1095</v>
      </c>
      <c r="B310" t="s">
        <v>742</v>
      </c>
      <c r="C310" t="s">
        <v>743</v>
      </c>
      <c r="D310" s="71">
        <v>45317</v>
      </c>
      <c r="E310" t="s">
        <v>79</v>
      </c>
    </row>
    <row r="311" spans="1:5">
      <c r="A311" t="s">
        <v>1139</v>
      </c>
      <c r="B311" t="s">
        <v>742</v>
      </c>
      <c r="C311" t="s">
        <v>743</v>
      </c>
      <c r="D311" s="71">
        <v>45320</v>
      </c>
      <c r="E311" t="s">
        <v>79</v>
      </c>
    </row>
    <row r="312" spans="1:5">
      <c r="A312" t="s">
        <v>1140</v>
      </c>
      <c r="B312" t="s">
        <v>742</v>
      </c>
      <c r="C312" t="s">
        <v>743</v>
      </c>
      <c r="D312" s="71">
        <v>45321</v>
      </c>
      <c r="E312" t="s">
        <v>79</v>
      </c>
    </row>
    <row r="313" spans="1:5">
      <c r="A313" t="s">
        <v>1097</v>
      </c>
      <c r="B313" t="s">
        <v>742</v>
      </c>
      <c r="C313" t="s">
        <v>743</v>
      </c>
      <c r="D313" s="71">
        <v>45322</v>
      </c>
      <c r="E313" t="s">
        <v>79</v>
      </c>
    </row>
    <row r="314" spans="1:5">
      <c r="A314" t="s">
        <v>1071</v>
      </c>
      <c r="B314" t="s">
        <v>766</v>
      </c>
      <c r="C314" t="s">
        <v>752</v>
      </c>
      <c r="D314" s="71">
        <v>45292</v>
      </c>
      <c r="E314" t="s">
        <v>80</v>
      </c>
    </row>
    <row r="315" spans="1:5">
      <c r="A315" t="s">
        <v>1072</v>
      </c>
      <c r="B315" t="s">
        <v>766</v>
      </c>
      <c r="C315" t="s">
        <v>752</v>
      </c>
      <c r="D315" s="71">
        <v>45293</v>
      </c>
      <c r="E315" t="s">
        <v>14</v>
      </c>
    </row>
    <row r="316" spans="1:5">
      <c r="A316" t="s">
        <v>1076</v>
      </c>
      <c r="B316" t="s">
        <v>766</v>
      </c>
      <c r="C316" t="s">
        <v>752</v>
      </c>
      <c r="D316" s="71">
        <v>45306</v>
      </c>
      <c r="E316" t="s">
        <v>79</v>
      </c>
    </row>
    <row r="317" spans="1:5">
      <c r="A317" t="s">
        <v>1084</v>
      </c>
      <c r="B317" t="s">
        <v>766</v>
      </c>
      <c r="C317" t="s">
        <v>752</v>
      </c>
      <c r="D317" s="71">
        <v>45317</v>
      </c>
      <c r="E317" t="s">
        <v>79</v>
      </c>
    </row>
    <row r="318" spans="1:5">
      <c r="A318" t="s">
        <v>1086</v>
      </c>
      <c r="B318" t="s">
        <v>766</v>
      </c>
      <c r="C318" t="s">
        <v>752</v>
      </c>
      <c r="D318" s="71">
        <v>45320</v>
      </c>
      <c r="E318" t="s">
        <v>79</v>
      </c>
    </row>
    <row r="319" spans="1:5">
      <c r="A319" t="s">
        <v>1087</v>
      </c>
      <c r="B319" t="s">
        <v>766</v>
      </c>
      <c r="C319" t="s">
        <v>752</v>
      </c>
      <c r="D319" s="71">
        <v>45321</v>
      </c>
      <c r="E319" t="s">
        <v>79</v>
      </c>
    </row>
    <row r="320" spans="1:5">
      <c r="A320" t="s">
        <v>1088</v>
      </c>
      <c r="B320" t="s">
        <v>766</v>
      </c>
      <c r="C320" t="s">
        <v>752</v>
      </c>
      <c r="D320" s="71">
        <v>45322</v>
      </c>
      <c r="E320" t="s">
        <v>79</v>
      </c>
    </row>
    <row r="321" spans="1:5">
      <c r="A321" t="s">
        <v>1060</v>
      </c>
      <c r="B321" t="s">
        <v>773</v>
      </c>
      <c r="C321" t="s">
        <v>754</v>
      </c>
      <c r="D321" s="71">
        <v>45292</v>
      </c>
      <c r="E321" t="s">
        <v>14</v>
      </c>
    </row>
    <row r="322" spans="1:5">
      <c r="A322" t="s">
        <v>1061</v>
      </c>
      <c r="B322" t="s">
        <v>773</v>
      </c>
      <c r="C322" t="s">
        <v>754</v>
      </c>
      <c r="D322" s="71">
        <v>45293</v>
      </c>
      <c r="E322" t="s">
        <v>14</v>
      </c>
    </row>
    <row r="323" spans="1:5">
      <c r="A323" t="s">
        <v>1141</v>
      </c>
      <c r="B323" t="s">
        <v>773</v>
      </c>
      <c r="C323" t="s">
        <v>754</v>
      </c>
      <c r="D323" s="71">
        <v>45294</v>
      </c>
      <c r="E323" t="s">
        <v>14</v>
      </c>
    </row>
    <row r="324" spans="1:5">
      <c r="A324" t="s">
        <v>1142</v>
      </c>
      <c r="B324" t="s">
        <v>773</v>
      </c>
      <c r="C324" t="s">
        <v>754</v>
      </c>
      <c r="D324" s="71">
        <v>45295</v>
      </c>
      <c r="E324" t="s">
        <v>14</v>
      </c>
    </row>
    <row r="325" spans="1:5">
      <c r="A325" t="s">
        <v>1062</v>
      </c>
      <c r="B325" t="s">
        <v>773</v>
      </c>
      <c r="C325" t="s">
        <v>754</v>
      </c>
      <c r="D325" s="71">
        <v>45296</v>
      </c>
      <c r="E325" t="s">
        <v>14</v>
      </c>
    </row>
    <row r="326" spans="1:5">
      <c r="A326" t="s">
        <v>1063</v>
      </c>
      <c r="B326" t="s">
        <v>773</v>
      </c>
      <c r="C326" t="s">
        <v>754</v>
      </c>
      <c r="D326" s="71">
        <v>45299</v>
      </c>
      <c r="E326" t="s">
        <v>14</v>
      </c>
    </row>
    <row r="327" spans="1:5">
      <c r="A327" t="s">
        <v>1064</v>
      </c>
      <c r="B327" t="s">
        <v>773</v>
      </c>
      <c r="C327" t="s">
        <v>754</v>
      </c>
      <c r="D327" s="71">
        <v>45300</v>
      </c>
      <c r="E327" t="s">
        <v>79</v>
      </c>
    </row>
    <row r="328" spans="1:5">
      <c r="A328" t="s">
        <v>1065</v>
      </c>
      <c r="B328" t="s">
        <v>773</v>
      </c>
      <c r="C328" t="s">
        <v>754</v>
      </c>
      <c r="D328" s="71">
        <v>45301</v>
      </c>
      <c r="E328" t="s">
        <v>79</v>
      </c>
    </row>
    <row r="329" spans="1:5">
      <c r="A329" t="s">
        <v>1143</v>
      </c>
      <c r="B329" t="s">
        <v>773</v>
      </c>
      <c r="C329" t="s">
        <v>754</v>
      </c>
      <c r="D329" s="71">
        <v>45302</v>
      </c>
      <c r="E329" t="s">
        <v>79</v>
      </c>
    </row>
    <row r="330" spans="1:5">
      <c r="A330" t="s">
        <v>1144</v>
      </c>
      <c r="B330" t="s">
        <v>773</v>
      </c>
      <c r="C330" t="s">
        <v>754</v>
      </c>
      <c r="D330" s="71">
        <v>45303</v>
      </c>
      <c r="E330" t="s">
        <v>14</v>
      </c>
    </row>
    <row r="331" spans="1:5">
      <c r="A331" t="s">
        <v>1066</v>
      </c>
      <c r="B331" t="s">
        <v>773</v>
      </c>
      <c r="C331" t="s">
        <v>754</v>
      </c>
      <c r="D331" s="71">
        <v>45306</v>
      </c>
      <c r="E331" t="s">
        <v>79</v>
      </c>
    </row>
    <row r="332" spans="1:5">
      <c r="A332" t="s">
        <v>1145</v>
      </c>
      <c r="B332" t="s">
        <v>773</v>
      </c>
      <c r="C332" t="s">
        <v>754</v>
      </c>
      <c r="D332" s="71">
        <v>45307</v>
      </c>
      <c r="E332" t="s">
        <v>14</v>
      </c>
    </row>
    <row r="333" spans="1:5">
      <c r="A333" t="s">
        <v>1146</v>
      </c>
      <c r="B333" t="s">
        <v>773</v>
      </c>
      <c r="C333" t="s">
        <v>754</v>
      </c>
      <c r="D333" s="71">
        <v>45308</v>
      </c>
      <c r="E333" t="s">
        <v>14</v>
      </c>
    </row>
    <row r="334" spans="1:5">
      <c r="A334" t="s">
        <v>1147</v>
      </c>
      <c r="B334" t="s">
        <v>773</v>
      </c>
      <c r="C334" t="s">
        <v>754</v>
      </c>
      <c r="D334" s="71">
        <v>45309</v>
      </c>
      <c r="E334" t="s">
        <v>14</v>
      </c>
    </row>
    <row r="335" spans="1:5">
      <c r="A335" t="s">
        <v>1148</v>
      </c>
      <c r="B335" t="s">
        <v>773</v>
      </c>
      <c r="C335" t="s">
        <v>754</v>
      </c>
      <c r="D335" s="71">
        <v>45310</v>
      </c>
      <c r="E335" t="s">
        <v>14</v>
      </c>
    </row>
    <row r="336" spans="1:5">
      <c r="A336" t="s">
        <v>1067</v>
      </c>
      <c r="B336" t="s">
        <v>773</v>
      </c>
      <c r="C336" t="s">
        <v>754</v>
      </c>
      <c r="D336" s="71">
        <v>45313</v>
      </c>
      <c r="E336" t="s">
        <v>14</v>
      </c>
    </row>
    <row r="337" spans="1:5">
      <c r="A337" t="s">
        <v>1149</v>
      </c>
      <c r="B337" t="s">
        <v>773</v>
      </c>
      <c r="C337" t="s">
        <v>754</v>
      </c>
      <c r="D337" s="71">
        <v>45314</v>
      </c>
      <c r="E337" t="s">
        <v>14</v>
      </c>
    </row>
    <row r="338" spans="1:5">
      <c r="A338" t="s">
        <v>1150</v>
      </c>
      <c r="B338" t="s">
        <v>773</v>
      </c>
      <c r="C338" t="s">
        <v>754</v>
      </c>
      <c r="D338" s="71">
        <v>45315</v>
      </c>
      <c r="E338" t="s">
        <v>14</v>
      </c>
    </row>
    <row r="339" spans="1:5">
      <c r="A339" t="s">
        <v>1151</v>
      </c>
      <c r="B339" t="s">
        <v>773</v>
      </c>
      <c r="C339" t="s">
        <v>754</v>
      </c>
      <c r="D339" s="71">
        <v>45316</v>
      </c>
      <c r="E339" t="s">
        <v>14</v>
      </c>
    </row>
    <row r="340" spans="1:5">
      <c r="A340" t="s">
        <v>1068</v>
      </c>
      <c r="B340" t="s">
        <v>773</v>
      </c>
      <c r="C340" t="s">
        <v>754</v>
      </c>
      <c r="D340" s="71">
        <v>45317</v>
      </c>
      <c r="E340" t="s">
        <v>79</v>
      </c>
    </row>
    <row r="341" spans="1:5">
      <c r="A341" t="s">
        <v>1152</v>
      </c>
      <c r="B341" t="s">
        <v>773</v>
      </c>
      <c r="C341" t="s">
        <v>754</v>
      </c>
      <c r="D341" s="71">
        <v>45320</v>
      </c>
      <c r="E341" t="s">
        <v>14</v>
      </c>
    </row>
    <row r="342" spans="1:5">
      <c r="A342" t="s">
        <v>1153</v>
      </c>
      <c r="B342" t="s">
        <v>773</v>
      </c>
      <c r="C342" t="s">
        <v>754</v>
      </c>
      <c r="D342" s="71">
        <v>45321</v>
      </c>
      <c r="E342" t="s">
        <v>14</v>
      </c>
    </row>
    <row r="343" spans="1:5">
      <c r="A343" t="s">
        <v>1070</v>
      </c>
      <c r="B343" t="s">
        <v>773</v>
      </c>
      <c r="C343" t="s">
        <v>754</v>
      </c>
      <c r="D343" s="71">
        <v>45322</v>
      </c>
      <c r="E343" t="s">
        <v>14</v>
      </c>
    </row>
    <row r="344" spans="1:5">
      <c r="A344" t="s">
        <v>1005</v>
      </c>
      <c r="B344" t="s">
        <v>775</v>
      </c>
      <c r="C344" t="s">
        <v>755</v>
      </c>
      <c r="D344" s="71">
        <v>45294</v>
      </c>
      <c r="E344" t="s">
        <v>80</v>
      </c>
    </row>
    <row r="345" spans="1:5">
      <c r="A345" t="s">
        <v>1006</v>
      </c>
      <c r="B345" t="s">
        <v>775</v>
      </c>
      <c r="C345" t="s">
        <v>755</v>
      </c>
      <c r="D345" s="71">
        <v>45296</v>
      </c>
      <c r="E345" t="s">
        <v>14</v>
      </c>
    </row>
    <row r="346" spans="1:5">
      <c r="A346" t="s">
        <v>1154</v>
      </c>
      <c r="B346" t="s">
        <v>775</v>
      </c>
      <c r="C346" t="s">
        <v>755</v>
      </c>
      <c r="D346" s="71">
        <v>45301</v>
      </c>
      <c r="E346" t="s">
        <v>14</v>
      </c>
    </row>
    <row r="347" spans="1:5">
      <c r="A347" t="s">
        <v>1009</v>
      </c>
      <c r="B347" t="s">
        <v>775</v>
      </c>
      <c r="C347" t="s">
        <v>755</v>
      </c>
      <c r="D347" s="71">
        <v>45306</v>
      </c>
      <c r="E347" t="s">
        <v>79</v>
      </c>
    </row>
    <row r="348" spans="1:5">
      <c r="A348" t="s">
        <v>1155</v>
      </c>
      <c r="B348" t="s">
        <v>775</v>
      </c>
      <c r="C348" t="s">
        <v>755</v>
      </c>
      <c r="D348" s="71">
        <v>45313</v>
      </c>
      <c r="E348" t="s">
        <v>79</v>
      </c>
    </row>
    <row r="349" spans="1:5">
      <c r="A349" t="s">
        <v>1156</v>
      </c>
      <c r="B349" t="s">
        <v>775</v>
      </c>
      <c r="C349" t="s">
        <v>755</v>
      </c>
      <c r="D349" s="71">
        <v>45316</v>
      </c>
      <c r="E349" t="s">
        <v>14</v>
      </c>
    </row>
    <row r="350" spans="1:5">
      <c r="A350" t="s">
        <v>1010</v>
      </c>
      <c r="B350" t="s">
        <v>775</v>
      </c>
      <c r="C350" t="s">
        <v>755</v>
      </c>
      <c r="D350" s="71">
        <v>45317</v>
      </c>
      <c r="E350" t="s">
        <v>79</v>
      </c>
    </row>
    <row r="351" spans="1:5">
      <c r="A351" t="s">
        <v>1012</v>
      </c>
      <c r="B351" t="s">
        <v>775</v>
      </c>
      <c r="C351" t="s">
        <v>755</v>
      </c>
      <c r="D351" s="71">
        <v>45322</v>
      </c>
      <c r="E351" t="s">
        <v>80</v>
      </c>
    </row>
    <row r="352" spans="1:5">
      <c r="A352" t="s">
        <v>1157</v>
      </c>
      <c r="B352" t="s">
        <v>777</v>
      </c>
      <c r="C352" t="s">
        <v>756</v>
      </c>
      <c r="D352" s="71">
        <v>45292</v>
      </c>
      <c r="E352" t="s">
        <v>80</v>
      </c>
    </row>
    <row r="353" spans="1:5">
      <c r="A353" t="s">
        <v>1158</v>
      </c>
      <c r="B353" t="s">
        <v>777</v>
      </c>
      <c r="C353" t="s">
        <v>756</v>
      </c>
      <c r="D353" s="71">
        <v>45293</v>
      </c>
      <c r="E353" t="s">
        <v>14</v>
      </c>
    </row>
    <row r="354" spans="1:5">
      <c r="A354" t="s">
        <v>1159</v>
      </c>
      <c r="B354" t="s">
        <v>777</v>
      </c>
      <c r="C354" t="s">
        <v>756</v>
      </c>
      <c r="D354" s="71">
        <v>45294</v>
      </c>
      <c r="E354" t="s">
        <v>14</v>
      </c>
    </row>
    <row r="355" spans="1:5">
      <c r="A355" t="s">
        <v>1160</v>
      </c>
      <c r="B355" t="s">
        <v>777</v>
      </c>
      <c r="C355" t="s">
        <v>756</v>
      </c>
      <c r="D355" s="71">
        <v>45296</v>
      </c>
      <c r="E355" t="s">
        <v>79</v>
      </c>
    </row>
    <row r="356" spans="1:5">
      <c r="A356" t="s">
        <v>1161</v>
      </c>
      <c r="B356" t="s">
        <v>777</v>
      </c>
      <c r="C356" t="s">
        <v>756</v>
      </c>
      <c r="D356" s="71">
        <v>45299</v>
      </c>
      <c r="E356" t="s">
        <v>79</v>
      </c>
    </row>
    <row r="357" spans="1:5">
      <c r="A357" t="s">
        <v>1162</v>
      </c>
      <c r="B357" t="s">
        <v>777</v>
      </c>
      <c r="C357" t="s">
        <v>756</v>
      </c>
      <c r="D357" s="71">
        <v>45301</v>
      </c>
      <c r="E357" t="s">
        <v>14</v>
      </c>
    </row>
    <row r="358" spans="1:5">
      <c r="A358" t="s">
        <v>1163</v>
      </c>
      <c r="B358" t="s">
        <v>777</v>
      </c>
      <c r="C358" t="s">
        <v>756</v>
      </c>
      <c r="D358" s="71">
        <v>45302</v>
      </c>
      <c r="E358" t="s">
        <v>79</v>
      </c>
    </row>
    <row r="359" spans="1:5">
      <c r="A359" t="s">
        <v>1164</v>
      </c>
      <c r="B359" t="s">
        <v>777</v>
      </c>
      <c r="C359" t="s">
        <v>756</v>
      </c>
      <c r="D359" s="71">
        <v>45303</v>
      </c>
      <c r="E359" t="s">
        <v>80</v>
      </c>
    </row>
    <row r="360" spans="1:5">
      <c r="A360" t="s">
        <v>1165</v>
      </c>
      <c r="B360" t="s">
        <v>777</v>
      </c>
      <c r="C360" t="s">
        <v>756</v>
      </c>
      <c r="D360" s="71">
        <v>45306</v>
      </c>
      <c r="E360" t="s">
        <v>79</v>
      </c>
    </row>
    <row r="361" spans="1:5">
      <c r="A361" t="s">
        <v>1166</v>
      </c>
      <c r="B361" t="s">
        <v>777</v>
      </c>
      <c r="C361" t="s">
        <v>756</v>
      </c>
      <c r="D361" s="71">
        <v>45307</v>
      </c>
      <c r="E361" t="s">
        <v>79</v>
      </c>
    </row>
    <row r="362" spans="1:5">
      <c r="A362" t="s">
        <v>1167</v>
      </c>
      <c r="B362" t="s">
        <v>777</v>
      </c>
      <c r="C362" t="s">
        <v>756</v>
      </c>
      <c r="D362" s="71">
        <v>45308</v>
      </c>
      <c r="E362" t="s">
        <v>79</v>
      </c>
    </row>
    <row r="363" spans="1:5">
      <c r="A363" t="s">
        <v>1168</v>
      </c>
      <c r="B363" t="s">
        <v>777</v>
      </c>
      <c r="C363" t="s">
        <v>756</v>
      </c>
      <c r="D363" s="71">
        <v>45309</v>
      </c>
      <c r="E363" t="s">
        <v>79</v>
      </c>
    </row>
    <row r="364" spans="1:5">
      <c r="A364" t="s">
        <v>1169</v>
      </c>
      <c r="B364" t="s">
        <v>777</v>
      </c>
      <c r="C364" t="s">
        <v>756</v>
      </c>
      <c r="D364" s="71">
        <v>45310</v>
      </c>
      <c r="E364" t="s">
        <v>81</v>
      </c>
    </row>
    <row r="365" spans="1:5">
      <c r="A365" t="s">
        <v>1170</v>
      </c>
      <c r="B365" t="s">
        <v>777</v>
      </c>
      <c r="C365" t="s">
        <v>756</v>
      </c>
      <c r="D365" s="71">
        <v>45317</v>
      </c>
      <c r="E365" t="s">
        <v>79</v>
      </c>
    </row>
    <row r="366" spans="1:5">
      <c r="A366" t="s">
        <v>1171</v>
      </c>
      <c r="B366" t="s">
        <v>777</v>
      </c>
      <c r="C366" t="s">
        <v>756</v>
      </c>
      <c r="D366" s="71">
        <v>45322</v>
      </c>
      <c r="E366" t="s">
        <v>80</v>
      </c>
    </row>
    <row r="367" spans="1:5">
      <c r="A367" t="s">
        <v>1172</v>
      </c>
      <c r="B367" t="s">
        <v>779</v>
      </c>
      <c r="C367" t="s">
        <v>757</v>
      </c>
      <c r="D367" s="71">
        <v>45292</v>
      </c>
      <c r="E367" t="s">
        <v>80</v>
      </c>
    </row>
    <row r="368" spans="1:5">
      <c r="A368" t="s">
        <v>1173</v>
      </c>
      <c r="B368" t="s">
        <v>779</v>
      </c>
      <c r="C368" t="s">
        <v>757</v>
      </c>
      <c r="D368" s="71">
        <v>45300</v>
      </c>
      <c r="E368" t="s">
        <v>80</v>
      </c>
    </row>
    <row r="369" spans="1:5">
      <c r="A369" t="s">
        <v>1174</v>
      </c>
      <c r="B369" t="s">
        <v>779</v>
      </c>
      <c r="C369" t="s">
        <v>757</v>
      </c>
      <c r="D369" s="71">
        <v>45301</v>
      </c>
      <c r="E369" t="s">
        <v>14</v>
      </c>
    </row>
    <row r="370" spans="1:5">
      <c r="A370" t="s">
        <v>1175</v>
      </c>
      <c r="B370" t="s">
        <v>779</v>
      </c>
      <c r="C370" t="s">
        <v>757</v>
      </c>
      <c r="D370" s="71">
        <v>45306</v>
      </c>
      <c r="E370" t="s">
        <v>79</v>
      </c>
    </row>
    <row r="371" spans="1:5">
      <c r="A371" t="s">
        <v>1176</v>
      </c>
      <c r="B371" t="s">
        <v>779</v>
      </c>
      <c r="C371" t="s">
        <v>757</v>
      </c>
      <c r="D371" s="71">
        <v>45307</v>
      </c>
      <c r="E371" t="s">
        <v>79</v>
      </c>
    </row>
    <row r="372" spans="1:5">
      <c r="A372" t="s">
        <v>1177</v>
      </c>
      <c r="B372" t="s">
        <v>779</v>
      </c>
      <c r="C372" t="s">
        <v>757</v>
      </c>
      <c r="D372" s="71">
        <v>45309</v>
      </c>
      <c r="E372" t="s">
        <v>14</v>
      </c>
    </row>
    <row r="373" spans="1:5">
      <c r="A373" t="s">
        <v>1178</v>
      </c>
      <c r="B373" t="s">
        <v>779</v>
      </c>
      <c r="C373" t="s">
        <v>757</v>
      </c>
      <c r="D373" s="71">
        <v>45313</v>
      </c>
      <c r="E373" t="s">
        <v>14</v>
      </c>
    </row>
    <row r="374" spans="1:5">
      <c r="A374" t="s">
        <v>1179</v>
      </c>
      <c r="B374" t="s">
        <v>779</v>
      </c>
      <c r="C374" t="s">
        <v>757</v>
      </c>
      <c r="D374" s="71">
        <v>45317</v>
      </c>
      <c r="E374" t="s">
        <v>79</v>
      </c>
    </row>
    <row r="375" spans="1:5">
      <c r="A375" t="s">
        <v>1180</v>
      </c>
      <c r="B375" t="s">
        <v>779</v>
      </c>
      <c r="C375" t="s">
        <v>757</v>
      </c>
      <c r="D375" s="71">
        <v>45322</v>
      </c>
      <c r="E375" t="s">
        <v>80</v>
      </c>
    </row>
    <row r="376" spans="1:5">
      <c r="A376" t="s">
        <v>1181</v>
      </c>
      <c r="B376" t="s">
        <v>780</v>
      </c>
      <c r="C376" t="s">
        <v>758</v>
      </c>
      <c r="D376" s="71">
        <v>45300</v>
      </c>
      <c r="E376" t="s">
        <v>80</v>
      </c>
    </row>
    <row r="377" spans="1:5">
      <c r="A377" t="s">
        <v>1182</v>
      </c>
      <c r="B377" t="s">
        <v>780</v>
      </c>
      <c r="C377" t="s">
        <v>758</v>
      </c>
      <c r="D377" s="71">
        <v>45306</v>
      </c>
      <c r="E377" t="s">
        <v>79</v>
      </c>
    </row>
    <row r="378" spans="1:5">
      <c r="A378" t="s">
        <v>1183</v>
      </c>
      <c r="B378" t="s">
        <v>780</v>
      </c>
      <c r="C378" t="s">
        <v>758</v>
      </c>
      <c r="D378" s="71">
        <v>45307</v>
      </c>
      <c r="E378" t="s">
        <v>79</v>
      </c>
    </row>
    <row r="379" spans="1:5">
      <c r="A379" t="s">
        <v>1184</v>
      </c>
      <c r="B379" t="s">
        <v>780</v>
      </c>
      <c r="C379" t="s">
        <v>758</v>
      </c>
      <c r="D379" s="71">
        <v>45308</v>
      </c>
      <c r="E379" t="s">
        <v>79</v>
      </c>
    </row>
    <row r="380" spans="1:5">
      <c r="A380" t="s">
        <v>1185</v>
      </c>
      <c r="B380" t="s">
        <v>780</v>
      </c>
      <c r="C380" t="s">
        <v>758</v>
      </c>
      <c r="D380" s="71">
        <v>45309</v>
      </c>
      <c r="E380" t="s">
        <v>79</v>
      </c>
    </row>
    <row r="381" spans="1:5">
      <c r="A381" t="s">
        <v>1186</v>
      </c>
      <c r="B381" t="s">
        <v>780</v>
      </c>
      <c r="C381" t="s">
        <v>758</v>
      </c>
      <c r="D381" s="71">
        <v>45310</v>
      </c>
      <c r="E381" t="s">
        <v>14</v>
      </c>
    </row>
    <row r="382" spans="1:5">
      <c r="A382" t="s">
        <v>1187</v>
      </c>
      <c r="B382" t="s">
        <v>780</v>
      </c>
      <c r="C382" t="s">
        <v>758</v>
      </c>
      <c r="D382" s="71">
        <v>45315</v>
      </c>
      <c r="E382" t="s">
        <v>79</v>
      </c>
    </row>
    <row r="383" spans="1:5">
      <c r="A383" t="s">
        <v>1188</v>
      </c>
      <c r="B383" t="s">
        <v>780</v>
      </c>
      <c r="C383" t="s">
        <v>758</v>
      </c>
      <c r="D383" s="71">
        <v>45316</v>
      </c>
      <c r="E383" t="s">
        <v>79</v>
      </c>
    </row>
    <row r="384" spans="1:5">
      <c r="A384" t="s">
        <v>1189</v>
      </c>
      <c r="B384" t="s">
        <v>780</v>
      </c>
      <c r="C384" t="s">
        <v>758</v>
      </c>
      <c r="D384" s="71">
        <v>45317</v>
      </c>
      <c r="E384" t="s">
        <v>79</v>
      </c>
    </row>
    <row r="385" spans="1:5">
      <c r="A385" t="s">
        <v>1190</v>
      </c>
      <c r="B385" t="s">
        <v>780</v>
      </c>
      <c r="C385" t="s">
        <v>758</v>
      </c>
      <c r="D385" s="71">
        <v>45320</v>
      </c>
      <c r="E385" t="s">
        <v>79</v>
      </c>
    </row>
    <row r="386" spans="1:5">
      <c r="A386" t="s">
        <v>1191</v>
      </c>
      <c r="B386" t="s">
        <v>780</v>
      </c>
      <c r="C386" t="s">
        <v>758</v>
      </c>
      <c r="D386" s="71">
        <v>45321</v>
      </c>
      <c r="E386" t="s">
        <v>79</v>
      </c>
    </row>
    <row r="387" spans="1:5">
      <c r="A387" t="s">
        <v>1192</v>
      </c>
      <c r="B387" t="s">
        <v>780</v>
      </c>
      <c r="C387" t="s">
        <v>758</v>
      </c>
      <c r="D387" s="71">
        <v>45322</v>
      </c>
      <c r="E387" t="s">
        <v>79</v>
      </c>
    </row>
    <row r="388" spans="1:5">
      <c r="A388" t="s">
        <v>1193</v>
      </c>
      <c r="B388" t="s">
        <v>782</v>
      </c>
      <c r="C388" t="s">
        <v>759</v>
      </c>
      <c r="D388" s="71">
        <v>45299</v>
      </c>
      <c r="E388" t="s">
        <v>14</v>
      </c>
    </row>
    <row r="389" spans="1:5">
      <c r="A389" t="s">
        <v>1194</v>
      </c>
      <c r="B389" t="s">
        <v>782</v>
      </c>
      <c r="C389" t="s">
        <v>759</v>
      </c>
      <c r="D389" s="71">
        <v>45300</v>
      </c>
      <c r="E389" t="s">
        <v>14</v>
      </c>
    </row>
    <row r="390" spans="1:5">
      <c r="A390" t="s">
        <v>1195</v>
      </c>
      <c r="B390" t="s">
        <v>782</v>
      </c>
      <c r="C390" t="s">
        <v>759</v>
      </c>
      <c r="D390" s="71">
        <v>45306</v>
      </c>
      <c r="E390" t="s">
        <v>79</v>
      </c>
    </row>
    <row r="391" spans="1:5">
      <c r="A391" t="s">
        <v>1196</v>
      </c>
      <c r="B391" t="s">
        <v>782</v>
      </c>
      <c r="C391" t="s">
        <v>759</v>
      </c>
      <c r="D391" s="71">
        <v>45317</v>
      </c>
      <c r="E391" t="s">
        <v>79</v>
      </c>
    </row>
    <row r="392" spans="1:5">
      <c r="A392" t="s">
        <v>1197</v>
      </c>
      <c r="B392" t="s">
        <v>782</v>
      </c>
      <c r="C392" t="s">
        <v>759</v>
      </c>
      <c r="D392" s="71">
        <v>45322</v>
      </c>
      <c r="E392" t="s">
        <v>80</v>
      </c>
    </row>
    <row r="393" spans="1:5">
      <c r="A393" t="s">
        <v>1198</v>
      </c>
      <c r="B393" t="s">
        <v>783</v>
      </c>
      <c r="C393" t="s">
        <v>760</v>
      </c>
      <c r="D393" s="71">
        <v>45294</v>
      </c>
      <c r="E393" t="s">
        <v>14</v>
      </c>
    </row>
    <row r="394" spans="1:5">
      <c r="A394" t="s">
        <v>1199</v>
      </c>
      <c r="B394" t="s">
        <v>783</v>
      </c>
      <c r="C394" t="s">
        <v>760</v>
      </c>
      <c r="D394" s="71">
        <v>45295</v>
      </c>
      <c r="E394" t="s">
        <v>14</v>
      </c>
    </row>
    <row r="395" spans="1:5">
      <c r="A395" t="s">
        <v>1200</v>
      </c>
      <c r="B395" t="s">
        <v>783</v>
      </c>
      <c r="C395" t="s">
        <v>760</v>
      </c>
      <c r="D395" s="71">
        <v>45300</v>
      </c>
      <c r="E395" t="s">
        <v>14</v>
      </c>
    </row>
    <row r="396" spans="1:5">
      <c r="A396" t="s">
        <v>1201</v>
      </c>
      <c r="B396" t="s">
        <v>783</v>
      </c>
      <c r="C396" t="s">
        <v>760</v>
      </c>
      <c r="D396" s="71">
        <v>45306</v>
      </c>
      <c r="E396" t="s">
        <v>79</v>
      </c>
    </row>
    <row r="397" spans="1:5">
      <c r="A397" t="s">
        <v>1202</v>
      </c>
      <c r="B397" t="s">
        <v>783</v>
      </c>
      <c r="C397" t="s">
        <v>760</v>
      </c>
      <c r="D397" s="71">
        <v>45308</v>
      </c>
      <c r="E397" t="s">
        <v>79</v>
      </c>
    </row>
    <row r="398" spans="1:5">
      <c r="A398" t="s">
        <v>1203</v>
      </c>
      <c r="B398" t="s">
        <v>783</v>
      </c>
      <c r="C398" t="s">
        <v>760</v>
      </c>
      <c r="D398" s="71">
        <v>45309</v>
      </c>
      <c r="E398" t="s">
        <v>79</v>
      </c>
    </row>
    <row r="399" spans="1:5">
      <c r="A399" t="s">
        <v>1204</v>
      </c>
      <c r="B399" t="s">
        <v>783</v>
      </c>
      <c r="C399" t="s">
        <v>760</v>
      </c>
      <c r="D399" s="71">
        <v>45310</v>
      </c>
      <c r="E399" t="s">
        <v>79</v>
      </c>
    </row>
    <row r="400" spans="1:5">
      <c r="A400" t="s">
        <v>1205</v>
      </c>
      <c r="B400" t="s">
        <v>783</v>
      </c>
      <c r="C400" t="s">
        <v>760</v>
      </c>
      <c r="D400" s="71">
        <v>45314</v>
      </c>
      <c r="E400" t="s">
        <v>79</v>
      </c>
    </row>
    <row r="401" spans="1:5">
      <c r="A401" t="s">
        <v>1206</v>
      </c>
      <c r="B401" t="s">
        <v>783</v>
      </c>
      <c r="C401" t="s">
        <v>760</v>
      </c>
      <c r="D401" s="71">
        <v>45315</v>
      </c>
      <c r="E401" t="s">
        <v>79</v>
      </c>
    </row>
    <row r="402" spans="1:5">
      <c r="A402" t="s">
        <v>1207</v>
      </c>
      <c r="B402" t="s">
        <v>783</v>
      </c>
      <c r="C402" t="s">
        <v>760</v>
      </c>
      <c r="D402" s="71">
        <v>45316</v>
      </c>
      <c r="E402" t="s">
        <v>79</v>
      </c>
    </row>
    <row r="403" spans="1:5">
      <c r="A403" t="s">
        <v>1208</v>
      </c>
      <c r="B403" t="s">
        <v>783</v>
      </c>
      <c r="C403" t="s">
        <v>760</v>
      </c>
      <c r="D403" s="71">
        <v>45317</v>
      </c>
      <c r="E403" t="s">
        <v>79</v>
      </c>
    </row>
    <row r="404" spans="1:5">
      <c r="A404" t="s">
        <v>1209</v>
      </c>
      <c r="B404" t="s">
        <v>783</v>
      </c>
      <c r="C404" t="s">
        <v>760</v>
      </c>
      <c r="D404" s="71">
        <v>45320</v>
      </c>
      <c r="E404" t="s">
        <v>79</v>
      </c>
    </row>
    <row r="405" spans="1:5">
      <c r="A405" t="s">
        <v>1210</v>
      </c>
      <c r="B405" t="s">
        <v>783</v>
      </c>
      <c r="C405" t="s">
        <v>760</v>
      </c>
      <c r="D405" s="71">
        <v>45321</v>
      </c>
      <c r="E405" t="s">
        <v>79</v>
      </c>
    </row>
    <row r="406" spans="1:5">
      <c r="A406" t="s">
        <v>1211</v>
      </c>
      <c r="B406" t="s">
        <v>783</v>
      </c>
      <c r="C406" t="s">
        <v>760</v>
      </c>
      <c r="D406" s="71">
        <v>45322</v>
      </c>
      <c r="E406" t="s">
        <v>79</v>
      </c>
    </row>
    <row r="407" spans="1:5">
      <c r="A407" t="s">
        <v>1212</v>
      </c>
      <c r="B407" t="s">
        <v>785</v>
      </c>
      <c r="C407" t="s">
        <v>761</v>
      </c>
      <c r="D407" s="71">
        <v>45293</v>
      </c>
      <c r="E407" t="s">
        <v>14</v>
      </c>
    </row>
    <row r="408" spans="1:5">
      <c r="A408" t="s">
        <v>1213</v>
      </c>
      <c r="B408" t="s">
        <v>785</v>
      </c>
      <c r="C408" t="s">
        <v>761</v>
      </c>
      <c r="D408" s="71">
        <v>45296</v>
      </c>
      <c r="E408" t="s">
        <v>14</v>
      </c>
    </row>
    <row r="409" spans="1:5">
      <c r="A409" t="s">
        <v>1214</v>
      </c>
      <c r="B409" t="s">
        <v>785</v>
      </c>
      <c r="C409" t="s">
        <v>761</v>
      </c>
      <c r="D409" s="71">
        <v>45301</v>
      </c>
      <c r="E409" t="s">
        <v>80</v>
      </c>
    </row>
    <row r="410" spans="1:5">
      <c r="A410" t="s">
        <v>1215</v>
      </c>
      <c r="B410" t="s">
        <v>785</v>
      </c>
      <c r="C410" t="s">
        <v>761</v>
      </c>
      <c r="D410" s="71">
        <v>45302</v>
      </c>
      <c r="E410" t="s">
        <v>14</v>
      </c>
    </row>
    <row r="411" spans="1:5">
      <c r="A411" t="s">
        <v>1216</v>
      </c>
      <c r="B411" t="s">
        <v>785</v>
      </c>
      <c r="C411" t="s">
        <v>761</v>
      </c>
      <c r="D411" s="71">
        <v>45306</v>
      </c>
      <c r="E411" t="s">
        <v>79</v>
      </c>
    </row>
    <row r="412" spans="1:5">
      <c r="A412" t="s">
        <v>1217</v>
      </c>
      <c r="B412" t="s">
        <v>785</v>
      </c>
      <c r="C412" t="s">
        <v>761</v>
      </c>
      <c r="D412" s="71">
        <v>45307</v>
      </c>
      <c r="E412" t="s">
        <v>14</v>
      </c>
    </row>
    <row r="413" spans="1:5">
      <c r="A413" t="s">
        <v>1218</v>
      </c>
      <c r="B413" t="s">
        <v>785</v>
      </c>
      <c r="C413" t="s">
        <v>761</v>
      </c>
      <c r="D413" s="71">
        <v>45309</v>
      </c>
      <c r="E413" t="s">
        <v>79</v>
      </c>
    </row>
    <row r="414" spans="1:5">
      <c r="A414" t="s">
        <v>1219</v>
      </c>
      <c r="B414" t="s">
        <v>785</v>
      </c>
      <c r="C414" t="s">
        <v>761</v>
      </c>
      <c r="D414" s="71">
        <v>45313</v>
      </c>
      <c r="E414" t="s">
        <v>79</v>
      </c>
    </row>
    <row r="415" spans="1:5">
      <c r="A415" t="s">
        <v>1220</v>
      </c>
      <c r="B415" t="s">
        <v>785</v>
      </c>
      <c r="C415" t="s">
        <v>761</v>
      </c>
      <c r="D415" s="71">
        <v>45315</v>
      </c>
      <c r="E415" t="s">
        <v>79</v>
      </c>
    </row>
    <row r="416" spans="1:5">
      <c r="A416" t="s">
        <v>1221</v>
      </c>
      <c r="B416" t="s">
        <v>785</v>
      </c>
      <c r="C416" t="s">
        <v>761</v>
      </c>
      <c r="D416" s="71">
        <v>45316</v>
      </c>
      <c r="E416" t="s">
        <v>79</v>
      </c>
    </row>
    <row r="417" spans="1:5">
      <c r="A417" t="s">
        <v>1222</v>
      </c>
      <c r="B417" t="s">
        <v>785</v>
      </c>
      <c r="C417" t="s">
        <v>761</v>
      </c>
      <c r="D417" s="71">
        <v>45317</v>
      </c>
      <c r="E417" t="s">
        <v>79</v>
      </c>
    </row>
    <row r="418" spans="1:5">
      <c r="A418" t="s">
        <v>1223</v>
      </c>
      <c r="B418" t="s">
        <v>785</v>
      </c>
      <c r="C418" t="s">
        <v>761</v>
      </c>
      <c r="D418" s="71">
        <v>45320</v>
      </c>
      <c r="E418" t="s">
        <v>79</v>
      </c>
    </row>
    <row r="419" spans="1:5">
      <c r="A419" t="s">
        <v>1224</v>
      </c>
      <c r="B419" t="s">
        <v>785</v>
      </c>
      <c r="C419" t="s">
        <v>761</v>
      </c>
      <c r="D419" s="71">
        <v>45321</v>
      </c>
      <c r="E419" t="s">
        <v>79</v>
      </c>
    </row>
    <row r="420" spans="1:5">
      <c r="A420" t="s">
        <v>1225</v>
      </c>
      <c r="B420" t="s">
        <v>785</v>
      </c>
      <c r="C420" t="s">
        <v>761</v>
      </c>
      <c r="D420" s="71">
        <v>45322</v>
      </c>
      <c r="E420" t="s">
        <v>79</v>
      </c>
    </row>
    <row r="421" spans="1:5">
      <c r="A421" t="s">
        <v>1226</v>
      </c>
      <c r="B421" t="s">
        <v>788</v>
      </c>
      <c r="C421" t="s">
        <v>762</v>
      </c>
      <c r="D421" s="71">
        <v>45300</v>
      </c>
      <c r="E421" t="s">
        <v>81</v>
      </c>
    </row>
    <row r="422" spans="1:5">
      <c r="A422" t="s">
        <v>1227</v>
      </c>
      <c r="B422" t="s">
        <v>788</v>
      </c>
      <c r="C422" t="s">
        <v>762</v>
      </c>
      <c r="D422" s="71">
        <v>45302</v>
      </c>
      <c r="E422" t="s">
        <v>14</v>
      </c>
    </row>
    <row r="423" spans="1:5">
      <c r="A423" t="s">
        <v>1228</v>
      </c>
      <c r="B423" t="s">
        <v>788</v>
      </c>
      <c r="C423" t="s">
        <v>762</v>
      </c>
      <c r="D423" s="71">
        <v>45306</v>
      </c>
      <c r="E423" t="s">
        <v>79</v>
      </c>
    </row>
    <row r="424" spans="1:5">
      <c r="A424" t="s">
        <v>1229</v>
      </c>
      <c r="B424" t="s">
        <v>788</v>
      </c>
      <c r="C424" t="s">
        <v>762</v>
      </c>
      <c r="D424" s="71">
        <v>45307</v>
      </c>
      <c r="E424" t="s">
        <v>80</v>
      </c>
    </row>
    <row r="425" spans="1:5">
      <c r="A425" t="s">
        <v>1230</v>
      </c>
      <c r="B425" t="s">
        <v>788</v>
      </c>
      <c r="C425" t="s">
        <v>762</v>
      </c>
      <c r="D425" s="71">
        <v>45308</v>
      </c>
      <c r="E425" t="s">
        <v>14</v>
      </c>
    </row>
    <row r="426" spans="1:5">
      <c r="A426" t="s">
        <v>1231</v>
      </c>
      <c r="B426" t="s">
        <v>788</v>
      </c>
      <c r="C426" t="s">
        <v>762</v>
      </c>
      <c r="D426" s="71">
        <v>45309</v>
      </c>
      <c r="E426" t="s">
        <v>14</v>
      </c>
    </row>
    <row r="427" spans="1:5">
      <c r="A427" t="s">
        <v>1232</v>
      </c>
      <c r="B427" t="s">
        <v>788</v>
      </c>
      <c r="C427" t="s">
        <v>762</v>
      </c>
      <c r="D427" s="71">
        <v>45310</v>
      </c>
      <c r="E427" t="s">
        <v>80</v>
      </c>
    </row>
    <row r="428" spans="1:5">
      <c r="A428" t="s">
        <v>1233</v>
      </c>
      <c r="B428" t="s">
        <v>788</v>
      </c>
      <c r="C428" t="s">
        <v>762</v>
      </c>
      <c r="D428" s="71">
        <v>45313</v>
      </c>
      <c r="E428" t="s">
        <v>80</v>
      </c>
    </row>
    <row r="429" spans="1:5">
      <c r="A429" t="s">
        <v>1234</v>
      </c>
      <c r="B429" t="s">
        <v>788</v>
      </c>
      <c r="C429" t="s">
        <v>762</v>
      </c>
      <c r="D429" s="71">
        <v>45314</v>
      </c>
      <c r="E429" t="s">
        <v>80</v>
      </c>
    </row>
    <row r="430" spans="1:5">
      <c r="A430" t="s">
        <v>1235</v>
      </c>
      <c r="B430" t="s">
        <v>788</v>
      </c>
      <c r="C430" t="s">
        <v>762</v>
      </c>
      <c r="D430" s="71">
        <v>45315</v>
      </c>
      <c r="E430" t="s">
        <v>14</v>
      </c>
    </row>
    <row r="431" spans="1:5">
      <c r="A431" t="s">
        <v>1236</v>
      </c>
      <c r="B431" t="s">
        <v>788</v>
      </c>
      <c r="C431" t="s">
        <v>762</v>
      </c>
      <c r="D431" s="71">
        <v>45316</v>
      </c>
      <c r="E431" t="s">
        <v>14</v>
      </c>
    </row>
    <row r="432" spans="1:5">
      <c r="A432" t="s">
        <v>1237</v>
      </c>
      <c r="B432" t="s">
        <v>788</v>
      </c>
      <c r="C432" t="s">
        <v>762</v>
      </c>
      <c r="D432" s="71">
        <v>45317</v>
      </c>
      <c r="E432" t="s">
        <v>79</v>
      </c>
    </row>
    <row r="433" spans="1:5">
      <c r="A433" t="s">
        <v>1238</v>
      </c>
      <c r="B433" t="s">
        <v>788</v>
      </c>
      <c r="C433" t="s">
        <v>762</v>
      </c>
      <c r="D433" s="71">
        <v>45320</v>
      </c>
      <c r="E433" t="s">
        <v>80</v>
      </c>
    </row>
    <row r="434" spans="1:5">
      <c r="A434" t="s">
        <v>1239</v>
      </c>
      <c r="B434" t="s">
        <v>788</v>
      </c>
      <c r="C434" t="s">
        <v>762</v>
      </c>
      <c r="D434" s="71">
        <v>45321</v>
      </c>
      <c r="E434" t="s">
        <v>14</v>
      </c>
    </row>
    <row r="435" spans="1:5">
      <c r="A435" t="s">
        <v>1240</v>
      </c>
      <c r="B435" t="s">
        <v>788</v>
      </c>
      <c r="C435" t="s">
        <v>762</v>
      </c>
      <c r="D435" s="71">
        <v>45322</v>
      </c>
      <c r="E435" t="s">
        <v>79</v>
      </c>
    </row>
    <row r="436" spans="1:5">
      <c r="A436" t="s">
        <v>1241</v>
      </c>
      <c r="B436" t="s">
        <v>790</v>
      </c>
      <c r="C436" t="s">
        <v>763</v>
      </c>
      <c r="D436" s="71">
        <v>45293</v>
      </c>
      <c r="E436" t="s">
        <v>14</v>
      </c>
    </row>
    <row r="437" spans="1:5">
      <c r="A437" t="s">
        <v>1242</v>
      </c>
      <c r="B437" t="s">
        <v>790</v>
      </c>
      <c r="C437" t="s">
        <v>763</v>
      </c>
      <c r="D437" s="71">
        <v>45299</v>
      </c>
      <c r="E437" t="s">
        <v>14</v>
      </c>
    </row>
    <row r="438" spans="1:5">
      <c r="A438" t="s">
        <v>1243</v>
      </c>
      <c r="B438" t="s">
        <v>790</v>
      </c>
      <c r="C438" t="s">
        <v>763</v>
      </c>
      <c r="D438" s="71">
        <v>45300</v>
      </c>
      <c r="E438" t="s">
        <v>79</v>
      </c>
    </row>
    <row r="439" spans="1:5">
      <c r="A439" t="s">
        <v>1244</v>
      </c>
      <c r="B439" t="s">
        <v>790</v>
      </c>
      <c r="C439" t="s">
        <v>763</v>
      </c>
      <c r="D439" s="71">
        <v>45306</v>
      </c>
      <c r="E439" t="s">
        <v>79</v>
      </c>
    </row>
    <row r="440" spans="1:5">
      <c r="A440" t="s">
        <v>1245</v>
      </c>
      <c r="B440" t="s">
        <v>790</v>
      </c>
      <c r="C440" t="s">
        <v>763</v>
      </c>
      <c r="D440" s="71">
        <v>45307</v>
      </c>
      <c r="E440" t="s">
        <v>79</v>
      </c>
    </row>
    <row r="441" spans="1:5">
      <c r="A441" t="s">
        <v>1246</v>
      </c>
      <c r="B441" t="s">
        <v>790</v>
      </c>
      <c r="C441" t="s">
        <v>763</v>
      </c>
      <c r="D441" s="71">
        <v>45314</v>
      </c>
      <c r="E441" t="s">
        <v>14</v>
      </c>
    </row>
    <row r="442" spans="1:5">
      <c r="A442" t="s">
        <v>1247</v>
      </c>
      <c r="B442" t="s">
        <v>790</v>
      </c>
      <c r="C442" t="s">
        <v>763</v>
      </c>
      <c r="D442" s="71">
        <v>45317</v>
      </c>
      <c r="E442" t="s">
        <v>79</v>
      </c>
    </row>
    <row r="443" spans="1:5">
      <c r="A443" t="s">
        <v>1248</v>
      </c>
      <c r="B443" t="s">
        <v>790</v>
      </c>
      <c r="C443" t="s">
        <v>763</v>
      </c>
      <c r="D443" s="71">
        <v>45322</v>
      </c>
      <c r="E443" t="s">
        <v>80</v>
      </c>
    </row>
    <row r="444" spans="1:5">
      <c r="A444" t="s">
        <v>1249</v>
      </c>
      <c r="B444" t="s">
        <v>791</v>
      </c>
      <c r="C444" t="s">
        <v>764</v>
      </c>
      <c r="D444" s="71">
        <v>45293</v>
      </c>
      <c r="E444" t="s">
        <v>14</v>
      </c>
    </row>
    <row r="445" spans="1:5">
      <c r="A445" t="s">
        <v>1250</v>
      </c>
      <c r="B445" t="s">
        <v>791</v>
      </c>
      <c r="C445" t="s">
        <v>764</v>
      </c>
      <c r="D445" s="71">
        <v>45295</v>
      </c>
      <c r="E445" t="s">
        <v>14</v>
      </c>
    </row>
    <row r="446" spans="1:5">
      <c r="A446" t="s">
        <v>1251</v>
      </c>
      <c r="B446" t="s">
        <v>791</v>
      </c>
      <c r="C446" t="s">
        <v>764</v>
      </c>
      <c r="D446" s="71">
        <v>45300</v>
      </c>
      <c r="E446" t="s">
        <v>80</v>
      </c>
    </row>
    <row r="447" spans="1:5">
      <c r="A447" t="s">
        <v>1252</v>
      </c>
      <c r="B447" t="s">
        <v>791</v>
      </c>
      <c r="C447" t="s">
        <v>764</v>
      </c>
      <c r="D447" s="71">
        <v>45306</v>
      </c>
      <c r="E447" t="s">
        <v>79</v>
      </c>
    </row>
    <row r="448" spans="1:5">
      <c r="A448" t="s">
        <v>1253</v>
      </c>
      <c r="B448" t="s">
        <v>791</v>
      </c>
      <c r="C448" t="s">
        <v>764</v>
      </c>
      <c r="D448" s="71">
        <v>45307</v>
      </c>
      <c r="E448" t="s">
        <v>79</v>
      </c>
    </row>
    <row r="449" spans="1:5">
      <c r="A449" t="s">
        <v>1254</v>
      </c>
      <c r="B449" t="s">
        <v>791</v>
      </c>
      <c r="C449" t="s">
        <v>764</v>
      </c>
      <c r="D449" s="71">
        <v>45317</v>
      </c>
      <c r="E449" t="s">
        <v>79</v>
      </c>
    </row>
    <row r="450" spans="1:5">
      <c r="A450" t="s">
        <v>1255</v>
      </c>
      <c r="B450" t="s">
        <v>791</v>
      </c>
      <c r="C450" t="s">
        <v>764</v>
      </c>
      <c r="D450" s="71">
        <v>45322</v>
      </c>
      <c r="E450" t="s">
        <v>80</v>
      </c>
    </row>
    <row r="451" spans="1:5">
      <c r="A451" t="s">
        <v>1256</v>
      </c>
      <c r="B451" t="s">
        <v>792</v>
      </c>
      <c r="C451" t="s">
        <v>765</v>
      </c>
      <c r="D451" s="71">
        <v>45293</v>
      </c>
      <c r="E451" t="s">
        <v>14</v>
      </c>
    </row>
    <row r="452" spans="1:5">
      <c r="A452" t="s">
        <v>1257</v>
      </c>
      <c r="B452" t="s">
        <v>792</v>
      </c>
      <c r="C452" t="s">
        <v>765</v>
      </c>
      <c r="D452" s="71">
        <v>45300</v>
      </c>
      <c r="E452" t="s">
        <v>14</v>
      </c>
    </row>
    <row r="453" spans="1:5">
      <c r="A453" t="s">
        <v>1258</v>
      </c>
      <c r="B453" t="s">
        <v>792</v>
      </c>
      <c r="C453" t="s">
        <v>765</v>
      </c>
      <c r="D453" s="71">
        <v>45306</v>
      </c>
      <c r="E453" t="s">
        <v>79</v>
      </c>
    </row>
    <row r="454" spans="1:5">
      <c r="A454" t="s">
        <v>1259</v>
      </c>
      <c r="B454" t="s">
        <v>792</v>
      </c>
      <c r="C454" t="s">
        <v>765</v>
      </c>
      <c r="D454" s="71">
        <v>45313</v>
      </c>
      <c r="E454" t="s">
        <v>14</v>
      </c>
    </row>
    <row r="455" spans="1:5">
      <c r="A455" t="s">
        <v>1260</v>
      </c>
      <c r="B455" t="s">
        <v>792</v>
      </c>
      <c r="C455" t="s">
        <v>765</v>
      </c>
      <c r="D455" s="71">
        <v>45317</v>
      </c>
      <c r="E455" t="s">
        <v>79</v>
      </c>
    </row>
    <row r="456" spans="1:5">
      <c r="A456" t="s">
        <v>1261</v>
      </c>
      <c r="B456" t="s">
        <v>792</v>
      </c>
      <c r="C456" t="s">
        <v>765</v>
      </c>
      <c r="D456" s="71">
        <v>45322</v>
      </c>
      <c r="E456" t="s">
        <v>80</v>
      </c>
    </row>
    <row r="457" spans="1:5">
      <c r="A457" t="s">
        <v>1262</v>
      </c>
      <c r="B457" t="s">
        <v>794</v>
      </c>
      <c r="C457" t="s">
        <v>767</v>
      </c>
      <c r="D457" s="71">
        <v>45292</v>
      </c>
      <c r="E457" t="s">
        <v>14</v>
      </c>
    </row>
    <row r="458" spans="1:5">
      <c r="A458" t="s">
        <v>1263</v>
      </c>
      <c r="B458" t="s">
        <v>794</v>
      </c>
      <c r="C458" t="s">
        <v>767</v>
      </c>
      <c r="D458" s="71">
        <v>45293</v>
      </c>
      <c r="E458" t="s">
        <v>80</v>
      </c>
    </row>
    <row r="459" spans="1:5">
      <c r="A459" t="s">
        <v>1264</v>
      </c>
      <c r="B459" t="s">
        <v>794</v>
      </c>
      <c r="C459" t="s">
        <v>767</v>
      </c>
      <c r="D459" s="71">
        <v>45294</v>
      </c>
      <c r="E459" t="s">
        <v>14</v>
      </c>
    </row>
    <row r="460" spans="1:5">
      <c r="A460" t="s">
        <v>1265</v>
      </c>
      <c r="B460" t="s">
        <v>794</v>
      </c>
      <c r="C460" t="s">
        <v>767</v>
      </c>
      <c r="D460" s="71">
        <v>45306</v>
      </c>
      <c r="E460" t="s">
        <v>79</v>
      </c>
    </row>
    <row r="461" spans="1:5">
      <c r="A461" t="s">
        <v>1266</v>
      </c>
      <c r="B461" t="s">
        <v>794</v>
      </c>
      <c r="C461" t="s">
        <v>767</v>
      </c>
      <c r="D461" s="71">
        <v>45307</v>
      </c>
      <c r="E461" t="s">
        <v>14</v>
      </c>
    </row>
    <row r="462" spans="1:5">
      <c r="A462" t="s">
        <v>1267</v>
      </c>
      <c r="B462" t="s">
        <v>794</v>
      </c>
      <c r="C462" t="s">
        <v>767</v>
      </c>
      <c r="D462" s="71">
        <v>45317</v>
      </c>
      <c r="E462" t="s">
        <v>79</v>
      </c>
    </row>
    <row r="463" spans="1:5">
      <c r="A463" t="s">
        <v>1268</v>
      </c>
      <c r="B463" t="s">
        <v>794</v>
      </c>
      <c r="C463" t="s">
        <v>767</v>
      </c>
      <c r="D463" s="71">
        <v>45321</v>
      </c>
      <c r="E463" t="s">
        <v>14</v>
      </c>
    </row>
    <row r="464" spans="1:5">
      <c r="A464" t="s">
        <v>1269</v>
      </c>
      <c r="B464" t="s">
        <v>794</v>
      </c>
      <c r="C464" t="s">
        <v>767</v>
      </c>
      <c r="D464" s="71">
        <v>45322</v>
      </c>
      <c r="E464" t="s">
        <v>80</v>
      </c>
    </row>
    <row r="465" spans="1:5">
      <c r="A465" t="s">
        <v>1270</v>
      </c>
      <c r="B465" t="s">
        <v>796</v>
      </c>
      <c r="C465" t="s">
        <v>769</v>
      </c>
      <c r="D465" s="71">
        <v>45292</v>
      </c>
      <c r="E465" t="s">
        <v>14</v>
      </c>
    </row>
    <row r="466" spans="1:5">
      <c r="A466" t="s">
        <v>1271</v>
      </c>
      <c r="B466" t="s">
        <v>796</v>
      </c>
      <c r="C466" t="s">
        <v>769</v>
      </c>
      <c r="D466" s="71">
        <v>45293</v>
      </c>
      <c r="E466" t="s">
        <v>14</v>
      </c>
    </row>
    <row r="467" spans="1:5">
      <c r="A467" t="s">
        <v>1272</v>
      </c>
      <c r="B467" t="s">
        <v>796</v>
      </c>
      <c r="C467" t="s">
        <v>769</v>
      </c>
      <c r="D467" s="71">
        <v>45294</v>
      </c>
      <c r="E467" t="s">
        <v>14</v>
      </c>
    </row>
    <row r="468" spans="1:5">
      <c r="A468" t="s">
        <v>1273</v>
      </c>
      <c r="B468" t="s">
        <v>796</v>
      </c>
      <c r="C468" t="s">
        <v>769</v>
      </c>
      <c r="D468" s="71">
        <v>45295</v>
      </c>
      <c r="E468" t="s">
        <v>79</v>
      </c>
    </row>
    <row r="469" spans="1:5">
      <c r="A469" t="s">
        <v>1274</v>
      </c>
      <c r="B469" t="s">
        <v>796</v>
      </c>
      <c r="C469" t="s">
        <v>769</v>
      </c>
      <c r="D469" s="71">
        <v>45296</v>
      </c>
      <c r="E469" t="s">
        <v>14</v>
      </c>
    </row>
    <row r="470" spans="1:5">
      <c r="A470" t="s">
        <v>1275</v>
      </c>
      <c r="B470" t="s">
        <v>796</v>
      </c>
      <c r="C470" t="s">
        <v>769</v>
      </c>
      <c r="D470" s="71">
        <v>45299</v>
      </c>
      <c r="E470" t="s">
        <v>14</v>
      </c>
    </row>
    <row r="471" spans="1:5">
      <c r="A471" t="s">
        <v>1276</v>
      </c>
      <c r="B471" t="s">
        <v>796</v>
      </c>
      <c r="C471" t="s">
        <v>769</v>
      </c>
      <c r="D471" s="71">
        <v>45300</v>
      </c>
      <c r="E471" t="s">
        <v>14</v>
      </c>
    </row>
    <row r="472" spans="1:5">
      <c r="A472" t="s">
        <v>1277</v>
      </c>
      <c r="B472" t="s">
        <v>796</v>
      </c>
      <c r="C472" t="s">
        <v>769</v>
      </c>
      <c r="D472" s="71">
        <v>45301</v>
      </c>
      <c r="E472" t="s">
        <v>79</v>
      </c>
    </row>
    <row r="473" spans="1:5">
      <c r="A473" t="s">
        <v>1278</v>
      </c>
      <c r="B473" t="s">
        <v>796</v>
      </c>
      <c r="C473" t="s">
        <v>769</v>
      </c>
      <c r="D473" s="71">
        <v>45302</v>
      </c>
      <c r="E473" t="s">
        <v>14</v>
      </c>
    </row>
    <row r="474" spans="1:5">
      <c r="A474" t="s">
        <v>1279</v>
      </c>
      <c r="B474" t="s">
        <v>796</v>
      </c>
      <c r="C474" t="s">
        <v>769</v>
      </c>
      <c r="D474" s="71">
        <v>45303</v>
      </c>
      <c r="E474" t="s">
        <v>14</v>
      </c>
    </row>
    <row r="475" spans="1:5">
      <c r="A475" t="s">
        <v>1280</v>
      </c>
      <c r="B475" t="s">
        <v>796</v>
      </c>
      <c r="C475" t="s">
        <v>769</v>
      </c>
      <c r="D475" s="71">
        <v>45306</v>
      </c>
      <c r="E475" t="s">
        <v>79</v>
      </c>
    </row>
    <row r="476" spans="1:5">
      <c r="A476" t="s">
        <v>1281</v>
      </c>
      <c r="B476" t="s">
        <v>796</v>
      </c>
      <c r="C476" t="s">
        <v>769</v>
      </c>
      <c r="D476" s="71">
        <v>45307</v>
      </c>
      <c r="E476" t="s">
        <v>14</v>
      </c>
    </row>
    <row r="477" spans="1:5">
      <c r="A477" t="s">
        <v>1282</v>
      </c>
      <c r="B477" t="s">
        <v>796</v>
      </c>
      <c r="C477" t="s">
        <v>769</v>
      </c>
      <c r="D477" s="71">
        <v>45308</v>
      </c>
      <c r="E477" t="s">
        <v>79</v>
      </c>
    </row>
    <row r="478" spans="1:5">
      <c r="A478" t="s">
        <v>1283</v>
      </c>
      <c r="B478" t="s">
        <v>796</v>
      </c>
      <c r="C478" t="s">
        <v>769</v>
      </c>
      <c r="D478" s="71">
        <v>45309</v>
      </c>
      <c r="E478" t="s">
        <v>79</v>
      </c>
    </row>
    <row r="479" spans="1:5">
      <c r="A479" t="s">
        <v>1284</v>
      </c>
      <c r="B479" t="s">
        <v>796</v>
      </c>
      <c r="C479" t="s">
        <v>769</v>
      </c>
      <c r="D479" s="71">
        <v>45310</v>
      </c>
      <c r="E479" t="s">
        <v>79</v>
      </c>
    </row>
    <row r="480" spans="1:5">
      <c r="A480" t="s">
        <v>1285</v>
      </c>
      <c r="B480" t="s">
        <v>796</v>
      </c>
      <c r="C480" t="s">
        <v>769</v>
      </c>
      <c r="D480" s="71">
        <v>45313</v>
      </c>
      <c r="E480" t="s">
        <v>14</v>
      </c>
    </row>
    <row r="481" spans="1:5">
      <c r="A481" t="s">
        <v>1286</v>
      </c>
      <c r="B481" t="s">
        <v>796</v>
      </c>
      <c r="C481" t="s">
        <v>769</v>
      </c>
      <c r="D481" s="71">
        <v>45314</v>
      </c>
      <c r="E481" t="s">
        <v>79</v>
      </c>
    </row>
    <row r="482" spans="1:5">
      <c r="A482" t="s">
        <v>1287</v>
      </c>
      <c r="B482" t="s">
        <v>796</v>
      </c>
      <c r="C482" t="s">
        <v>769</v>
      </c>
      <c r="D482" s="71">
        <v>45315</v>
      </c>
      <c r="E482" t="s">
        <v>79</v>
      </c>
    </row>
    <row r="483" spans="1:5">
      <c r="A483" t="s">
        <v>1288</v>
      </c>
      <c r="B483" t="s">
        <v>796</v>
      </c>
      <c r="C483" t="s">
        <v>769</v>
      </c>
      <c r="D483" s="71">
        <v>45316</v>
      </c>
      <c r="E483" t="s">
        <v>79</v>
      </c>
    </row>
    <row r="484" spans="1:5">
      <c r="A484" t="s">
        <v>1289</v>
      </c>
      <c r="B484" t="s">
        <v>796</v>
      </c>
      <c r="C484" t="s">
        <v>769</v>
      </c>
      <c r="D484" s="71">
        <v>45317</v>
      </c>
      <c r="E484" t="s">
        <v>79</v>
      </c>
    </row>
    <row r="485" spans="1:5">
      <c r="A485" t="s">
        <v>1290</v>
      </c>
      <c r="B485" t="s">
        <v>796</v>
      </c>
      <c r="C485" t="s">
        <v>769</v>
      </c>
      <c r="D485" s="71">
        <v>45320</v>
      </c>
      <c r="E485" t="s">
        <v>79</v>
      </c>
    </row>
    <row r="486" spans="1:5">
      <c r="A486" t="s">
        <v>1291</v>
      </c>
      <c r="B486" t="s">
        <v>796</v>
      </c>
      <c r="C486" t="s">
        <v>769</v>
      </c>
      <c r="D486" s="71">
        <v>45321</v>
      </c>
      <c r="E486" t="s">
        <v>79</v>
      </c>
    </row>
    <row r="487" spans="1:5">
      <c r="A487" t="s">
        <v>1292</v>
      </c>
      <c r="B487" t="s">
        <v>796</v>
      </c>
      <c r="C487" t="s">
        <v>769</v>
      </c>
      <c r="D487" s="71">
        <v>45322</v>
      </c>
      <c r="E487" t="s">
        <v>79</v>
      </c>
    </row>
    <row r="488" spans="1:5">
      <c r="A488" t="s">
        <v>1293</v>
      </c>
      <c r="B488" t="s">
        <v>798</v>
      </c>
      <c r="C488" t="s">
        <v>770</v>
      </c>
      <c r="D488" s="71">
        <v>45292</v>
      </c>
      <c r="E488" t="s">
        <v>14</v>
      </c>
    </row>
    <row r="489" spans="1:5">
      <c r="A489" t="s">
        <v>1294</v>
      </c>
      <c r="B489" t="s">
        <v>798</v>
      </c>
      <c r="C489" t="s">
        <v>770</v>
      </c>
      <c r="D489" s="71">
        <v>45293</v>
      </c>
      <c r="E489" t="s">
        <v>14</v>
      </c>
    </row>
    <row r="490" spans="1:5">
      <c r="A490" t="s">
        <v>1295</v>
      </c>
      <c r="B490" t="s">
        <v>798</v>
      </c>
      <c r="C490" t="s">
        <v>770</v>
      </c>
      <c r="D490" s="71">
        <v>45294</v>
      </c>
      <c r="E490" t="s">
        <v>14</v>
      </c>
    </row>
    <row r="491" spans="1:5">
      <c r="A491" t="s">
        <v>1296</v>
      </c>
      <c r="B491" t="s">
        <v>798</v>
      </c>
      <c r="C491" t="s">
        <v>770</v>
      </c>
      <c r="D491" s="71">
        <v>45296</v>
      </c>
      <c r="E491" t="s">
        <v>80</v>
      </c>
    </row>
    <row r="492" spans="1:5">
      <c r="A492" t="s">
        <v>1297</v>
      </c>
      <c r="B492" t="s">
        <v>798</v>
      </c>
      <c r="C492" t="s">
        <v>770</v>
      </c>
      <c r="D492" s="71">
        <v>45301</v>
      </c>
      <c r="E492" t="s">
        <v>14</v>
      </c>
    </row>
    <row r="493" spans="1:5">
      <c r="A493" t="s">
        <v>1298</v>
      </c>
      <c r="B493" t="s">
        <v>798</v>
      </c>
      <c r="C493" t="s">
        <v>770</v>
      </c>
      <c r="D493" s="71">
        <v>45306</v>
      </c>
      <c r="E493" t="s">
        <v>79</v>
      </c>
    </row>
    <row r="494" spans="1:5">
      <c r="A494" t="s">
        <v>1299</v>
      </c>
      <c r="B494" t="s">
        <v>798</v>
      </c>
      <c r="C494" t="s">
        <v>770</v>
      </c>
      <c r="D494" s="71">
        <v>45307</v>
      </c>
      <c r="E494" t="s">
        <v>79</v>
      </c>
    </row>
    <row r="495" spans="1:5">
      <c r="A495" t="s">
        <v>1300</v>
      </c>
      <c r="B495" t="s">
        <v>798</v>
      </c>
      <c r="C495" t="s">
        <v>770</v>
      </c>
      <c r="D495" s="71">
        <v>45309</v>
      </c>
      <c r="E495" t="s">
        <v>14</v>
      </c>
    </row>
    <row r="496" spans="1:5">
      <c r="A496" t="s">
        <v>1301</v>
      </c>
      <c r="B496" t="s">
        <v>798</v>
      </c>
      <c r="C496" t="s">
        <v>770</v>
      </c>
      <c r="D496" s="71">
        <v>45313</v>
      </c>
      <c r="E496" t="s">
        <v>80</v>
      </c>
    </row>
    <row r="497" spans="1:5">
      <c r="A497" t="s">
        <v>1302</v>
      </c>
      <c r="B497" t="s">
        <v>798</v>
      </c>
      <c r="C497" t="s">
        <v>770</v>
      </c>
      <c r="D497" s="71">
        <v>45314</v>
      </c>
      <c r="E497" t="s">
        <v>14</v>
      </c>
    </row>
    <row r="498" spans="1:5">
      <c r="A498" t="s">
        <v>1303</v>
      </c>
      <c r="B498" t="s">
        <v>798</v>
      </c>
      <c r="C498" t="s">
        <v>770</v>
      </c>
      <c r="D498" s="71">
        <v>45315</v>
      </c>
      <c r="E498" t="s">
        <v>81</v>
      </c>
    </row>
    <row r="499" spans="1:5">
      <c r="A499" t="s">
        <v>1304</v>
      </c>
      <c r="B499" t="s">
        <v>798</v>
      </c>
      <c r="C499" t="s">
        <v>770</v>
      </c>
      <c r="D499" s="71">
        <v>45317</v>
      </c>
      <c r="E499" t="s">
        <v>79</v>
      </c>
    </row>
    <row r="500" spans="1:5">
      <c r="A500" t="s">
        <v>1305</v>
      </c>
      <c r="B500" t="s">
        <v>798</v>
      </c>
      <c r="C500" t="s">
        <v>770</v>
      </c>
      <c r="D500" s="71">
        <v>45320</v>
      </c>
      <c r="E500" t="s">
        <v>14</v>
      </c>
    </row>
    <row r="501" spans="1:5">
      <c r="A501" t="s">
        <v>1306</v>
      </c>
      <c r="B501" t="s">
        <v>798</v>
      </c>
      <c r="C501" t="s">
        <v>770</v>
      </c>
      <c r="D501" s="71">
        <v>45322</v>
      </c>
      <c r="E501" t="s">
        <v>14</v>
      </c>
    </row>
    <row r="502" spans="1:5">
      <c r="A502" t="s">
        <v>1307</v>
      </c>
      <c r="B502" t="s">
        <v>799</v>
      </c>
      <c r="C502" t="s">
        <v>771</v>
      </c>
      <c r="D502" s="71">
        <v>45292</v>
      </c>
      <c r="E502" t="s">
        <v>14</v>
      </c>
    </row>
    <row r="503" spans="1:5">
      <c r="A503" t="s">
        <v>1308</v>
      </c>
      <c r="B503" t="s">
        <v>799</v>
      </c>
      <c r="C503" t="s">
        <v>771</v>
      </c>
      <c r="D503" s="71">
        <v>45293</v>
      </c>
      <c r="E503" t="s">
        <v>14</v>
      </c>
    </row>
    <row r="504" spans="1:5">
      <c r="A504" t="s">
        <v>1309</v>
      </c>
      <c r="B504" t="s">
        <v>799</v>
      </c>
      <c r="C504" t="s">
        <v>771</v>
      </c>
      <c r="D504" s="71">
        <v>45294</v>
      </c>
      <c r="E504" t="s">
        <v>14</v>
      </c>
    </row>
    <row r="505" spans="1:5">
      <c r="A505" t="s">
        <v>1310</v>
      </c>
      <c r="B505" t="s">
        <v>799</v>
      </c>
      <c r="C505" t="s">
        <v>771</v>
      </c>
      <c r="D505" s="71">
        <v>45295</v>
      </c>
      <c r="E505" t="s">
        <v>14</v>
      </c>
    </row>
    <row r="506" spans="1:5">
      <c r="A506" t="s">
        <v>1311</v>
      </c>
      <c r="B506" t="s">
        <v>799</v>
      </c>
      <c r="C506" t="s">
        <v>771</v>
      </c>
      <c r="D506" s="71">
        <v>45296</v>
      </c>
      <c r="E506" t="s">
        <v>79</v>
      </c>
    </row>
    <row r="507" spans="1:5">
      <c r="A507" t="s">
        <v>1312</v>
      </c>
      <c r="B507" t="s">
        <v>799</v>
      </c>
      <c r="C507" t="s">
        <v>771</v>
      </c>
      <c r="D507" s="71">
        <v>45299</v>
      </c>
      <c r="E507" t="s">
        <v>79</v>
      </c>
    </row>
    <row r="508" spans="1:5">
      <c r="A508" t="s">
        <v>1313</v>
      </c>
      <c r="B508" t="s">
        <v>799</v>
      </c>
      <c r="C508" t="s">
        <v>771</v>
      </c>
      <c r="D508" s="71">
        <v>45300</v>
      </c>
      <c r="E508" t="s">
        <v>14</v>
      </c>
    </row>
    <row r="509" spans="1:5">
      <c r="A509" t="s">
        <v>1314</v>
      </c>
      <c r="B509" t="s">
        <v>799</v>
      </c>
      <c r="C509" t="s">
        <v>771</v>
      </c>
      <c r="D509" s="71">
        <v>45301</v>
      </c>
      <c r="E509" t="s">
        <v>14</v>
      </c>
    </row>
    <row r="510" spans="1:5">
      <c r="A510" t="s">
        <v>1315</v>
      </c>
      <c r="B510" t="s">
        <v>799</v>
      </c>
      <c r="C510" t="s">
        <v>771</v>
      </c>
      <c r="D510" s="71">
        <v>45302</v>
      </c>
      <c r="E510" t="s">
        <v>79</v>
      </c>
    </row>
    <row r="511" spans="1:5">
      <c r="A511" t="s">
        <v>1316</v>
      </c>
      <c r="B511" t="s">
        <v>799</v>
      </c>
      <c r="C511" t="s">
        <v>771</v>
      </c>
      <c r="D511" s="71">
        <v>45303</v>
      </c>
      <c r="E511" t="s">
        <v>14</v>
      </c>
    </row>
    <row r="512" spans="1:5">
      <c r="A512" t="s">
        <v>1317</v>
      </c>
      <c r="B512" t="s">
        <v>799</v>
      </c>
      <c r="C512" t="s">
        <v>771</v>
      </c>
      <c r="D512" s="71">
        <v>45306</v>
      </c>
      <c r="E512" t="s">
        <v>79</v>
      </c>
    </row>
    <row r="513" spans="1:5">
      <c r="A513" t="s">
        <v>1318</v>
      </c>
      <c r="B513" t="s">
        <v>799</v>
      </c>
      <c r="C513" t="s">
        <v>771</v>
      </c>
      <c r="D513" s="71">
        <v>45307</v>
      </c>
      <c r="E513" t="s">
        <v>14</v>
      </c>
    </row>
    <row r="514" spans="1:5">
      <c r="A514" t="s">
        <v>1319</v>
      </c>
      <c r="B514" t="s">
        <v>799</v>
      </c>
      <c r="C514" t="s">
        <v>771</v>
      </c>
      <c r="D514" s="71">
        <v>45308</v>
      </c>
      <c r="E514" t="s">
        <v>79</v>
      </c>
    </row>
    <row r="515" spans="1:5">
      <c r="A515" t="s">
        <v>1320</v>
      </c>
      <c r="B515" t="s">
        <v>799</v>
      </c>
      <c r="C515" t="s">
        <v>771</v>
      </c>
      <c r="D515" s="71">
        <v>45309</v>
      </c>
      <c r="E515" t="s">
        <v>79</v>
      </c>
    </row>
    <row r="516" spans="1:5">
      <c r="A516" t="s">
        <v>1321</v>
      </c>
      <c r="B516" t="s">
        <v>799</v>
      </c>
      <c r="C516" t="s">
        <v>771</v>
      </c>
      <c r="D516" s="71">
        <v>45310</v>
      </c>
      <c r="E516" t="s">
        <v>79</v>
      </c>
    </row>
    <row r="517" spans="1:5">
      <c r="A517" t="s">
        <v>1322</v>
      </c>
      <c r="B517" t="s">
        <v>799</v>
      </c>
      <c r="C517" t="s">
        <v>771</v>
      </c>
      <c r="D517" s="71">
        <v>45313</v>
      </c>
      <c r="E517" t="s">
        <v>14</v>
      </c>
    </row>
    <row r="518" spans="1:5">
      <c r="A518" t="s">
        <v>1323</v>
      </c>
      <c r="B518" t="s">
        <v>799</v>
      </c>
      <c r="C518" t="s">
        <v>771</v>
      </c>
      <c r="D518" s="71">
        <v>45314</v>
      </c>
      <c r="E518" t="s">
        <v>79</v>
      </c>
    </row>
    <row r="519" spans="1:5">
      <c r="A519" t="s">
        <v>1324</v>
      </c>
      <c r="B519" t="s">
        <v>799</v>
      </c>
      <c r="C519" t="s">
        <v>771</v>
      </c>
      <c r="D519" s="71">
        <v>45315</v>
      </c>
      <c r="E519" t="s">
        <v>79</v>
      </c>
    </row>
    <row r="520" spans="1:5">
      <c r="A520" t="s">
        <v>1325</v>
      </c>
      <c r="B520" t="s">
        <v>799</v>
      </c>
      <c r="C520" t="s">
        <v>771</v>
      </c>
      <c r="D520" s="71">
        <v>45316</v>
      </c>
      <c r="E520" t="s">
        <v>79</v>
      </c>
    </row>
    <row r="521" spans="1:5">
      <c r="A521" t="s">
        <v>1326</v>
      </c>
      <c r="B521" t="s">
        <v>799</v>
      </c>
      <c r="C521" t="s">
        <v>771</v>
      </c>
      <c r="D521" s="71">
        <v>45317</v>
      </c>
      <c r="E521" t="s">
        <v>79</v>
      </c>
    </row>
    <row r="522" spans="1:5">
      <c r="A522" t="s">
        <v>1327</v>
      </c>
      <c r="B522" t="s">
        <v>799</v>
      </c>
      <c r="C522" t="s">
        <v>771</v>
      </c>
      <c r="D522" s="71">
        <v>45320</v>
      </c>
      <c r="E522" t="s">
        <v>79</v>
      </c>
    </row>
    <row r="523" spans="1:5">
      <c r="A523" t="s">
        <v>1328</v>
      </c>
      <c r="B523" t="s">
        <v>799</v>
      </c>
      <c r="C523" t="s">
        <v>771</v>
      </c>
      <c r="D523" s="71">
        <v>45321</v>
      </c>
      <c r="E523" t="s">
        <v>79</v>
      </c>
    </row>
    <row r="524" spans="1:5">
      <c r="A524" t="s">
        <v>1329</v>
      </c>
      <c r="B524" t="s">
        <v>799</v>
      </c>
      <c r="C524" t="s">
        <v>771</v>
      </c>
      <c r="D524" s="71">
        <v>45322</v>
      </c>
      <c r="E524" t="s">
        <v>79</v>
      </c>
    </row>
  </sheetData>
  <phoneticPr fontId="46" type="noConversion"/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99010C-8D5A-4EEA-A800-BB394D4076FC}">
  <dimension ref="A1:AS334"/>
  <sheetViews>
    <sheetView topLeftCell="J1" zoomScale="85" zoomScaleNormal="40" workbookViewId="0">
      <selection activeCell="AP2" sqref="AP2"/>
    </sheetView>
  </sheetViews>
  <sheetFormatPr defaultRowHeight="14.4"/>
  <cols>
    <col min="3" max="3" width="12.5546875" customWidth="1"/>
    <col min="4" max="4" width="12.21875" bestFit="1" customWidth="1"/>
    <col min="6" max="6" width="9.44140625" customWidth="1"/>
    <col min="8" max="8" width="10.44140625" customWidth="1"/>
    <col min="9" max="9" width="14.5546875" customWidth="1"/>
    <col min="10" max="10" width="16" customWidth="1"/>
    <col min="11" max="11" width="13.77734375" customWidth="1"/>
    <col min="12" max="12" width="11" customWidth="1"/>
    <col min="17" max="17" width="12.77734375" bestFit="1" customWidth="1"/>
    <col min="18" max="18" width="12.21875" bestFit="1" customWidth="1"/>
    <col min="29" max="29" width="11.77734375" hidden="1" customWidth="1"/>
    <col min="30" max="31" width="0" hidden="1" customWidth="1"/>
    <col min="32" max="32" width="12.21875" hidden="1" customWidth="1"/>
    <col min="33" max="33" width="0" hidden="1" customWidth="1"/>
    <col min="34" max="34" width="17.77734375" hidden="1" customWidth="1"/>
    <col min="35" max="41" width="0" hidden="1" customWidth="1"/>
    <col min="43" max="43" width="9.77734375" bestFit="1" customWidth="1"/>
    <col min="44" max="44" width="13.5546875" bestFit="1" customWidth="1"/>
  </cols>
  <sheetData>
    <row r="1" spans="1:45" ht="32.4">
      <c r="A1" s="50" t="s">
        <v>715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O1" s="66" t="s">
        <v>716</v>
      </c>
      <c r="P1" s="66"/>
      <c r="Q1" s="66"/>
      <c r="R1" s="66"/>
      <c r="S1" s="66"/>
      <c r="T1" s="66"/>
      <c r="U1" s="66"/>
      <c r="V1" s="66"/>
      <c r="W1" s="66"/>
      <c r="X1" s="66"/>
      <c r="Y1" s="66"/>
      <c r="Z1" s="66"/>
      <c r="AA1" s="66"/>
      <c r="AB1" s="67"/>
      <c r="AC1" s="51" t="s">
        <v>717</v>
      </c>
      <c r="AD1" s="51"/>
      <c r="AE1" s="51"/>
      <c r="AF1" s="51"/>
      <c r="AG1" s="51"/>
      <c r="AH1" s="51"/>
      <c r="AI1" s="51"/>
      <c r="AJ1" s="51"/>
      <c r="AK1" s="51"/>
      <c r="AL1" s="51"/>
      <c r="AM1" s="51"/>
      <c r="AN1" s="51"/>
      <c r="AO1" s="51"/>
    </row>
    <row r="2" spans="1:45" ht="41.4">
      <c r="A2" s="48" t="s">
        <v>97</v>
      </c>
      <c r="B2" s="48" t="s">
        <v>478</v>
      </c>
      <c r="C2" s="48" t="s">
        <v>479</v>
      </c>
      <c r="D2" s="48" t="s">
        <v>98</v>
      </c>
      <c r="E2" s="49" t="s">
        <v>718</v>
      </c>
      <c r="F2" s="48" t="s">
        <v>488</v>
      </c>
      <c r="G2" s="49" t="s">
        <v>719</v>
      </c>
      <c r="H2" s="48" t="s">
        <v>720</v>
      </c>
      <c r="I2" s="49" t="s">
        <v>482</v>
      </c>
      <c r="J2" s="49" t="s">
        <v>483</v>
      </c>
      <c r="K2" s="49" t="s">
        <v>484</v>
      </c>
      <c r="L2" s="49" t="s">
        <v>485</v>
      </c>
      <c r="M2" s="49" t="s">
        <v>721</v>
      </c>
      <c r="O2" s="48" t="s">
        <v>97</v>
      </c>
      <c r="P2" s="48" t="s">
        <v>478</v>
      </c>
      <c r="Q2" s="48" t="s">
        <v>479</v>
      </c>
      <c r="R2" s="48" t="s">
        <v>98</v>
      </c>
      <c r="S2" s="49" t="s">
        <v>718</v>
      </c>
      <c r="T2" s="48" t="s">
        <v>488</v>
      </c>
      <c r="U2" s="49" t="s">
        <v>719</v>
      </c>
      <c r="V2" s="48" t="s">
        <v>720</v>
      </c>
      <c r="W2" s="49" t="s">
        <v>482</v>
      </c>
      <c r="X2" s="49" t="s">
        <v>483</v>
      </c>
      <c r="Y2" s="49" t="s">
        <v>484</v>
      </c>
      <c r="Z2" s="49" t="s">
        <v>485</v>
      </c>
      <c r="AA2" s="49" t="s">
        <v>721</v>
      </c>
      <c r="AB2" s="53"/>
      <c r="AC2" s="52" t="s">
        <v>97</v>
      </c>
      <c r="AD2" s="52" t="s">
        <v>478</v>
      </c>
      <c r="AE2" s="52" t="s">
        <v>479</v>
      </c>
      <c r="AF2" s="52" t="s">
        <v>98</v>
      </c>
      <c r="AG2" s="53" t="s">
        <v>718</v>
      </c>
      <c r="AH2" s="52" t="s">
        <v>488</v>
      </c>
      <c r="AI2" s="53" t="s">
        <v>719</v>
      </c>
      <c r="AJ2" s="52" t="s">
        <v>720</v>
      </c>
      <c r="AK2" s="53" t="s">
        <v>482</v>
      </c>
      <c r="AL2" s="53" t="s">
        <v>483</v>
      </c>
      <c r="AM2" s="53" t="s">
        <v>484</v>
      </c>
      <c r="AN2" s="49" t="s">
        <v>485</v>
      </c>
      <c r="AO2" s="49" t="s">
        <v>721</v>
      </c>
      <c r="AP2" s="56" t="s">
        <v>97</v>
      </c>
      <c r="AQ2" s="57" t="s">
        <v>478</v>
      </c>
      <c r="AR2" s="57" t="s">
        <v>722</v>
      </c>
      <c r="AS2" s="58" t="s">
        <v>723</v>
      </c>
    </row>
    <row r="3" spans="1:45" ht="30">
      <c r="A3" s="43" t="s">
        <v>724</v>
      </c>
      <c r="B3" s="44" t="s">
        <v>725</v>
      </c>
      <c r="C3" s="44" t="s">
        <v>489</v>
      </c>
      <c r="D3" s="45" t="s">
        <v>490</v>
      </c>
      <c r="E3" s="46"/>
      <c r="F3" s="46"/>
      <c r="G3" s="46"/>
      <c r="H3" s="46"/>
      <c r="I3" s="43">
        <v>0</v>
      </c>
      <c r="J3" s="43">
        <v>0</v>
      </c>
      <c r="K3" s="43">
        <v>540</v>
      </c>
      <c r="L3" s="43">
        <v>540</v>
      </c>
      <c r="O3" s="43" t="s">
        <v>726</v>
      </c>
      <c r="P3" s="44" t="s">
        <v>727</v>
      </c>
      <c r="Q3" s="44" t="s">
        <v>647</v>
      </c>
      <c r="R3" s="45" t="s">
        <v>491</v>
      </c>
      <c r="S3" s="46" t="s">
        <v>630</v>
      </c>
      <c r="T3" s="46" t="s">
        <v>648</v>
      </c>
      <c r="U3" s="46"/>
      <c r="V3" s="46"/>
      <c r="W3" s="43">
        <v>18</v>
      </c>
      <c r="X3" s="43">
        <v>0</v>
      </c>
      <c r="Y3" s="43">
        <v>0</v>
      </c>
      <c r="Z3" s="43">
        <v>18</v>
      </c>
      <c r="AC3" s="43">
        <v>23038</v>
      </c>
      <c r="AD3" s="44" t="s">
        <v>728</v>
      </c>
      <c r="AE3" s="44" t="s">
        <v>489</v>
      </c>
      <c r="AF3" s="45" t="s">
        <v>515</v>
      </c>
      <c r="AG3" s="46">
        <v>0.42291666666666666</v>
      </c>
      <c r="AH3" s="46">
        <v>0.79791666666666661</v>
      </c>
      <c r="AI3" s="46"/>
      <c r="AJ3" s="46"/>
      <c r="AK3" s="43">
        <v>0</v>
      </c>
      <c r="AL3" s="43">
        <v>0</v>
      </c>
      <c r="AM3" s="43">
        <v>0</v>
      </c>
      <c r="AN3" s="43">
        <v>0</v>
      </c>
      <c r="AP3" s="54">
        <v>1</v>
      </c>
      <c r="AQ3" s="32" t="s">
        <v>728</v>
      </c>
      <c r="AR3" s="32" t="s">
        <v>729</v>
      </c>
      <c r="AS3" s="55" t="s">
        <v>730</v>
      </c>
    </row>
    <row r="4" spans="1:45" ht="30">
      <c r="A4" s="43" t="s">
        <v>724</v>
      </c>
      <c r="B4" s="44" t="s">
        <v>725</v>
      </c>
      <c r="C4" s="44" t="s">
        <v>489</v>
      </c>
      <c r="D4" s="45" t="s">
        <v>491</v>
      </c>
      <c r="E4" s="46"/>
      <c r="F4" s="46"/>
      <c r="G4" s="46"/>
      <c r="H4" s="46"/>
      <c r="I4" s="43">
        <v>0</v>
      </c>
      <c r="J4" s="43">
        <v>0</v>
      </c>
      <c r="K4" s="43">
        <v>540</v>
      </c>
      <c r="L4" s="43">
        <v>540</v>
      </c>
      <c r="O4" s="43" t="s">
        <v>726</v>
      </c>
      <c r="P4" s="44" t="s">
        <v>727</v>
      </c>
      <c r="Q4" s="44" t="s">
        <v>647</v>
      </c>
      <c r="R4" s="45" t="s">
        <v>498</v>
      </c>
      <c r="S4" s="46" t="s">
        <v>649</v>
      </c>
      <c r="T4" s="46" t="s">
        <v>650</v>
      </c>
      <c r="U4" s="46"/>
      <c r="V4" s="46"/>
      <c r="W4" s="43">
        <v>15</v>
      </c>
      <c r="X4" s="43">
        <v>0</v>
      </c>
      <c r="Y4" s="43">
        <v>0</v>
      </c>
      <c r="Z4" s="43">
        <v>15</v>
      </c>
      <c r="AC4" s="43">
        <v>23038</v>
      </c>
      <c r="AD4" s="44" t="s">
        <v>728</v>
      </c>
      <c r="AE4" s="44" t="s">
        <v>489</v>
      </c>
      <c r="AF4" s="45" t="s">
        <v>517</v>
      </c>
      <c r="AG4" s="46">
        <v>0.43124999999999997</v>
      </c>
      <c r="AH4" s="46">
        <v>0.55625000000000002</v>
      </c>
      <c r="AI4" s="46"/>
      <c r="AJ4" s="46"/>
      <c r="AK4" s="43">
        <v>0</v>
      </c>
      <c r="AL4" s="43">
        <v>0</v>
      </c>
      <c r="AM4" s="43">
        <v>0</v>
      </c>
      <c r="AN4" s="43">
        <v>0</v>
      </c>
      <c r="AP4" s="54">
        <v>2</v>
      </c>
      <c r="AQ4" s="32" t="s">
        <v>731</v>
      </c>
      <c r="AR4" s="32" t="s">
        <v>729</v>
      </c>
      <c r="AS4" s="55" t="s">
        <v>730</v>
      </c>
    </row>
    <row r="5" spans="1:45" ht="30">
      <c r="A5" s="43" t="s">
        <v>724</v>
      </c>
      <c r="B5" s="44" t="s">
        <v>725</v>
      </c>
      <c r="C5" s="44" t="s">
        <v>489</v>
      </c>
      <c r="D5" s="45" t="s">
        <v>493</v>
      </c>
      <c r="E5" s="46"/>
      <c r="F5" s="46"/>
      <c r="G5" s="46"/>
      <c r="H5" s="46"/>
      <c r="I5" s="43">
        <v>0</v>
      </c>
      <c r="J5" s="43">
        <v>0</v>
      </c>
      <c r="K5" s="43">
        <v>540</v>
      </c>
      <c r="L5" s="43">
        <v>540</v>
      </c>
      <c r="O5" s="43" t="s">
        <v>726</v>
      </c>
      <c r="P5" s="44" t="s">
        <v>727</v>
      </c>
      <c r="Q5" s="44" t="s">
        <v>647</v>
      </c>
      <c r="R5" s="45" t="s">
        <v>506</v>
      </c>
      <c r="S5" s="46"/>
      <c r="T5" s="46"/>
      <c r="U5" s="46"/>
      <c r="V5" s="46"/>
      <c r="W5" s="43">
        <v>0</v>
      </c>
      <c r="X5" s="43">
        <v>0</v>
      </c>
      <c r="Y5" s="43">
        <v>540</v>
      </c>
      <c r="Z5" s="43">
        <v>540</v>
      </c>
      <c r="AC5" s="43">
        <v>23038</v>
      </c>
      <c r="AD5" s="44" t="s">
        <v>728</v>
      </c>
      <c r="AE5" s="44" t="s">
        <v>489</v>
      </c>
      <c r="AF5" s="45" t="s">
        <v>518</v>
      </c>
      <c r="AG5" s="46"/>
      <c r="AH5" s="46"/>
      <c r="AI5" s="46"/>
      <c r="AJ5" s="46"/>
      <c r="AK5" s="43">
        <v>0</v>
      </c>
      <c r="AL5" s="43">
        <v>0</v>
      </c>
      <c r="AM5" s="43">
        <v>0</v>
      </c>
      <c r="AN5" s="43">
        <v>0</v>
      </c>
      <c r="AP5" s="54">
        <v>3</v>
      </c>
      <c r="AQ5" s="32" t="s">
        <v>732</v>
      </c>
      <c r="AR5" s="32" t="s">
        <v>729</v>
      </c>
      <c r="AS5" s="55" t="s">
        <v>730</v>
      </c>
    </row>
    <row r="6" spans="1:45" ht="15">
      <c r="A6" s="43" t="s">
        <v>724</v>
      </c>
      <c r="B6" s="44" t="s">
        <v>725</v>
      </c>
      <c r="C6" s="44" t="s">
        <v>489</v>
      </c>
      <c r="D6" s="45" t="s">
        <v>494</v>
      </c>
      <c r="E6" s="46"/>
      <c r="F6" s="46"/>
      <c r="G6" s="46"/>
      <c r="H6" s="46"/>
      <c r="I6" s="43">
        <v>0</v>
      </c>
      <c r="J6" s="43">
        <v>0</v>
      </c>
      <c r="K6" s="43">
        <v>540</v>
      </c>
      <c r="L6" s="43">
        <v>540</v>
      </c>
      <c r="O6" s="43" t="s">
        <v>726</v>
      </c>
      <c r="P6" s="44" t="s">
        <v>727</v>
      </c>
      <c r="Q6" s="44" t="s">
        <v>647</v>
      </c>
      <c r="R6" s="45" t="s">
        <v>507</v>
      </c>
      <c r="S6" s="46" t="s">
        <v>651</v>
      </c>
      <c r="T6" s="46" t="s">
        <v>629</v>
      </c>
      <c r="U6" s="46"/>
      <c r="V6" s="46"/>
      <c r="W6" s="43">
        <v>134</v>
      </c>
      <c r="X6" s="43">
        <v>0</v>
      </c>
      <c r="Y6" s="43">
        <v>0</v>
      </c>
      <c r="Z6" s="43">
        <v>134</v>
      </c>
      <c r="AD6" s="62"/>
      <c r="AE6" s="62"/>
      <c r="AF6" s="63"/>
      <c r="AG6" s="64"/>
      <c r="AH6" s="64"/>
      <c r="AI6" s="65"/>
      <c r="AP6" s="54">
        <v>4</v>
      </c>
      <c r="AQ6" s="32" t="s">
        <v>733</v>
      </c>
      <c r="AR6" s="32" t="s">
        <v>729</v>
      </c>
      <c r="AS6" s="55" t="s">
        <v>730</v>
      </c>
    </row>
    <row r="7" spans="1:45" ht="15">
      <c r="A7" s="43" t="s">
        <v>724</v>
      </c>
      <c r="B7" s="44" t="s">
        <v>725</v>
      </c>
      <c r="C7" s="44" t="s">
        <v>489</v>
      </c>
      <c r="D7" s="45" t="s">
        <v>495</v>
      </c>
      <c r="E7" s="46"/>
      <c r="F7" s="46"/>
      <c r="G7" s="46"/>
      <c r="H7" s="46"/>
      <c r="I7" s="43">
        <v>0</v>
      </c>
      <c r="J7" s="43">
        <v>0</v>
      </c>
      <c r="K7" s="43">
        <v>540</v>
      </c>
      <c r="L7" s="43">
        <v>540</v>
      </c>
      <c r="O7" s="43" t="s">
        <v>726</v>
      </c>
      <c r="P7" s="44" t="s">
        <v>727</v>
      </c>
      <c r="Q7" s="44" t="s">
        <v>647</v>
      </c>
      <c r="R7" s="45" t="s">
        <v>534</v>
      </c>
      <c r="S7" s="46" t="s">
        <v>652</v>
      </c>
      <c r="T7" s="46" t="s">
        <v>653</v>
      </c>
      <c r="U7" s="46"/>
      <c r="V7" s="46"/>
      <c r="W7" s="43">
        <v>68</v>
      </c>
      <c r="X7" s="43">
        <v>0</v>
      </c>
      <c r="Y7" s="43">
        <v>0</v>
      </c>
      <c r="Z7" s="43">
        <v>68</v>
      </c>
      <c r="AD7" s="62"/>
      <c r="AE7" s="62"/>
      <c r="AF7" s="63"/>
      <c r="AG7" s="64"/>
      <c r="AH7" s="64"/>
      <c r="AI7" s="65"/>
      <c r="AP7" s="54">
        <v>5</v>
      </c>
      <c r="AQ7" s="32" t="s">
        <v>734</v>
      </c>
      <c r="AR7" s="32" t="s">
        <v>729</v>
      </c>
      <c r="AS7" s="55" t="s">
        <v>730</v>
      </c>
    </row>
    <row r="8" spans="1:45" ht="15">
      <c r="A8" s="43" t="s">
        <v>724</v>
      </c>
      <c r="B8" s="44" t="s">
        <v>725</v>
      </c>
      <c r="C8" s="44" t="s">
        <v>489</v>
      </c>
      <c r="D8" s="45" t="s">
        <v>496</v>
      </c>
      <c r="E8" s="46"/>
      <c r="F8" s="46"/>
      <c r="G8" s="46"/>
      <c r="H8" s="46"/>
      <c r="I8" s="43">
        <v>0</v>
      </c>
      <c r="J8" s="43">
        <v>0</v>
      </c>
      <c r="K8" s="43">
        <v>540</v>
      </c>
      <c r="L8" s="43">
        <v>540</v>
      </c>
      <c r="O8" s="43" t="s">
        <v>726</v>
      </c>
      <c r="P8" s="44" t="s">
        <v>727</v>
      </c>
      <c r="Q8" s="44" t="s">
        <v>647</v>
      </c>
      <c r="R8" s="45" t="s">
        <v>510</v>
      </c>
      <c r="S8" s="46" t="s">
        <v>654</v>
      </c>
      <c r="T8" s="46"/>
      <c r="U8" s="46"/>
      <c r="V8" s="46"/>
      <c r="W8" s="43">
        <v>11</v>
      </c>
      <c r="X8" s="43">
        <v>0</v>
      </c>
      <c r="Y8" s="43">
        <v>529</v>
      </c>
      <c r="Z8" s="43">
        <v>540</v>
      </c>
      <c r="AD8" s="62"/>
      <c r="AE8" s="62"/>
      <c r="AF8" s="63"/>
      <c r="AG8" s="68"/>
      <c r="AH8" s="68"/>
      <c r="AI8" s="65"/>
      <c r="AP8" s="54">
        <v>6</v>
      </c>
      <c r="AQ8" s="32" t="s">
        <v>735</v>
      </c>
      <c r="AR8" s="32" t="s">
        <v>729</v>
      </c>
      <c r="AS8" s="55" t="s">
        <v>730</v>
      </c>
    </row>
    <row r="9" spans="1:45" ht="15">
      <c r="A9" s="43" t="s">
        <v>724</v>
      </c>
      <c r="B9" s="44" t="s">
        <v>725</v>
      </c>
      <c r="C9" s="44" t="s">
        <v>489</v>
      </c>
      <c r="D9" s="45" t="s">
        <v>497</v>
      </c>
      <c r="E9" s="46"/>
      <c r="F9" s="46"/>
      <c r="G9" s="46"/>
      <c r="H9" s="46"/>
      <c r="I9" s="43">
        <v>0</v>
      </c>
      <c r="J9" s="43">
        <v>0</v>
      </c>
      <c r="K9" s="43">
        <v>540</v>
      </c>
      <c r="L9" s="43">
        <v>540</v>
      </c>
      <c r="O9" s="43" t="s">
        <v>726</v>
      </c>
      <c r="P9" s="44" t="s">
        <v>727</v>
      </c>
      <c r="Q9" s="44" t="s">
        <v>647</v>
      </c>
      <c r="R9" s="45" t="s">
        <v>540</v>
      </c>
      <c r="S9" s="46" t="s">
        <v>592</v>
      </c>
      <c r="T9" s="46" t="s">
        <v>629</v>
      </c>
      <c r="U9" s="46"/>
      <c r="V9" s="46"/>
      <c r="W9" s="43">
        <v>16</v>
      </c>
      <c r="X9" s="43">
        <v>0</v>
      </c>
      <c r="Y9" s="43">
        <v>0</v>
      </c>
      <c r="Z9" s="43">
        <v>16</v>
      </c>
      <c r="AD9" s="62"/>
      <c r="AE9" s="62"/>
      <c r="AF9" s="63"/>
      <c r="AG9" s="64"/>
      <c r="AH9" s="64"/>
      <c r="AI9" s="65"/>
      <c r="AP9" s="54">
        <v>7</v>
      </c>
      <c r="AQ9" s="32" t="s">
        <v>736</v>
      </c>
      <c r="AR9" s="32" t="s">
        <v>729</v>
      </c>
      <c r="AS9" s="55" t="s">
        <v>730</v>
      </c>
    </row>
    <row r="10" spans="1:45" ht="15">
      <c r="A10" s="43" t="s">
        <v>724</v>
      </c>
      <c r="B10" s="44" t="s">
        <v>725</v>
      </c>
      <c r="C10" s="44" t="s">
        <v>489</v>
      </c>
      <c r="D10" s="45" t="s">
        <v>498</v>
      </c>
      <c r="E10" s="46"/>
      <c r="F10" s="46"/>
      <c r="G10" s="46"/>
      <c r="H10" s="46"/>
      <c r="I10" s="43">
        <v>0</v>
      </c>
      <c r="J10" s="43">
        <v>0</v>
      </c>
      <c r="K10" s="43">
        <v>540</v>
      </c>
      <c r="L10" s="43">
        <v>540</v>
      </c>
      <c r="O10" s="43" t="s">
        <v>726</v>
      </c>
      <c r="P10" s="44" t="s">
        <v>727</v>
      </c>
      <c r="Q10" s="44" t="s">
        <v>647</v>
      </c>
      <c r="R10" s="45" t="s">
        <v>543</v>
      </c>
      <c r="S10" s="46" t="s">
        <v>635</v>
      </c>
      <c r="T10" s="46" t="s">
        <v>655</v>
      </c>
      <c r="U10" s="46"/>
      <c r="V10" s="46"/>
      <c r="W10" s="43">
        <v>26</v>
      </c>
      <c r="X10" s="43">
        <v>0</v>
      </c>
      <c r="Y10" s="43">
        <v>0</v>
      </c>
      <c r="Z10" s="43">
        <v>26</v>
      </c>
      <c r="AD10" s="62"/>
      <c r="AE10" s="62"/>
      <c r="AF10" s="63"/>
      <c r="AG10" s="68"/>
      <c r="AH10" s="69"/>
      <c r="AI10" s="65"/>
      <c r="AP10" s="54">
        <v>8</v>
      </c>
      <c r="AQ10" s="32" t="s">
        <v>737</v>
      </c>
      <c r="AR10" s="32" t="s">
        <v>729</v>
      </c>
      <c r="AS10" s="55" t="s">
        <v>730</v>
      </c>
    </row>
    <row r="11" spans="1:45" ht="15">
      <c r="A11" s="43" t="s">
        <v>724</v>
      </c>
      <c r="B11" s="44" t="s">
        <v>725</v>
      </c>
      <c r="C11" s="44" t="s">
        <v>489</v>
      </c>
      <c r="D11" s="45" t="s">
        <v>499</v>
      </c>
      <c r="E11" s="46"/>
      <c r="F11" s="46"/>
      <c r="G11" s="46"/>
      <c r="H11" s="46"/>
      <c r="I11" s="43">
        <v>0</v>
      </c>
      <c r="J11" s="43">
        <v>0</v>
      </c>
      <c r="K11" s="43">
        <v>540</v>
      </c>
      <c r="L11" s="43">
        <v>540</v>
      </c>
      <c r="O11" s="43" t="s">
        <v>726</v>
      </c>
      <c r="P11" s="44" t="s">
        <v>727</v>
      </c>
      <c r="Q11" s="44" t="s">
        <v>647</v>
      </c>
      <c r="R11" s="45" t="s">
        <v>512</v>
      </c>
      <c r="S11" s="46"/>
      <c r="T11" s="46"/>
      <c r="U11" s="46"/>
      <c r="V11" s="46"/>
      <c r="W11" s="43">
        <v>0</v>
      </c>
      <c r="X11" s="43">
        <v>0</v>
      </c>
      <c r="Y11" s="43">
        <v>540</v>
      </c>
      <c r="Z11" s="43">
        <v>540</v>
      </c>
      <c r="AD11" s="62"/>
      <c r="AE11" s="62"/>
      <c r="AF11" s="63"/>
      <c r="AG11" s="64"/>
      <c r="AH11" s="68"/>
      <c r="AI11" s="65"/>
      <c r="AP11" s="54">
        <v>9</v>
      </c>
      <c r="AQ11" s="32" t="s">
        <v>738</v>
      </c>
      <c r="AR11" s="32" t="s">
        <v>729</v>
      </c>
      <c r="AS11" s="55" t="s">
        <v>739</v>
      </c>
    </row>
    <row r="12" spans="1:45" ht="15">
      <c r="A12" s="43" t="s">
        <v>724</v>
      </c>
      <c r="B12" s="44" t="s">
        <v>725</v>
      </c>
      <c r="C12" s="44" t="s">
        <v>489</v>
      </c>
      <c r="D12" s="45" t="s">
        <v>500</v>
      </c>
      <c r="E12" s="46"/>
      <c r="F12" s="46"/>
      <c r="G12" s="46"/>
      <c r="H12" s="46"/>
      <c r="I12" s="43">
        <v>0</v>
      </c>
      <c r="J12" s="43">
        <v>0</v>
      </c>
      <c r="K12" s="43">
        <v>540</v>
      </c>
      <c r="L12" s="43">
        <v>540</v>
      </c>
      <c r="O12" s="43" t="s">
        <v>726</v>
      </c>
      <c r="P12" s="44" t="s">
        <v>727</v>
      </c>
      <c r="Q12" s="44" t="s">
        <v>647</v>
      </c>
      <c r="R12" s="45" t="s">
        <v>515</v>
      </c>
      <c r="S12" s="46" t="s">
        <v>654</v>
      </c>
      <c r="T12" s="46" t="s">
        <v>576</v>
      </c>
      <c r="U12" s="46"/>
      <c r="V12" s="46"/>
      <c r="W12" s="43">
        <v>11</v>
      </c>
      <c r="X12" s="43">
        <v>0</v>
      </c>
      <c r="Y12" s="43">
        <v>0</v>
      </c>
      <c r="Z12" s="43">
        <v>11</v>
      </c>
      <c r="AD12" s="62"/>
      <c r="AE12" s="62"/>
      <c r="AF12" s="63"/>
      <c r="AG12" s="64"/>
      <c r="AH12" s="64"/>
      <c r="AI12" s="65"/>
      <c r="AP12" s="54">
        <v>10</v>
      </c>
      <c r="AQ12" s="32" t="s">
        <v>740</v>
      </c>
      <c r="AR12" s="32" t="s">
        <v>729</v>
      </c>
      <c r="AS12" s="55" t="s">
        <v>730</v>
      </c>
    </row>
    <row r="13" spans="1:45" ht="15">
      <c r="A13" s="43" t="s">
        <v>724</v>
      </c>
      <c r="B13" s="44" t="s">
        <v>725</v>
      </c>
      <c r="C13" s="44" t="s">
        <v>489</v>
      </c>
      <c r="D13" s="45" t="s">
        <v>501</v>
      </c>
      <c r="E13" s="46"/>
      <c r="F13" s="46" t="s">
        <v>502</v>
      </c>
      <c r="G13" s="46"/>
      <c r="H13" s="46"/>
      <c r="I13" s="43">
        <v>0</v>
      </c>
      <c r="J13" s="43">
        <v>0</v>
      </c>
      <c r="K13" s="43">
        <v>540</v>
      </c>
      <c r="L13" s="43">
        <v>540</v>
      </c>
      <c r="O13" s="43" t="s">
        <v>726</v>
      </c>
      <c r="P13" s="44" t="s">
        <v>727</v>
      </c>
      <c r="Q13" s="44" t="s">
        <v>647</v>
      </c>
      <c r="R13" s="45" t="s">
        <v>518</v>
      </c>
      <c r="S13" s="46" t="s">
        <v>656</v>
      </c>
      <c r="T13" s="46"/>
      <c r="U13" s="46"/>
      <c r="V13" s="46"/>
      <c r="W13" s="43">
        <v>0</v>
      </c>
      <c r="X13" s="43">
        <v>0</v>
      </c>
      <c r="Y13" s="43">
        <v>540</v>
      </c>
      <c r="Z13" s="43">
        <v>540</v>
      </c>
      <c r="AD13" s="62"/>
      <c r="AE13" s="62"/>
      <c r="AF13" s="63"/>
      <c r="AG13" s="64"/>
      <c r="AH13" s="64"/>
      <c r="AI13" s="65"/>
      <c r="AP13" s="54">
        <v>11</v>
      </c>
      <c r="AQ13" s="32" t="s">
        <v>741</v>
      </c>
      <c r="AR13" s="32" t="s">
        <v>729</v>
      </c>
      <c r="AS13" s="55" t="s">
        <v>730</v>
      </c>
    </row>
    <row r="14" spans="1:45" ht="15">
      <c r="A14" s="43" t="s">
        <v>724</v>
      </c>
      <c r="B14" s="44" t="s">
        <v>725</v>
      </c>
      <c r="C14" s="44" t="s">
        <v>489</v>
      </c>
      <c r="D14" s="45" t="s">
        <v>503</v>
      </c>
      <c r="E14" s="46" t="s">
        <v>504</v>
      </c>
      <c r="F14" s="46"/>
      <c r="G14" s="46"/>
      <c r="H14" s="46"/>
      <c r="I14" s="43">
        <v>0</v>
      </c>
      <c r="J14" s="43">
        <v>0</v>
      </c>
      <c r="K14" s="43">
        <v>540</v>
      </c>
      <c r="L14" s="43">
        <v>540</v>
      </c>
      <c r="O14" s="43" t="s">
        <v>742</v>
      </c>
      <c r="P14" s="44" t="s">
        <v>743</v>
      </c>
      <c r="Q14" s="44" t="s">
        <v>647</v>
      </c>
      <c r="R14" s="45" t="s">
        <v>490</v>
      </c>
      <c r="S14" s="46" t="s">
        <v>657</v>
      </c>
      <c r="T14" s="46" t="s">
        <v>657</v>
      </c>
      <c r="U14" s="46"/>
      <c r="V14" s="46"/>
      <c r="W14" s="43">
        <v>432</v>
      </c>
      <c r="X14" s="43">
        <v>108</v>
      </c>
      <c r="Y14" s="43">
        <v>0</v>
      </c>
      <c r="Z14" s="43">
        <v>540</v>
      </c>
      <c r="AD14" s="62"/>
      <c r="AE14" s="62"/>
      <c r="AF14" s="63"/>
      <c r="AG14" s="64"/>
      <c r="AH14" s="64"/>
      <c r="AI14" s="65"/>
      <c r="AP14" s="54">
        <v>12</v>
      </c>
      <c r="AQ14" s="32" t="s">
        <v>744</v>
      </c>
      <c r="AR14" s="32" t="s">
        <v>729</v>
      </c>
      <c r="AS14" s="55" t="s">
        <v>730</v>
      </c>
    </row>
    <row r="15" spans="1:45" ht="15">
      <c r="A15" s="43" t="s">
        <v>724</v>
      </c>
      <c r="B15" s="44" t="s">
        <v>725</v>
      </c>
      <c r="C15" s="44" t="s">
        <v>489</v>
      </c>
      <c r="D15" s="45" t="s">
        <v>506</v>
      </c>
      <c r="E15" s="46"/>
      <c r="F15" s="46"/>
      <c r="G15" s="46"/>
      <c r="H15" s="46"/>
      <c r="I15" s="43">
        <v>0</v>
      </c>
      <c r="J15" s="43">
        <v>0</v>
      </c>
      <c r="K15" s="43">
        <v>540</v>
      </c>
      <c r="L15" s="43">
        <v>540</v>
      </c>
      <c r="O15" s="43" t="s">
        <v>742</v>
      </c>
      <c r="P15" s="44" t="s">
        <v>743</v>
      </c>
      <c r="Q15" s="44" t="s">
        <v>647</v>
      </c>
      <c r="R15" s="45" t="s">
        <v>491</v>
      </c>
      <c r="S15" s="46"/>
      <c r="T15" s="46"/>
      <c r="U15" s="46"/>
      <c r="V15" s="46"/>
      <c r="W15" s="43">
        <v>0</v>
      </c>
      <c r="X15" s="43">
        <v>0</v>
      </c>
      <c r="Y15" s="43">
        <v>540</v>
      </c>
      <c r="Z15" s="43">
        <v>540</v>
      </c>
      <c r="AD15" s="62"/>
      <c r="AE15" s="62"/>
      <c r="AF15" s="63"/>
      <c r="AG15" s="64"/>
      <c r="AH15" s="64"/>
      <c r="AI15" s="65"/>
      <c r="AP15" s="54">
        <v>13</v>
      </c>
      <c r="AQ15" s="32" t="s">
        <v>745</v>
      </c>
      <c r="AR15" s="32" t="s">
        <v>729</v>
      </c>
      <c r="AS15" s="55" t="s">
        <v>730</v>
      </c>
    </row>
    <row r="16" spans="1:45" ht="15">
      <c r="A16" s="43" t="s">
        <v>724</v>
      </c>
      <c r="B16" s="44" t="s">
        <v>725</v>
      </c>
      <c r="C16" s="44" t="s">
        <v>489</v>
      </c>
      <c r="D16" s="45" t="s">
        <v>507</v>
      </c>
      <c r="E16" s="46"/>
      <c r="F16" s="46"/>
      <c r="G16" s="46"/>
      <c r="H16" s="46"/>
      <c r="I16" s="43">
        <v>0</v>
      </c>
      <c r="J16" s="43">
        <v>0</v>
      </c>
      <c r="K16" s="43">
        <v>540</v>
      </c>
      <c r="L16" s="43">
        <v>540</v>
      </c>
      <c r="O16" s="43" t="s">
        <v>742</v>
      </c>
      <c r="P16" s="44" t="s">
        <v>743</v>
      </c>
      <c r="Q16" s="44" t="s">
        <v>647</v>
      </c>
      <c r="R16" s="45" t="s">
        <v>493</v>
      </c>
      <c r="S16" s="46"/>
      <c r="T16" s="46"/>
      <c r="U16" s="46"/>
      <c r="V16" s="46"/>
      <c r="W16" s="43">
        <v>0</v>
      </c>
      <c r="X16" s="43">
        <v>0</v>
      </c>
      <c r="Y16" s="43">
        <v>540</v>
      </c>
      <c r="Z16" s="43">
        <v>540</v>
      </c>
      <c r="AD16" s="62"/>
      <c r="AE16" s="62"/>
      <c r="AF16" s="63"/>
      <c r="AG16" s="64"/>
      <c r="AH16" s="64"/>
      <c r="AI16" s="65"/>
      <c r="AP16" s="54">
        <v>14</v>
      </c>
      <c r="AQ16" s="32" t="s">
        <v>746</v>
      </c>
      <c r="AR16" s="32" t="s">
        <v>729</v>
      </c>
      <c r="AS16" s="55" t="s">
        <v>730</v>
      </c>
    </row>
    <row r="17" spans="1:45" ht="15">
      <c r="A17" s="43" t="s">
        <v>724</v>
      </c>
      <c r="B17" s="44" t="s">
        <v>725</v>
      </c>
      <c r="C17" s="44" t="s">
        <v>489</v>
      </c>
      <c r="D17" s="45" t="s">
        <v>508</v>
      </c>
      <c r="E17" s="46"/>
      <c r="F17" s="46"/>
      <c r="G17" s="46"/>
      <c r="H17" s="46"/>
      <c r="I17" s="43">
        <v>0</v>
      </c>
      <c r="J17" s="43">
        <v>0</v>
      </c>
      <c r="K17" s="43">
        <v>540</v>
      </c>
      <c r="L17" s="43">
        <v>540</v>
      </c>
      <c r="O17" s="43" t="s">
        <v>742</v>
      </c>
      <c r="P17" s="44" t="s">
        <v>743</v>
      </c>
      <c r="Q17" s="44" t="s">
        <v>647</v>
      </c>
      <c r="R17" s="45" t="s">
        <v>494</v>
      </c>
      <c r="S17" s="46"/>
      <c r="T17" s="46"/>
      <c r="U17" s="46"/>
      <c r="V17" s="46"/>
      <c r="W17" s="43">
        <v>0</v>
      </c>
      <c r="X17" s="43">
        <v>0</v>
      </c>
      <c r="Y17" s="43">
        <v>540</v>
      </c>
      <c r="Z17" s="43">
        <v>540</v>
      </c>
      <c r="AD17" s="62"/>
      <c r="AE17" s="62"/>
      <c r="AF17" s="63"/>
      <c r="AG17" s="64"/>
      <c r="AH17" s="64"/>
      <c r="AI17" s="65"/>
      <c r="AP17" s="54">
        <v>15</v>
      </c>
      <c r="AQ17" s="32" t="s">
        <v>747</v>
      </c>
      <c r="AR17" s="32" t="s">
        <v>729</v>
      </c>
      <c r="AS17" s="55" t="s">
        <v>730</v>
      </c>
    </row>
    <row r="18" spans="1:45" ht="15">
      <c r="A18" s="43" t="s">
        <v>724</v>
      </c>
      <c r="B18" s="44" t="s">
        <v>725</v>
      </c>
      <c r="C18" s="44" t="s">
        <v>489</v>
      </c>
      <c r="D18" s="45" t="s">
        <v>509</v>
      </c>
      <c r="E18" s="46" t="s">
        <v>504</v>
      </c>
      <c r="F18" s="46"/>
      <c r="G18" s="46"/>
      <c r="H18" s="46"/>
      <c r="I18" s="43">
        <v>0</v>
      </c>
      <c r="J18" s="43">
        <v>0</v>
      </c>
      <c r="K18" s="43">
        <v>540</v>
      </c>
      <c r="L18" s="43">
        <v>540</v>
      </c>
      <c r="O18" s="43" t="s">
        <v>742</v>
      </c>
      <c r="P18" s="44" t="s">
        <v>743</v>
      </c>
      <c r="Q18" s="44" t="s">
        <v>647</v>
      </c>
      <c r="R18" s="45" t="s">
        <v>495</v>
      </c>
      <c r="S18" s="46"/>
      <c r="T18" s="46"/>
      <c r="U18" s="46"/>
      <c r="V18" s="46"/>
      <c r="W18" s="43">
        <v>0</v>
      </c>
      <c r="X18" s="43">
        <v>0</v>
      </c>
      <c r="Y18" s="43">
        <v>540</v>
      </c>
      <c r="Z18" s="43">
        <v>540</v>
      </c>
      <c r="AD18" s="62"/>
      <c r="AE18" s="62"/>
      <c r="AF18" s="63"/>
      <c r="AG18" s="64"/>
      <c r="AH18" s="64"/>
      <c r="AI18" s="65"/>
      <c r="AP18" s="54">
        <v>16</v>
      </c>
      <c r="AQ18" s="32" t="s">
        <v>748</v>
      </c>
      <c r="AR18" s="32" t="s">
        <v>729</v>
      </c>
      <c r="AS18" s="55" t="s">
        <v>730</v>
      </c>
    </row>
    <row r="19" spans="1:45" ht="15">
      <c r="A19" s="43" t="s">
        <v>724</v>
      </c>
      <c r="B19" s="44" t="s">
        <v>725</v>
      </c>
      <c r="C19" s="44" t="s">
        <v>489</v>
      </c>
      <c r="D19" s="45" t="s">
        <v>510</v>
      </c>
      <c r="E19" s="46" t="s">
        <v>511</v>
      </c>
      <c r="F19" s="46"/>
      <c r="G19" s="46"/>
      <c r="H19" s="46"/>
      <c r="I19" s="43">
        <v>0</v>
      </c>
      <c r="J19" s="43">
        <v>0</v>
      </c>
      <c r="K19" s="43">
        <v>540</v>
      </c>
      <c r="L19" s="43">
        <v>540</v>
      </c>
      <c r="O19" s="43" t="s">
        <v>742</v>
      </c>
      <c r="P19" s="44" t="s">
        <v>743</v>
      </c>
      <c r="Q19" s="44" t="s">
        <v>647</v>
      </c>
      <c r="R19" s="45" t="s">
        <v>497</v>
      </c>
      <c r="S19" s="46"/>
      <c r="T19" s="46"/>
      <c r="U19" s="46"/>
      <c r="V19" s="46"/>
      <c r="W19" s="43">
        <v>0</v>
      </c>
      <c r="X19" s="43">
        <v>0</v>
      </c>
      <c r="Y19" s="43">
        <v>540</v>
      </c>
      <c r="Z19" s="43">
        <v>540</v>
      </c>
      <c r="AD19" s="62"/>
      <c r="AE19" s="62"/>
      <c r="AF19" s="63"/>
      <c r="AG19" s="64"/>
      <c r="AH19" s="64"/>
      <c r="AI19" s="65"/>
      <c r="AP19" s="54">
        <v>17</v>
      </c>
      <c r="AQ19" s="32" t="s">
        <v>749</v>
      </c>
      <c r="AR19" s="32" t="s">
        <v>729</v>
      </c>
      <c r="AS19" s="55" t="s">
        <v>739</v>
      </c>
    </row>
    <row r="20" spans="1:45" ht="15">
      <c r="A20" s="43" t="s">
        <v>724</v>
      </c>
      <c r="B20" s="44" t="s">
        <v>725</v>
      </c>
      <c r="C20" s="44" t="s">
        <v>489</v>
      </c>
      <c r="D20" s="45" t="s">
        <v>512</v>
      </c>
      <c r="E20" s="46"/>
      <c r="F20" s="46"/>
      <c r="G20" s="46"/>
      <c r="H20" s="46"/>
      <c r="I20" s="43">
        <v>0</v>
      </c>
      <c r="J20" s="43">
        <v>0</v>
      </c>
      <c r="K20" s="43">
        <v>540</v>
      </c>
      <c r="L20" s="43">
        <v>540</v>
      </c>
      <c r="O20" s="43" t="s">
        <v>742</v>
      </c>
      <c r="P20" s="44" t="s">
        <v>743</v>
      </c>
      <c r="Q20" s="44" t="s">
        <v>647</v>
      </c>
      <c r="R20" s="45" t="s">
        <v>498</v>
      </c>
      <c r="S20" s="46"/>
      <c r="T20" s="46"/>
      <c r="U20" s="46"/>
      <c r="V20" s="46"/>
      <c r="W20" s="43">
        <v>0</v>
      </c>
      <c r="X20" s="43">
        <v>0</v>
      </c>
      <c r="Y20" s="43">
        <v>540</v>
      </c>
      <c r="Z20" s="43">
        <v>540</v>
      </c>
      <c r="AD20" s="62"/>
      <c r="AE20" s="62"/>
      <c r="AF20" s="63"/>
      <c r="AG20" s="64"/>
      <c r="AH20" s="64"/>
      <c r="AI20" s="65"/>
      <c r="AP20" s="54">
        <v>18</v>
      </c>
      <c r="AQ20" s="32" t="s">
        <v>725</v>
      </c>
      <c r="AR20" s="32" t="s">
        <v>729</v>
      </c>
      <c r="AS20" s="55" t="s">
        <v>730</v>
      </c>
    </row>
    <row r="21" spans="1:45" ht="15">
      <c r="A21" s="43" t="s">
        <v>724</v>
      </c>
      <c r="B21" s="44" t="s">
        <v>725</v>
      </c>
      <c r="C21" s="44" t="s">
        <v>489</v>
      </c>
      <c r="D21" s="45" t="s">
        <v>513</v>
      </c>
      <c r="E21" s="46" t="s">
        <v>514</v>
      </c>
      <c r="F21" s="46"/>
      <c r="G21" s="46"/>
      <c r="H21" s="46"/>
      <c r="I21" s="43">
        <v>0</v>
      </c>
      <c r="J21" s="43">
        <v>0</v>
      </c>
      <c r="K21" s="43">
        <v>540</v>
      </c>
      <c r="L21" s="43">
        <v>540</v>
      </c>
      <c r="O21" s="43" t="s">
        <v>742</v>
      </c>
      <c r="P21" s="44" t="s">
        <v>743</v>
      </c>
      <c r="Q21" s="44" t="s">
        <v>647</v>
      </c>
      <c r="R21" s="45" t="s">
        <v>499</v>
      </c>
      <c r="S21" s="46"/>
      <c r="T21" s="46"/>
      <c r="U21" s="46"/>
      <c r="V21" s="46"/>
      <c r="W21" s="43">
        <v>0</v>
      </c>
      <c r="X21" s="43">
        <v>0</v>
      </c>
      <c r="Y21" s="43">
        <v>540</v>
      </c>
      <c r="Z21" s="43">
        <v>540</v>
      </c>
      <c r="AD21" s="62"/>
      <c r="AE21" s="62"/>
      <c r="AF21" s="63"/>
      <c r="AG21" s="64"/>
      <c r="AH21" s="64"/>
      <c r="AI21" s="65"/>
      <c r="AP21" s="54">
        <v>19</v>
      </c>
      <c r="AQ21" s="32" t="s">
        <v>750</v>
      </c>
      <c r="AR21" s="32" t="s">
        <v>729</v>
      </c>
      <c r="AS21" s="55" t="s">
        <v>730</v>
      </c>
    </row>
    <row r="22" spans="1:45" ht="15">
      <c r="A22" s="43" t="s">
        <v>724</v>
      </c>
      <c r="B22" s="44" t="s">
        <v>725</v>
      </c>
      <c r="C22" s="44" t="s">
        <v>489</v>
      </c>
      <c r="D22" s="45" t="s">
        <v>515</v>
      </c>
      <c r="E22" s="46"/>
      <c r="F22" s="46" t="s">
        <v>516</v>
      </c>
      <c r="G22" s="46"/>
      <c r="H22" s="46"/>
      <c r="I22" s="43">
        <v>0</v>
      </c>
      <c r="J22" s="43">
        <v>0</v>
      </c>
      <c r="K22" s="43">
        <v>540</v>
      </c>
      <c r="L22" s="43">
        <v>540</v>
      </c>
      <c r="O22" s="43" t="s">
        <v>742</v>
      </c>
      <c r="P22" s="44" t="s">
        <v>743</v>
      </c>
      <c r="Q22" s="44" t="s">
        <v>647</v>
      </c>
      <c r="R22" s="45" t="s">
        <v>500</v>
      </c>
      <c r="S22" s="46"/>
      <c r="T22" s="46"/>
      <c r="U22" s="46"/>
      <c r="V22" s="46"/>
      <c r="W22" s="43">
        <v>0</v>
      </c>
      <c r="X22" s="43">
        <v>0</v>
      </c>
      <c r="Y22" s="43">
        <v>540</v>
      </c>
      <c r="Z22" s="43">
        <v>540</v>
      </c>
      <c r="AD22" s="62"/>
      <c r="AE22" s="62"/>
      <c r="AF22" s="63"/>
      <c r="AG22" s="64"/>
      <c r="AH22" s="64"/>
      <c r="AI22" s="65"/>
      <c r="AP22" s="54">
        <v>1</v>
      </c>
      <c r="AQ22" s="32" t="s">
        <v>727</v>
      </c>
      <c r="AR22" s="32" t="s">
        <v>751</v>
      </c>
      <c r="AS22" s="55" t="s">
        <v>730</v>
      </c>
    </row>
    <row r="23" spans="1:45" ht="15">
      <c r="A23" s="43" t="s">
        <v>724</v>
      </c>
      <c r="B23" s="44" t="s">
        <v>725</v>
      </c>
      <c r="C23" s="44" t="s">
        <v>489</v>
      </c>
      <c r="D23" s="45" t="s">
        <v>517</v>
      </c>
      <c r="E23" s="46"/>
      <c r="F23" s="46"/>
      <c r="G23" s="46"/>
      <c r="H23" s="46"/>
      <c r="I23" s="43">
        <v>0</v>
      </c>
      <c r="J23" s="43">
        <v>0</v>
      </c>
      <c r="K23" s="43">
        <v>540</v>
      </c>
      <c r="L23" s="43">
        <v>540</v>
      </c>
      <c r="O23" s="43" t="s">
        <v>742</v>
      </c>
      <c r="P23" s="44" t="s">
        <v>743</v>
      </c>
      <c r="Q23" s="44" t="s">
        <v>647</v>
      </c>
      <c r="R23" s="45" t="s">
        <v>501</v>
      </c>
      <c r="S23" s="46"/>
      <c r="T23" s="46"/>
      <c r="U23" s="46"/>
      <c r="V23" s="46"/>
      <c r="W23" s="43">
        <v>0</v>
      </c>
      <c r="X23" s="43">
        <v>0</v>
      </c>
      <c r="Y23" s="43">
        <v>540</v>
      </c>
      <c r="Z23" s="43">
        <v>540</v>
      </c>
      <c r="AD23" s="62"/>
      <c r="AE23" s="62"/>
      <c r="AF23" s="63"/>
      <c r="AG23" s="64"/>
      <c r="AH23" s="64"/>
      <c r="AI23" s="65"/>
      <c r="AP23" s="54">
        <v>2</v>
      </c>
      <c r="AQ23" s="32" t="s">
        <v>743</v>
      </c>
      <c r="AR23" s="32" t="s">
        <v>751</v>
      </c>
      <c r="AS23" s="55" t="s">
        <v>730</v>
      </c>
    </row>
    <row r="24" spans="1:45" ht="15">
      <c r="A24" s="43" t="s">
        <v>724</v>
      </c>
      <c r="B24" s="44" t="s">
        <v>725</v>
      </c>
      <c r="C24" s="44" t="s">
        <v>489</v>
      </c>
      <c r="D24" s="45" t="s">
        <v>518</v>
      </c>
      <c r="E24" s="46" t="s">
        <v>519</v>
      </c>
      <c r="F24" s="46"/>
      <c r="G24" s="46"/>
      <c r="H24" s="46"/>
      <c r="I24" s="43">
        <v>0</v>
      </c>
      <c r="J24" s="43">
        <v>0</v>
      </c>
      <c r="K24" s="43">
        <v>540</v>
      </c>
      <c r="L24" s="43">
        <v>540</v>
      </c>
      <c r="O24" s="43" t="s">
        <v>742</v>
      </c>
      <c r="P24" s="44" t="s">
        <v>743</v>
      </c>
      <c r="Q24" s="44" t="s">
        <v>647</v>
      </c>
      <c r="R24" s="45" t="s">
        <v>506</v>
      </c>
      <c r="S24" s="46"/>
      <c r="T24" s="46"/>
      <c r="U24" s="46"/>
      <c r="V24" s="46"/>
      <c r="W24" s="43">
        <v>0</v>
      </c>
      <c r="X24" s="43">
        <v>0</v>
      </c>
      <c r="Y24" s="43">
        <v>540</v>
      </c>
      <c r="Z24" s="43">
        <v>540</v>
      </c>
      <c r="AD24" s="62"/>
      <c r="AE24" s="62"/>
      <c r="AF24" s="63"/>
      <c r="AG24" s="64"/>
      <c r="AH24" s="64"/>
      <c r="AI24" s="65"/>
      <c r="AP24" s="54">
        <v>3</v>
      </c>
      <c r="AQ24" s="32" t="s">
        <v>752</v>
      </c>
      <c r="AR24" s="32" t="s">
        <v>751</v>
      </c>
      <c r="AS24" s="55" t="s">
        <v>730</v>
      </c>
    </row>
    <row r="25" spans="1:45" ht="15">
      <c r="A25" s="43" t="s">
        <v>753</v>
      </c>
      <c r="B25" s="44" t="s">
        <v>749</v>
      </c>
      <c r="C25" s="44" t="s">
        <v>489</v>
      </c>
      <c r="D25" s="45" t="s">
        <v>490</v>
      </c>
      <c r="E25" s="46"/>
      <c r="F25" s="46"/>
      <c r="G25" s="46"/>
      <c r="H25" s="46"/>
      <c r="I25" s="43">
        <v>0</v>
      </c>
      <c r="J25" s="43">
        <v>0</v>
      </c>
      <c r="K25" s="43">
        <v>540</v>
      </c>
      <c r="L25" s="43">
        <v>540</v>
      </c>
      <c r="O25" s="43" t="s">
        <v>742</v>
      </c>
      <c r="P25" s="44" t="s">
        <v>743</v>
      </c>
      <c r="Q25" s="44" t="s">
        <v>647</v>
      </c>
      <c r="R25" s="45" t="s">
        <v>507</v>
      </c>
      <c r="S25" s="46"/>
      <c r="T25" s="46"/>
      <c r="U25" s="46"/>
      <c r="V25" s="46"/>
      <c r="W25" s="43">
        <v>0</v>
      </c>
      <c r="X25" s="43">
        <v>0</v>
      </c>
      <c r="Y25" s="43">
        <v>540</v>
      </c>
      <c r="Z25" s="43">
        <v>540</v>
      </c>
      <c r="AD25" s="62"/>
      <c r="AE25" s="62"/>
      <c r="AF25" s="63"/>
      <c r="AG25" s="64"/>
      <c r="AH25" s="64"/>
      <c r="AI25" s="65"/>
      <c r="AP25" s="54">
        <v>4</v>
      </c>
      <c r="AQ25" s="32" t="s">
        <v>754</v>
      </c>
      <c r="AR25" s="32" t="s">
        <v>751</v>
      </c>
      <c r="AS25" s="55" t="s">
        <v>730</v>
      </c>
    </row>
    <row r="26" spans="1:45" ht="15">
      <c r="A26" s="43" t="s">
        <v>753</v>
      </c>
      <c r="B26" s="44" t="s">
        <v>749</v>
      </c>
      <c r="C26" s="44" t="s">
        <v>489</v>
      </c>
      <c r="D26" s="45" t="s">
        <v>491</v>
      </c>
      <c r="E26" s="46"/>
      <c r="F26" s="46"/>
      <c r="G26" s="46"/>
      <c r="H26" s="46"/>
      <c r="I26" s="43">
        <v>0</v>
      </c>
      <c r="J26" s="43">
        <v>0</v>
      </c>
      <c r="K26" s="43">
        <v>540</v>
      </c>
      <c r="L26" s="43">
        <v>540</v>
      </c>
      <c r="O26" s="43" t="s">
        <v>742</v>
      </c>
      <c r="P26" s="44" t="s">
        <v>743</v>
      </c>
      <c r="Q26" s="44" t="s">
        <v>647</v>
      </c>
      <c r="R26" s="45" t="s">
        <v>508</v>
      </c>
      <c r="S26" s="46"/>
      <c r="T26" s="46"/>
      <c r="U26" s="46"/>
      <c r="V26" s="46"/>
      <c r="W26" s="43">
        <v>0</v>
      </c>
      <c r="X26" s="43">
        <v>0</v>
      </c>
      <c r="Y26" s="43">
        <v>540</v>
      </c>
      <c r="Z26" s="43">
        <v>540</v>
      </c>
      <c r="AD26" s="62"/>
      <c r="AE26" s="62"/>
      <c r="AF26" s="63"/>
      <c r="AI26" s="65"/>
      <c r="AP26" s="54">
        <v>8</v>
      </c>
      <c r="AQ26" s="32" t="s">
        <v>755</v>
      </c>
      <c r="AR26" s="32" t="s">
        <v>751</v>
      </c>
      <c r="AS26" s="55" t="s">
        <v>730</v>
      </c>
    </row>
    <row r="27" spans="1:45" ht="15">
      <c r="A27" s="43" t="s">
        <v>753</v>
      </c>
      <c r="B27" s="44" t="s">
        <v>749</v>
      </c>
      <c r="C27" s="44" t="s">
        <v>489</v>
      </c>
      <c r="D27" s="45" t="s">
        <v>493</v>
      </c>
      <c r="E27" s="46"/>
      <c r="F27" s="46"/>
      <c r="G27" s="46"/>
      <c r="H27" s="46"/>
      <c r="I27" s="43">
        <v>0</v>
      </c>
      <c r="J27" s="43">
        <v>0</v>
      </c>
      <c r="K27" s="43">
        <v>540</v>
      </c>
      <c r="L27" s="43">
        <v>540</v>
      </c>
      <c r="O27" s="43" t="s">
        <v>742</v>
      </c>
      <c r="P27" s="44" t="s">
        <v>743</v>
      </c>
      <c r="Q27" s="44" t="s">
        <v>647</v>
      </c>
      <c r="R27" s="45" t="s">
        <v>534</v>
      </c>
      <c r="S27" s="46"/>
      <c r="T27" s="46"/>
      <c r="U27" s="46"/>
      <c r="V27" s="46"/>
      <c r="W27" s="43">
        <v>0</v>
      </c>
      <c r="X27" s="43">
        <v>0</v>
      </c>
      <c r="Y27" s="43">
        <v>540</v>
      </c>
      <c r="Z27" s="43">
        <v>540</v>
      </c>
      <c r="AD27" s="62"/>
      <c r="AE27" s="62"/>
      <c r="AF27" s="63"/>
      <c r="AI27" s="65"/>
      <c r="AP27" s="54">
        <v>27</v>
      </c>
      <c r="AQ27" s="32" t="s">
        <v>756</v>
      </c>
      <c r="AR27" s="32" t="s">
        <v>751</v>
      </c>
      <c r="AS27" s="55" t="s">
        <v>730</v>
      </c>
    </row>
    <row r="28" spans="1:45" ht="15">
      <c r="A28" s="43" t="s">
        <v>753</v>
      </c>
      <c r="B28" s="44" t="s">
        <v>749</v>
      </c>
      <c r="C28" s="44" t="s">
        <v>489</v>
      </c>
      <c r="D28" s="45" t="s">
        <v>494</v>
      </c>
      <c r="E28" s="46"/>
      <c r="F28" s="46"/>
      <c r="G28" s="46"/>
      <c r="H28" s="46"/>
      <c r="I28" s="43">
        <v>0</v>
      </c>
      <c r="J28" s="43">
        <v>0</v>
      </c>
      <c r="K28" s="43">
        <v>540</v>
      </c>
      <c r="L28" s="43">
        <v>540</v>
      </c>
      <c r="O28" s="43" t="s">
        <v>742</v>
      </c>
      <c r="P28" s="44" t="s">
        <v>743</v>
      </c>
      <c r="Q28" s="44" t="s">
        <v>647</v>
      </c>
      <c r="R28" s="45" t="s">
        <v>535</v>
      </c>
      <c r="S28" s="46"/>
      <c r="T28" s="46"/>
      <c r="U28" s="46"/>
      <c r="V28" s="46"/>
      <c r="W28" s="43">
        <v>0</v>
      </c>
      <c r="X28" s="43">
        <v>0</v>
      </c>
      <c r="Y28" s="43">
        <v>540</v>
      </c>
      <c r="Z28" s="43">
        <v>540</v>
      </c>
      <c r="AD28" s="62"/>
      <c r="AE28" s="62"/>
      <c r="AF28" s="63"/>
      <c r="AG28" s="64"/>
      <c r="AH28" s="64"/>
      <c r="AI28" s="65"/>
      <c r="AP28" s="54">
        <v>32</v>
      </c>
      <c r="AQ28" s="32" t="s">
        <v>757</v>
      </c>
      <c r="AR28" s="32" t="s">
        <v>751</v>
      </c>
      <c r="AS28" s="55" t="s">
        <v>730</v>
      </c>
    </row>
    <row r="29" spans="1:45" ht="15">
      <c r="A29" s="43" t="s">
        <v>753</v>
      </c>
      <c r="B29" s="44" t="s">
        <v>749</v>
      </c>
      <c r="C29" s="44" t="s">
        <v>489</v>
      </c>
      <c r="D29" s="45" t="s">
        <v>495</v>
      </c>
      <c r="E29" s="46"/>
      <c r="F29" s="46"/>
      <c r="G29" s="46"/>
      <c r="H29" s="46"/>
      <c r="I29" s="43">
        <v>0</v>
      </c>
      <c r="J29" s="43">
        <v>0</v>
      </c>
      <c r="K29" s="43">
        <v>540</v>
      </c>
      <c r="L29" s="43">
        <v>540</v>
      </c>
      <c r="O29" s="43" t="s">
        <v>742</v>
      </c>
      <c r="P29" s="44" t="s">
        <v>743</v>
      </c>
      <c r="Q29" s="44" t="s">
        <v>647</v>
      </c>
      <c r="R29" s="45" t="s">
        <v>510</v>
      </c>
      <c r="S29" s="46"/>
      <c r="T29" s="46"/>
      <c r="U29" s="46"/>
      <c r="V29" s="46"/>
      <c r="W29" s="43">
        <v>0</v>
      </c>
      <c r="X29" s="43">
        <v>0</v>
      </c>
      <c r="Y29" s="43">
        <v>540</v>
      </c>
      <c r="Z29" s="43">
        <v>540</v>
      </c>
      <c r="AD29" s="62"/>
      <c r="AE29" s="62"/>
      <c r="AF29" s="63"/>
      <c r="AG29" s="64"/>
      <c r="AH29" s="64"/>
      <c r="AI29" s="65"/>
      <c r="AP29" s="54">
        <v>33</v>
      </c>
      <c r="AQ29" s="32" t="s">
        <v>758</v>
      </c>
      <c r="AR29" s="32" t="s">
        <v>751</v>
      </c>
      <c r="AS29" s="55" t="s">
        <v>730</v>
      </c>
    </row>
    <row r="30" spans="1:45" ht="15">
      <c r="A30" s="43" t="s">
        <v>753</v>
      </c>
      <c r="B30" s="44" t="s">
        <v>749</v>
      </c>
      <c r="C30" s="44" t="s">
        <v>489</v>
      </c>
      <c r="D30" s="45" t="s">
        <v>496</v>
      </c>
      <c r="E30" s="46"/>
      <c r="F30" s="46"/>
      <c r="G30" s="46"/>
      <c r="H30" s="46"/>
      <c r="I30" s="43">
        <v>0</v>
      </c>
      <c r="J30" s="43">
        <v>0</v>
      </c>
      <c r="K30" s="43">
        <v>540</v>
      </c>
      <c r="L30" s="43">
        <v>540</v>
      </c>
      <c r="O30" s="43" t="s">
        <v>742</v>
      </c>
      <c r="P30" s="44" t="s">
        <v>743</v>
      </c>
      <c r="Q30" s="44" t="s">
        <v>647</v>
      </c>
      <c r="R30" s="45" t="s">
        <v>538</v>
      </c>
      <c r="S30" s="46"/>
      <c r="T30" s="46"/>
      <c r="U30" s="46"/>
      <c r="V30" s="46"/>
      <c r="W30" s="43">
        <v>0</v>
      </c>
      <c r="X30" s="43">
        <v>0</v>
      </c>
      <c r="Y30" s="43">
        <v>540</v>
      </c>
      <c r="Z30" s="43">
        <v>540</v>
      </c>
      <c r="AD30" s="62"/>
      <c r="AE30" s="62"/>
      <c r="AF30" s="63"/>
      <c r="AG30" s="64"/>
      <c r="AH30" s="64"/>
      <c r="AI30" s="65"/>
      <c r="AP30" s="54">
        <v>34</v>
      </c>
      <c r="AQ30" s="32" t="s">
        <v>759</v>
      </c>
      <c r="AR30" s="32" t="s">
        <v>751</v>
      </c>
      <c r="AS30" s="55" t="s">
        <v>730</v>
      </c>
    </row>
    <row r="31" spans="1:45" ht="15">
      <c r="A31" s="43" t="s">
        <v>753</v>
      </c>
      <c r="B31" s="44" t="s">
        <v>749</v>
      </c>
      <c r="C31" s="44" t="s">
        <v>489</v>
      </c>
      <c r="D31" s="45" t="s">
        <v>497</v>
      </c>
      <c r="E31" s="46"/>
      <c r="F31" s="46"/>
      <c r="G31" s="46"/>
      <c r="H31" s="46"/>
      <c r="I31" s="43">
        <v>0</v>
      </c>
      <c r="J31" s="43">
        <v>0</v>
      </c>
      <c r="K31" s="43">
        <v>540</v>
      </c>
      <c r="L31" s="43">
        <v>540</v>
      </c>
      <c r="O31" s="43" t="s">
        <v>742</v>
      </c>
      <c r="P31" s="44" t="s">
        <v>743</v>
      </c>
      <c r="Q31" s="44" t="s">
        <v>647</v>
      </c>
      <c r="R31" s="45" t="s">
        <v>540</v>
      </c>
      <c r="S31" s="46"/>
      <c r="T31" s="46"/>
      <c r="U31" s="46"/>
      <c r="V31" s="46"/>
      <c r="W31" s="43">
        <v>0</v>
      </c>
      <c r="X31" s="43">
        <v>0</v>
      </c>
      <c r="Y31" s="43">
        <v>540</v>
      </c>
      <c r="Z31" s="43">
        <v>540</v>
      </c>
      <c r="AD31" s="62"/>
      <c r="AE31" s="62"/>
      <c r="AF31" s="63"/>
      <c r="AG31" s="64"/>
      <c r="AH31" s="64"/>
      <c r="AI31" s="65"/>
      <c r="AP31" s="54">
        <v>35</v>
      </c>
      <c r="AQ31" s="32" t="s">
        <v>760</v>
      </c>
      <c r="AR31" s="32" t="s">
        <v>751</v>
      </c>
      <c r="AS31" s="55" t="s">
        <v>730</v>
      </c>
    </row>
    <row r="32" spans="1:45" ht="15">
      <c r="A32" s="43" t="s">
        <v>753</v>
      </c>
      <c r="B32" s="44" t="s">
        <v>749</v>
      </c>
      <c r="C32" s="44" t="s">
        <v>489</v>
      </c>
      <c r="D32" s="45" t="s">
        <v>498</v>
      </c>
      <c r="E32" s="46"/>
      <c r="F32" s="46"/>
      <c r="G32" s="46"/>
      <c r="H32" s="46"/>
      <c r="I32" s="43">
        <v>0</v>
      </c>
      <c r="J32" s="43">
        <v>0</v>
      </c>
      <c r="K32" s="43">
        <v>540</v>
      </c>
      <c r="L32" s="43">
        <v>540</v>
      </c>
      <c r="O32" s="43" t="s">
        <v>742</v>
      </c>
      <c r="P32" s="44" t="s">
        <v>743</v>
      </c>
      <c r="Q32" s="44" t="s">
        <v>647</v>
      </c>
      <c r="R32" s="45" t="s">
        <v>543</v>
      </c>
      <c r="S32" s="46"/>
      <c r="T32" s="46"/>
      <c r="U32" s="46"/>
      <c r="V32" s="46"/>
      <c r="W32" s="43">
        <v>0</v>
      </c>
      <c r="X32" s="43">
        <v>0</v>
      </c>
      <c r="Y32" s="43">
        <v>540</v>
      </c>
      <c r="Z32" s="43">
        <v>540</v>
      </c>
      <c r="AD32" s="62"/>
      <c r="AE32" s="62"/>
      <c r="AF32" s="63"/>
      <c r="AI32" s="65"/>
      <c r="AP32" s="54">
        <v>36</v>
      </c>
      <c r="AQ32" s="32" t="s">
        <v>761</v>
      </c>
      <c r="AR32" s="32" t="s">
        <v>751</v>
      </c>
      <c r="AS32" s="55" t="s">
        <v>730</v>
      </c>
    </row>
    <row r="33" spans="1:45" ht="15">
      <c r="A33" s="43" t="s">
        <v>753</v>
      </c>
      <c r="B33" s="44" t="s">
        <v>749</v>
      </c>
      <c r="C33" s="44" t="s">
        <v>489</v>
      </c>
      <c r="D33" s="45" t="s">
        <v>499</v>
      </c>
      <c r="E33" s="46"/>
      <c r="F33" s="46"/>
      <c r="G33" s="46"/>
      <c r="H33" s="46"/>
      <c r="I33" s="43">
        <v>0</v>
      </c>
      <c r="J33" s="43">
        <v>0</v>
      </c>
      <c r="K33" s="43">
        <v>540</v>
      </c>
      <c r="L33" s="43">
        <v>540</v>
      </c>
      <c r="O33" s="43" t="s">
        <v>742</v>
      </c>
      <c r="P33" s="44" t="s">
        <v>743</v>
      </c>
      <c r="Q33" s="44" t="s">
        <v>647</v>
      </c>
      <c r="R33" s="45" t="s">
        <v>512</v>
      </c>
      <c r="S33" s="46"/>
      <c r="T33" s="46"/>
      <c r="U33" s="46"/>
      <c r="V33" s="46"/>
      <c r="W33" s="43">
        <v>0</v>
      </c>
      <c r="X33" s="43">
        <v>0</v>
      </c>
      <c r="Y33" s="43">
        <v>540</v>
      </c>
      <c r="Z33" s="43">
        <v>540</v>
      </c>
      <c r="AD33" s="62"/>
      <c r="AE33" s="62"/>
      <c r="AF33" s="63"/>
      <c r="AI33" s="65"/>
      <c r="AP33" s="54">
        <v>37</v>
      </c>
      <c r="AQ33" s="32" t="s">
        <v>762</v>
      </c>
      <c r="AR33" s="32" t="s">
        <v>751</v>
      </c>
      <c r="AS33" s="55" t="s">
        <v>730</v>
      </c>
    </row>
    <row r="34" spans="1:45" ht="15">
      <c r="A34" s="43" t="s">
        <v>753</v>
      </c>
      <c r="B34" s="44" t="s">
        <v>749</v>
      </c>
      <c r="C34" s="44" t="s">
        <v>489</v>
      </c>
      <c r="D34" s="45" t="s">
        <v>500</v>
      </c>
      <c r="E34" s="46"/>
      <c r="F34" s="46"/>
      <c r="G34" s="46"/>
      <c r="H34" s="46"/>
      <c r="I34" s="43">
        <v>0</v>
      </c>
      <c r="J34" s="43">
        <v>0</v>
      </c>
      <c r="K34" s="43">
        <v>540</v>
      </c>
      <c r="L34" s="43">
        <v>540</v>
      </c>
      <c r="O34" s="43" t="s">
        <v>742</v>
      </c>
      <c r="P34" s="44" t="s">
        <v>743</v>
      </c>
      <c r="Q34" s="44" t="s">
        <v>647</v>
      </c>
      <c r="R34" s="45" t="s">
        <v>515</v>
      </c>
      <c r="S34" s="46"/>
      <c r="T34" s="46"/>
      <c r="U34" s="46"/>
      <c r="V34" s="46"/>
      <c r="W34" s="43">
        <v>0</v>
      </c>
      <c r="X34" s="43">
        <v>0</v>
      </c>
      <c r="Y34" s="43">
        <v>540</v>
      </c>
      <c r="Z34" s="43">
        <v>540</v>
      </c>
      <c r="AD34" s="62"/>
      <c r="AE34" s="62"/>
      <c r="AF34" s="63"/>
      <c r="AG34" s="64"/>
      <c r="AH34" s="64"/>
      <c r="AI34" s="65"/>
      <c r="AP34" s="54">
        <v>38</v>
      </c>
      <c r="AQ34" s="32" t="s">
        <v>763</v>
      </c>
      <c r="AR34" s="32" t="s">
        <v>751</v>
      </c>
      <c r="AS34" s="55" t="s">
        <v>730</v>
      </c>
    </row>
    <row r="35" spans="1:45" ht="15">
      <c r="A35" s="43" t="s">
        <v>753</v>
      </c>
      <c r="B35" s="44" t="s">
        <v>749</v>
      </c>
      <c r="C35" s="44" t="s">
        <v>489</v>
      </c>
      <c r="D35" s="45" t="s">
        <v>501</v>
      </c>
      <c r="E35" s="46"/>
      <c r="F35" s="46" t="s">
        <v>502</v>
      </c>
      <c r="G35" s="46"/>
      <c r="H35" s="46"/>
      <c r="I35" s="43">
        <v>0</v>
      </c>
      <c r="J35" s="43">
        <v>0</v>
      </c>
      <c r="K35" s="43">
        <v>540</v>
      </c>
      <c r="L35" s="43">
        <v>540</v>
      </c>
      <c r="O35" s="43" t="s">
        <v>742</v>
      </c>
      <c r="P35" s="44" t="s">
        <v>743</v>
      </c>
      <c r="Q35" s="44" t="s">
        <v>647</v>
      </c>
      <c r="R35" s="45" t="s">
        <v>517</v>
      </c>
      <c r="S35" s="46"/>
      <c r="T35" s="46"/>
      <c r="U35" s="46"/>
      <c r="V35" s="46"/>
      <c r="W35" s="43">
        <v>0</v>
      </c>
      <c r="X35" s="43">
        <v>0</v>
      </c>
      <c r="Y35" s="43">
        <v>540</v>
      </c>
      <c r="Z35" s="43">
        <v>540</v>
      </c>
      <c r="AD35" s="62"/>
      <c r="AE35" s="62"/>
      <c r="AF35" s="63"/>
      <c r="AG35" s="64"/>
      <c r="AH35" s="64"/>
      <c r="AI35" s="65"/>
      <c r="AP35" s="54">
        <v>39</v>
      </c>
      <c r="AQ35" s="32" t="s">
        <v>764</v>
      </c>
      <c r="AR35" s="32" t="s">
        <v>751</v>
      </c>
      <c r="AS35" s="55" t="s">
        <v>730</v>
      </c>
    </row>
    <row r="36" spans="1:45" ht="15">
      <c r="A36" s="43" t="s">
        <v>753</v>
      </c>
      <c r="B36" s="44" t="s">
        <v>749</v>
      </c>
      <c r="C36" s="44" t="s">
        <v>489</v>
      </c>
      <c r="D36" s="45" t="s">
        <v>506</v>
      </c>
      <c r="E36" s="46"/>
      <c r="F36" s="46"/>
      <c r="G36" s="46"/>
      <c r="H36" s="46"/>
      <c r="I36" s="43">
        <v>0</v>
      </c>
      <c r="J36" s="43">
        <v>0</v>
      </c>
      <c r="K36" s="43">
        <v>540</v>
      </c>
      <c r="L36" s="43">
        <v>540</v>
      </c>
      <c r="O36" s="43" t="s">
        <v>742</v>
      </c>
      <c r="P36" s="44" t="s">
        <v>743</v>
      </c>
      <c r="Q36" s="44" t="s">
        <v>647</v>
      </c>
      <c r="R36" s="45" t="s">
        <v>518</v>
      </c>
      <c r="S36" s="46"/>
      <c r="T36" s="46"/>
      <c r="U36" s="46"/>
      <c r="V36" s="46"/>
      <c r="W36" s="43">
        <v>0</v>
      </c>
      <c r="X36" s="43">
        <v>0</v>
      </c>
      <c r="Y36" s="43">
        <v>540</v>
      </c>
      <c r="Z36" s="43">
        <v>540</v>
      </c>
      <c r="AD36" s="62"/>
      <c r="AE36" s="62"/>
      <c r="AF36" s="63"/>
      <c r="AG36" s="64"/>
      <c r="AH36" s="64"/>
      <c r="AI36" s="65"/>
      <c r="AP36" s="54">
        <v>40</v>
      </c>
      <c r="AQ36" s="32" t="s">
        <v>765</v>
      </c>
      <c r="AR36" s="32" t="s">
        <v>751</v>
      </c>
      <c r="AS36" s="55" t="s">
        <v>730</v>
      </c>
    </row>
    <row r="37" spans="1:45" ht="15">
      <c r="A37" s="43" t="s">
        <v>753</v>
      </c>
      <c r="B37" s="44" t="s">
        <v>749</v>
      </c>
      <c r="C37" s="44" t="s">
        <v>489</v>
      </c>
      <c r="D37" s="45" t="s">
        <v>507</v>
      </c>
      <c r="E37" s="46" t="s">
        <v>594</v>
      </c>
      <c r="F37" s="46" t="s">
        <v>694</v>
      </c>
      <c r="G37" s="46"/>
      <c r="H37" s="46"/>
      <c r="I37" s="43">
        <v>0</v>
      </c>
      <c r="J37" s="43">
        <v>513</v>
      </c>
      <c r="K37" s="43">
        <v>0</v>
      </c>
      <c r="L37" s="43">
        <v>513</v>
      </c>
      <c r="O37" s="43" t="s">
        <v>766</v>
      </c>
      <c r="P37" s="44" t="s">
        <v>752</v>
      </c>
      <c r="Q37" s="44" t="s">
        <v>647</v>
      </c>
      <c r="R37" s="45" t="s">
        <v>490</v>
      </c>
      <c r="S37" s="46" t="s">
        <v>656</v>
      </c>
      <c r="T37" s="46"/>
      <c r="U37" s="46"/>
      <c r="V37" s="46"/>
      <c r="W37" s="43">
        <v>0</v>
      </c>
      <c r="X37" s="43">
        <v>0</v>
      </c>
      <c r="Y37" s="43">
        <v>540</v>
      </c>
      <c r="Z37" s="43">
        <v>540</v>
      </c>
      <c r="AD37" s="62"/>
      <c r="AE37" s="62"/>
      <c r="AF37" s="63"/>
      <c r="AG37" s="64"/>
      <c r="AH37" s="64"/>
      <c r="AI37" s="65"/>
      <c r="AP37" s="54">
        <v>41</v>
      </c>
      <c r="AQ37" s="32" t="s">
        <v>767</v>
      </c>
      <c r="AR37" s="32" t="s">
        <v>751</v>
      </c>
      <c r="AS37" s="55" t="s">
        <v>730</v>
      </c>
    </row>
    <row r="38" spans="1:45" ht="15">
      <c r="A38" s="43" t="s">
        <v>753</v>
      </c>
      <c r="B38" s="44" t="s">
        <v>749</v>
      </c>
      <c r="C38" s="44" t="s">
        <v>489</v>
      </c>
      <c r="D38" s="45" t="s">
        <v>534</v>
      </c>
      <c r="E38" s="46" t="s">
        <v>768</v>
      </c>
      <c r="F38" s="46"/>
      <c r="G38" s="46"/>
      <c r="H38" s="46"/>
      <c r="I38" s="43">
        <v>0</v>
      </c>
      <c r="J38" s="43">
        <v>0</v>
      </c>
      <c r="K38" s="43">
        <v>540</v>
      </c>
      <c r="L38" s="43">
        <v>540</v>
      </c>
      <c r="O38" s="43" t="s">
        <v>766</v>
      </c>
      <c r="P38" s="44" t="s">
        <v>752</v>
      </c>
      <c r="Q38" s="44" t="s">
        <v>647</v>
      </c>
      <c r="R38" s="45" t="s">
        <v>491</v>
      </c>
      <c r="S38" s="46" t="s">
        <v>658</v>
      </c>
      <c r="T38" s="46" t="s">
        <v>653</v>
      </c>
      <c r="U38" s="46"/>
      <c r="V38" s="46"/>
      <c r="W38" s="43">
        <v>60</v>
      </c>
      <c r="X38" s="43">
        <v>0</v>
      </c>
      <c r="Y38" s="43">
        <v>0</v>
      </c>
      <c r="Z38" s="43">
        <v>60</v>
      </c>
      <c r="AD38" s="62"/>
      <c r="AE38" s="62"/>
      <c r="AF38" s="63"/>
      <c r="AG38" s="64"/>
      <c r="AH38" s="64"/>
      <c r="AI38" s="65"/>
      <c r="AP38" s="54">
        <v>42</v>
      </c>
      <c r="AQ38" s="32" t="s">
        <v>769</v>
      </c>
      <c r="AR38" s="32" t="s">
        <v>751</v>
      </c>
      <c r="AS38" s="55" t="s">
        <v>730</v>
      </c>
    </row>
    <row r="39" spans="1:45" ht="15">
      <c r="A39" s="43" t="s">
        <v>753</v>
      </c>
      <c r="B39" s="44" t="s">
        <v>749</v>
      </c>
      <c r="C39" s="44" t="s">
        <v>489</v>
      </c>
      <c r="D39" s="45" t="s">
        <v>535</v>
      </c>
      <c r="E39" s="46"/>
      <c r="F39" s="46"/>
      <c r="G39" s="46"/>
      <c r="H39" s="46"/>
      <c r="I39" s="43">
        <v>0</v>
      </c>
      <c r="J39" s="43">
        <v>0</v>
      </c>
      <c r="K39" s="43">
        <v>540</v>
      </c>
      <c r="L39" s="43">
        <v>540</v>
      </c>
      <c r="O39" s="43" t="s">
        <v>766</v>
      </c>
      <c r="P39" s="44" t="s">
        <v>752</v>
      </c>
      <c r="Q39" s="44" t="s">
        <v>647</v>
      </c>
      <c r="R39" s="45" t="s">
        <v>506</v>
      </c>
      <c r="S39" s="46"/>
      <c r="T39" s="46"/>
      <c r="U39" s="46"/>
      <c r="V39" s="46"/>
      <c r="W39" s="43">
        <v>0</v>
      </c>
      <c r="X39" s="43">
        <v>0</v>
      </c>
      <c r="Y39" s="43">
        <v>540</v>
      </c>
      <c r="Z39" s="43">
        <v>540</v>
      </c>
      <c r="AD39" s="62"/>
      <c r="AE39" s="62"/>
      <c r="AF39" s="63"/>
      <c r="AG39" s="64"/>
      <c r="AH39" s="64"/>
      <c r="AI39" s="65"/>
      <c r="AP39" s="54">
        <v>43</v>
      </c>
      <c r="AQ39" s="32" t="s">
        <v>770</v>
      </c>
      <c r="AR39" s="32" t="s">
        <v>751</v>
      </c>
      <c r="AS39" s="55" t="s">
        <v>730</v>
      </c>
    </row>
    <row r="40" spans="1:45" ht="15">
      <c r="A40" s="43" t="s">
        <v>753</v>
      </c>
      <c r="B40" s="44" t="s">
        <v>749</v>
      </c>
      <c r="C40" s="44" t="s">
        <v>489</v>
      </c>
      <c r="D40" s="45" t="s">
        <v>538</v>
      </c>
      <c r="E40" s="46"/>
      <c r="F40" s="46"/>
      <c r="G40" s="46"/>
      <c r="H40" s="46"/>
      <c r="I40" s="43">
        <v>0</v>
      </c>
      <c r="J40" s="43">
        <v>0</v>
      </c>
      <c r="K40" s="43">
        <v>540</v>
      </c>
      <c r="L40" s="43">
        <v>540</v>
      </c>
      <c r="O40" s="43" t="s">
        <v>766</v>
      </c>
      <c r="P40" s="44" t="s">
        <v>752</v>
      </c>
      <c r="Q40" s="44" t="s">
        <v>647</v>
      </c>
      <c r="R40" s="45" t="s">
        <v>507</v>
      </c>
      <c r="S40" s="46" t="s">
        <v>511</v>
      </c>
      <c r="T40" s="46" t="s">
        <v>584</v>
      </c>
      <c r="U40" s="46"/>
      <c r="V40" s="46"/>
      <c r="W40" s="43">
        <v>13</v>
      </c>
      <c r="X40" s="43">
        <v>0</v>
      </c>
      <c r="Y40" s="43">
        <v>0</v>
      </c>
      <c r="Z40" s="43">
        <v>13</v>
      </c>
      <c r="AD40" s="62"/>
      <c r="AE40" s="62"/>
      <c r="AF40" s="63"/>
      <c r="AI40" s="65"/>
      <c r="AP40" s="59">
        <v>44</v>
      </c>
      <c r="AQ40" s="60" t="s">
        <v>771</v>
      </c>
      <c r="AR40" s="32" t="s">
        <v>751</v>
      </c>
      <c r="AS40" s="61" t="s">
        <v>730</v>
      </c>
    </row>
    <row r="41" spans="1:45" ht="15">
      <c r="A41" s="43" t="s">
        <v>753</v>
      </c>
      <c r="B41" s="44" t="s">
        <v>749</v>
      </c>
      <c r="C41" s="44" t="s">
        <v>489</v>
      </c>
      <c r="D41" s="45" t="s">
        <v>540</v>
      </c>
      <c r="E41" s="46"/>
      <c r="F41" s="46"/>
      <c r="G41" s="46"/>
      <c r="H41" s="46"/>
      <c r="I41" s="43">
        <v>0</v>
      </c>
      <c r="J41" s="43">
        <v>0</v>
      </c>
      <c r="K41" s="43">
        <v>540</v>
      </c>
      <c r="L41" s="43">
        <v>540</v>
      </c>
      <c r="O41" s="43" t="s">
        <v>766</v>
      </c>
      <c r="P41" s="44" t="s">
        <v>752</v>
      </c>
      <c r="Q41" s="44" t="s">
        <v>647</v>
      </c>
      <c r="R41" s="45" t="s">
        <v>534</v>
      </c>
      <c r="S41" s="46" t="s">
        <v>593</v>
      </c>
      <c r="T41" s="46" t="s">
        <v>588</v>
      </c>
      <c r="U41" s="46"/>
      <c r="V41" s="46"/>
      <c r="W41" s="43">
        <v>12</v>
      </c>
      <c r="X41" s="43">
        <v>0</v>
      </c>
      <c r="Y41" s="43">
        <v>0</v>
      </c>
      <c r="Z41" s="43">
        <v>12</v>
      </c>
      <c r="AD41" s="62"/>
      <c r="AE41" s="62"/>
      <c r="AF41" s="63"/>
      <c r="AG41" s="64"/>
      <c r="AH41" s="64"/>
      <c r="AI41" s="65"/>
    </row>
    <row r="42" spans="1:45" ht="15">
      <c r="A42" s="43" t="s">
        <v>753</v>
      </c>
      <c r="B42" s="44" t="s">
        <v>749</v>
      </c>
      <c r="C42" s="44" t="s">
        <v>489</v>
      </c>
      <c r="D42" s="45" t="s">
        <v>543</v>
      </c>
      <c r="E42" s="46"/>
      <c r="F42" s="46"/>
      <c r="G42" s="46"/>
      <c r="H42" s="46"/>
      <c r="I42" s="43">
        <v>0</v>
      </c>
      <c r="J42" s="43">
        <v>0</v>
      </c>
      <c r="K42" s="43">
        <v>540</v>
      </c>
      <c r="L42" s="43">
        <v>540</v>
      </c>
      <c r="O42" s="43" t="s">
        <v>766</v>
      </c>
      <c r="P42" s="44" t="s">
        <v>752</v>
      </c>
      <c r="Q42" s="44" t="s">
        <v>647</v>
      </c>
      <c r="R42" s="45" t="s">
        <v>538</v>
      </c>
      <c r="S42" s="46" t="s">
        <v>592</v>
      </c>
      <c r="T42" s="46" t="s">
        <v>659</v>
      </c>
      <c r="U42" s="46"/>
      <c r="V42" s="46"/>
      <c r="W42" s="43">
        <v>16</v>
      </c>
      <c r="X42" s="43">
        <v>0</v>
      </c>
      <c r="Y42" s="43">
        <v>0</v>
      </c>
      <c r="Z42" s="43">
        <v>16</v>
      </c>
      <c r="AD42" s="62"/>
      <c r="AE42" s="62"/>
      <c r="AF42" s="63"/>
      <c r="AG42" s="64"/>
      <c r="AH42" s="64"/>
      <c r="AI42" s="65"/>
    </row>
    <row r="43" spans="1:45" ht="15">
      <c r="A43" s="43" t="s">
        <v>753</v>
      </c>
      <c r="B43" s="44" t="s">
        <v>749</v>
      </c>
      <c r="C43" s="44" t="s">
        <v>489</v>
      </c>
      <c r="D43" s="45" t="s">
        <v>512</v>
      </c>
      <c r="E43" s="46"/>
      <c r="F43" s="46"/>
      <c r="G43" s="46"/>
      <c r="H43" s="46"/>
      <c r="I43" s="43">
        <v>0</v>
      </c>
      <c r="J43" s="43">
        <v>0</v>
      </c>
      <c r="K43" s="43">
        <v>540</v>
      </c>
      <c r="L43" s="43">
        <v>540</v>
      </c>
      <c r="O43" s="43" t="s">
        <v>766</v>
      </c>
      <c r="P43" s="44" t="s">
        <v>752</v>
      </c>
      <c r="Q43" s="44" t="s">
        <v>647</v>
      </c>
      <c r="R43" s="45" t="s">
        <v>543</v>
      </c>
      <c r="S43" s="46" t="s">
        <v>630</v>
      </c>
      <c r="T43" s="46" t="s">
        <v>660</v>
      </c>
      <c r="U43" s="46"/>
      <c r="V43" s="46"/>
      <c r="W43" s="43">
        <v>18</v>
      </c>
      <c r="X43" s="43">
        <v>0</v>
      </c>
      <c r="Y43" s="43">
        <v>0</v>
      </c>
      <c r="Z43" s="43">
        <v>18</v>
      </c>
      <c r="AD43" s="62"/>
      <c r="AE43" s="62"/>
      <c r="AF43" s="63"/>
      <c r="AG43" s="64"/>
      <c r="AH43" s="64"/>
      <c r="AI43" s="65"/>
    </row>
    <row r="44" spans="1:45" ht="15">
      <c r="A44" s="43" t="s">
        <v>753</v>
      </c>
      <c r="B44" s="44" t="s">
        <v>749</v>
      </c>
      <c r="C44" s="44" t="s">
        <v>489</v>
      </c>
      <c r="D44" s="45" t="s">
        <v>513</v>
      </c>
      <c r="E44" s="46"/>
      <c r="F44" s="46"/>
      <c r="G44" s="46"/>
      <c r="H44" s="46"/>
      <c r="I44" s="43">
        <v>0</v>
      </c>
      <c r="J44" s="43">
        <v>0</v>
      </c>
      <c r="K44" s="43">
        <v>540</v>
      </c>
      <c r="L44" s="43">
        <v>540</v>
      </c>
      <c r="O44" s="43" t="s">
        <v>766</v>
      </c>
      <c r="P44" s="44" t="s">
        <v>752</v>
      </c>
      <c r="Q44" s="44" t="s">
        <v>647</v>
      </c>
      <c r="R44" s="45" t="s">
        <v>512</v>
      </c>
      <c r="S44" s="46"/>
      <c r="T44" s="46"/>
      <c r="U44" s="46"/>
      <c r="V44" s="46"/>
      <c r="W44" s="43">
        <v>0</v>
      </c>
      <c r="X44" s="43">
        <v>0</v>
      </c>
      <c r="Y44" s="43">
        <v>540</v>
      </c>
      <c r="Z44" s="43">
        <v>540</v>
      </c>
      <c r="AD44" s="62"/>
      <c r="AE44" s="62"/>
      <c r="AF44" s="63"/>
      <c r="AH44" s="64"/>
      <c r="AI44" s="65"/>
    </row>
    <row r="45" spans="1:45" ht="15">
      <c r="A45" s="43" t="s">
        <v>753</v>
      </c>
      <c r="B45" s="44" t="s">
        <v>749</v>
      </c>
      <c r="C45" s="44" t="s">
        <v>489</v>
      </c>
      <c r="D45" s="45" t="s">
        <v>515</v>
      </c>
      <c r="E45" s="46"/>
      <c r="F45" s="46"/>
      <c r="G45" s="46"/>
      <c r="H45" s="46"/>
      <c r="I45" s="43">
        <v>0</v>
      </c>
      <c r="J45" s="43">
        <v>0</v>
      </c>
      <c r="K45" s="43">
        <v>540</v>
      </c>
      <c r="L45" s="43">
        <v>540</v>
      </c>
      <c r="O45" s="43" t="s">
        <v>766</v>
      </c>
      <c r="P45" s="44" t="s">
        <v>752</v>
      </c>
      <c r="Q45" s="44" t="s">
        <v>647</v>
      </c>
      <c r="R45" s="45" t="s">
        <v>515</v>
      </c>
      <c r="S45" s="46"/>
      <c r="T45" s="46"/>
      <c r="U45" s="46"/>
      <c r="V45" s="46"/>
      <c r="W45" s="43">
        <v>0</v>
      </c>
      <c r="X45" s="43">
        <v>0</v>
      </c>
      <c r="Y45" s="43">
        <v>540</v>
      </c>
      <c r="Z45" s="43">
        <v>540</v>
      </c>
      <c r="AD45" s="62"/>
      <c r="AE45" s="62"/>
      <c r="AF45" s="63"/>
      <c r="AG45" s="64"/>
      <c r="AH45" s="64"/>
      <c r="AI45" s="65"/>
    </row>
    <row r="46" spans="1:45" ht="15">
      <c r="A46" s="43" t="s">
        <v>753</v>
      </c>
      <c r="B46" s="44" t="s">
        <v>749</v>
      </c>
      <c r="C46" s="44" t="s">
        <v>489</v>
      </c>
      <c r="D46" s="45" t="s">
        <v>517</v>
      </c>
      <c r="E46" s="46"/>
      <c r="F46" s="46"/>
      <c r="G46" s="46"/>
      <c r="H46" s="46"/>
      <c r="I46" s="43">
        <v>0</v>
      </c>
      <c r="J46" s="43">
        <v>0</v>
      </c>
      <c r="K46" s="43">
        <v>540</v>
      </c>
      <c r="L46" s="43">
        <v>540</v>
      </c>
      <c r="O46" s="43" t="s">
        <v>766</v>
      </c>
      <c r="P46" s="44" t="s">
        <v>752</v>
      </c>
      <c r="Q46" s="44" t="s">
        <v>647</v>
      </c>
      <c r="R46" s="45" t="s">
        <v>517</v>
      </c>
      <c r="S46" s="46"/>
      <c r="T46" s="46"/>
      <c r="U46" s="46"/>
      <c r="V46" s="46"/>
      <c r="W46" s="43">
        <v>0</v>
      </c>
      <c r="X46" s="43">
        <v>0</v>
      </c>
      <c r="Y46" s="43">
        <v>540</v>
      </c>
      <c r="Z46" s="43">
        <v>540</v>
      </c>
      <c r="AD46" s="62"/>
      <c r="AE46" s="62"/>
      <c r="AF46" s="63"/>
      <c r="AH46" s="64"/>
      <c r="AI46" s="65"/>
    </row>
    <row r="47" spans="1:45" ht="15">
      <c r="A47" s="43" t="s">
        <v>753</v>
      </c>
      <c r="B47" s="44" t="s">
        <v>749</v>
      </c>
      <c r="C47" s="44" t="s">
        <v>489</v>
      </c>
      <c r="D47" s="45" t="s">
        <v>518</v>
      </c>
      <c r="E47" s="46"/>
      <c r="F47" s="46"/>
      <c r="G47" s="46"/>
      <c r="H47" s="46"/>
      <c r="I47" s="43">
        <v>0</v>
      </c>
      <c r="J47" s="43">
        <v>0</v>
      </c>
      <c r="K47" s="43">
        <v>540</v>
      </c>
      <c r="L47" s="43">
        <v>540</v>
      </c>
      <c r="O47" s="43" t="s">
        <v>766</v>
      </c>
      <c r="P47" s="44" t="s">
        <v>752</v>
      </c>
      <c r="Q47" s="44" t="s">
        <v>647</v>
      </c>
      <c r="R47" s="45" t="s">
        <v>518</v>
      </c>
      <c r="S47" s="46"/>
      <c r="T47" s="46"/>
      <c r="U47" s="46"/>
      <c r="V47" s="46"/>
      <c r="W47" s="43">
        <v>0</v>
      </c>
      <c r="X47" s="43">
        <v>0</v>
      </c>
      <c r="Y47" s="43">
        <v>540</v>
      </c>
      <c r="Z47" s="43">
        <v>540</v>
      </c>
      <c r="AD47" s="62"/>
      <c r="AE47" s="62"/>
      <c r="AF47" s="63"/>
      <c r="AG47" s="64"/>
      <c r="AH47" s="64"/>
      <c r="AI47" s="65"/>
    </row>
    <row r="48" spans="1:45" ht="30">
      <c r="A48" s="43" t="s">
        <v>772</v>
      </c>
      <c r="B48" s="44" t="s">
        <v>748</v>
      </c>
      <c r="C48" s="44" t="s">
        <v>489</v>
      </c>
      <c r="D48" s="45" t="s">
        <v>490</v>
      </c>
      <c r="E48" s="46"/>
      <c r="F48" s="46"/>
      <c r="G48" s="46"/>
      <c r="H48" s="46"/>
      <c r="I48" s="43">
        <v>0</v>
      </c>
      <c r="J48" s="43">
        <v>0</v>
      </c>
      <c r="K48" s="43">
        <v>540</v>
      </c>
      <c r="L48" s="43">
        <v>540</v>
      </c>
      <c r="O48" s="43" t="s">
        <v>773</v>
      </c>
      <c r="P48" s="44" t="s">
        <v>754</v>
      </c>
      <c r="Q48" s="44" t="s">
        <v>647</v>
      </c>
      <c r="R48" s="45" t="s">
        <v>490</v>
      </c>
      <c r="S48" s="46" t="s">
        <v>551</v>
      </c>
      <c r="T48" s="46"/>
      <c r="U48" s="46"/>
      <c r="V48" s="46"/>
      <c r="W48" s="43">
        <v>51</v>
      </c>
      <c r="X48" s="43">
        <v>0</v>
      </c>
      <c r="Y48" s="43">
        <v>489</v>
      </c>
      <c r="Z48" s="43">
        <v>540</v>
      </c>
      <c r="AD48" s="62"/>
      <c r="AE48" s="62"/>
      <c r="AF48" s="63"/>
      <c r="AG48" s="64"/>
      <c r="AH48" s="64"/>
      <c r="AI48" s="65"/>
    </row>
    <row r="49" spans="1:35" ht="30">
      <c r="A49" s="43" t="s">
        <v>772</v>
      </c>
      <c r="B49" s="44" t="s">
        <v>748</v>
      </c>
      <c r="C49" s="44" t="s">
        <v>489</v>
      </c>
      <c r="D49" s="45" t="s">
        <v>491</v>
      </c>
      <c r="E49" s="46"/>
      <c r="F49" s="46"/>
      <c r="G49" s="46"/>
      <c r="H49" s="46"/>
      <c r="I49" s="43">
        <v>0</v>
      </c>
      <c r="J49" s="43">
        <v>0</v>
      </c>
      <c r="K49" s="43">
        <v>540</v>
      </c>
      <c r="L49" s="43">
        <v>540</v>
      </c>
      <c r="O49" s="43" t="s">
        <v>773</v>
      </c>
      <c r="P49" s="44" t="s">
        <v>754</v>
      </c>
      <c r="Q49" s="44" t="s">
        <v>647</v>
      </c>
      <c r="R49" s="45" t="s">
        <v>491</v>
      </c>
      <c r="S49" s="46" t="s">
        <v>626</v>
      </c>
      <c r="T49" s="46" t="s">
        <v>576</v>
      </c>
      <c r="U49" s="46"/>
      <c r="V49" s="46"/>
      <c r="W49" s="43">
        <v>38</v>
      </c>
      <c r="X49" s="43">
        <v>0</v>
      </c>
      <c r="Y49" s="43">
        <v>0</v>
      </c>
      <c r="Z49" s="43">
        <v>38</v>
      </c>
      <c r="AD49" s="62"/>
      <c r="AE49" s="62"/>
      <c r="AF49" s="63"/>
      <c r="AG49" s="64"/>
      <c r="AH49" s="64"/>
      <c r="AI49" s="65"/>
    </row>
    <row r="50" spans="1:35" ht="30">
      <c r="A50" s="43" t="s">
        <v>772</v>
      </c>
      <c r="B50" s="44" t="s">
        <v>748</v>
      </c>
      <c r="C50" s="44" t="s">
        <v>489</v>
      </c>
      <c r="D50" s="45" t="s">
        <v>493</v>
      </c>
      <c r="E50" s="46"/>
      <c r="F50" s="46"/>
      <c r="G50" s="46"/>
      <c r="H50" s="46"/>
      <c r="I50" s="43">
        <v>0</v>
      </c>
      <c r="J50" s="43">
        <v>0</v>
      </c>
      <c r="K50" s="43">
        <v>540</v>
      </c>
      <c r="L50" s="43">
        <v>540</v>
      </c>
      <c r="O50" s="43" t="s">
        <v>773</v>
      </c>
      <c r="P50" s="44" t="s">
        <v>754</v>
      </c>
      <c r="Q50" s="44" t="s">
        <v>647</v>
      </c>
      <c r="R50" s="45" t="s">
        <v>493</v>
      </c>
      <c r="S50" s="46" t="s">
        <v>567</v>
      </c>
      <c r="T50" s="46" t="s">
        <v>552</v>
      </c>
      <c r="U50" s="46"/>
      <c r="V50" s="46"/>
      <c r="W50" s="43">
        <v>39</v>
      </c>
      <c r="X50" s="43">
        <v>0</v>
      </c>
      <c r="Y50" s="43">
        <v>0</v>
      </c>
      <c r="Z50" s="43">
        <v>39</v>
      </c>
      <c r="AD50" s="62"/>
      <c r="AE50" s="62"/>
      <c r="AF50" s="63"/>
      <c r="AG50" s="64"/>
      <c r="AH50" s="64"/>
      <c r="AI50" s="65"/>
    </row>
    <row r="51" spans="1:35" ht="30">
      <c r="A51" s="43" t="s">
        <v>772</v>
      </c>
      <c r="B51" s="44" t="s">
        <v>748</v>
      </c>
      <c r="C51" s="44" t="s">
        <v>489</v>
      </c>
      <c r="D51" s="45" t="s">
        <v>494</v>
      </c>
      <c r="E51" s="46"/>
      <c r="F51" s="46"/>
      <c r="G51" s="46"/>
      <c r="H51" s="46"/>
      <c r="I51" s="43">
        <v>0</v>
      </c>
      <c r="J51" s="43">
        <v>0</v>
      </c>
      <c r="K51" s="43">
        <v>540</v>
      </c>
      <c r="L51" s="43">
        <v>540</v>
      </c>
      <c r="O51" s="43" t="s">
        <v>773</v>
      </c>
      <c r="P51" s="44" t="s">
        <v>754</v>
      </c>
      <c r="Q51" s="44" t="s">
        <v>647</v>
      </c>
      <c r="R51" s="45" t="s">
        <v>494</v>
      </c>
      <c r="S51" s="46" t="s">
        <v>580</v>
      </c>
      <c r="T51" s="46"/>
      <c r="U51" s="46"/>
      <c r="V51" s="46"/>
      <c r="W51" s="43">
        <v>44</v>
      </c>
      <c r="X51" s="43">
        <v>0</v>
      </c>
      <c r="Y51" s="43">
        <v>496</v>
      </c>
      <c r="Z51" s="43">
        <v>540</v>
      </c>
      <c r="AD51" s="62"/>
      <c r="AE51" s="62"/>
      <c r="AF51" s="63"/>
      <c r="AH51" s="64"/>
      <c r="AI51" s="65"/>
    </row>
    <row r="52" spans="1:35" ht="30">
      <c r="A52" s="43" t="s">
        <v>772</v>
      </c>
      <c r="B52" s="44" t="s">
        <v>748</v>
      </c>
      <c r="C52" s="44" t="s">
        <v>489</v>
      </c>
      <c r="D52" s="45" t="s">
        <v>495</v>
      </c>
      <c r="E52" s="46"/>
      <c r="F52" s="46"/>
      <c r="G52" s="46"/>
      <c r="H52" s="46"/>
      <c r="I52" s="43">
        <v>0</v>
      </c>
      <c r="J52" s="43">
        <v>0</v>
      </c>
      <c r="K52" s="43">
        <v>540</v>
      </c>
      <c r="L52" s="43">
        <v>540</v>
      </c>
      <c r="O52" s="43" t="s">
        <v>773</v>
      </c>
      <c r="P52" s="44" t="s">
        <v>754</v>
      </c>
      <c r="Q52" s="44" t="s">
        <v>647</v>
      </c>
      <c r="R52" s="45" t="s">
        <v>495</v>
      </c>
      <c r="S52" s="46" t="s">
        <v>628</v>
      </c>
      <c r="T52" s="46" t="s">
        <v>661</v>
      </c>
      <c r="U52" s="46"/>
      <c r="V52" s="46"/>
      <c r="W52" s="43">
        <v>33</v>
      </c>
      <c r="X52" s="43">
        <v>0</v>
      </c>
      <c r="Y52" s="43">
        <v>0</v>
      </c>
      <c r="Z52" s="43">
        <v>33</v>
      </c>
      <c r="AD52" s="62"/>
      <c r="AE52" s="62"/>
      <c r="AF52" s="63"/>
      <c r="AH52" s="64"/>
      <c r="AI52" s="65"/>
    </row>
    <row r="53" spans="1:35" ht="30">
      <c r="A53" s="43" t="s">
        <v>772</v>
      </c>
      <c r="B53" s="44" t="s">
        <v>748</v>
      </c>
      <c r="C53" s="44" t="s">
        <v>489</v>
      </c>
      <c r="D53" s="45" t="s">
        <v>496</v>
      </c>
      <c r="E53" s="46"/>
      <c r="F53" s="46"/>
      <c r="G53" s="46"/>
      <c r="H53" s="46"/>
      <c r="I53" s="43">
        <v>0</v>
      </c>
      <c r="J53" s="43">
        <v>0</v>
      </c>
      <c r="K53" s="43">
        <v>540</v>
      </c>
      <c r="L53" s="43">
        <v>540</v>
      </c>
      <c r="O53" s="43" t="s">
        <v>773</v>
      </c>
      <c r="P53" s="44" t="s">
        <v>754</v>
      </c>
      <c r="Q53" s="44" t="s">
        <v>647</v>
      </c>
      <c r="R53" s="45" t="s">
        <v>497</v>
      </c>
      <c r="S53" s="46" t="s">
        <v>662</v>
      </c>
      <c r="T53" s="46" t="s">
        <v>648</v>
      </c>
      <c r="U53" s="46"/>
      <c r="V53" s="46"/>
      <c r="W53" s="43">
        <v>21</v>
      </c>
      <c r="X53" s="43">
        <v>0</v>
      </c>
      <c r="Y53" s="43">
        <v>0</v>
      </c>
      <c r="Z53" s="43">
        <v>21</v>
      </c>
      <c r="AD53" s="62"/>
      <c r="AE53" s="62"/>
      <c r="AF53" s="63"/>
      <c r="AH53" s="64"/>
      <c r="AI53" s="65"/>
    </row>
    <row r="54" spans="1:35" ht="30">
      <c r="A54" s="43" t="s">
        <v>772</v>
      </c>
      <c r="B54" s="44" t="s">
        <v>748</v>
      </c>
      <c r="C54" s="44" t="s">
        <v>489</v>
      </c>
      <c r="D54" s="45" t="s">
        <v>497</v>
      </c>
      <c r="E54" s="46"/>
      <c r="F54" s="46"/>
      <c r="G54" s="46"/>
      <c r="H54" s="46"/>
      <c r="I54" s="43">
        <v>0</v>
      </c>
      <c r="J54" s="43">
        <v>0</v>
      </c>
      <c r="K54" s="43">
        <v>540</v>
      </c>
      <c r="L54" s="43">
        <v>540</v>
      </c>
      <c r="O54" s="43" t="s">
        <v>773</v>
      </c>
      <c r="P54" s="44" t="s">
        <v>754</v>
      </c>
      <c r="Q54" s="44" t="s">
        <v>647</v>
      </c>
      <c r="R54" s="45" t="s">
        <v>498</v>
      </c>
      <c r="S54" s="46"/>
      <c r="T54" s="46"/>
      <c r="U54" s="46"/>
      <c r="V54" s="46"/>
      <c r="W54" s="43">
        <v>0</v>
      </c>
      <c r="X54" s="43">
        <v>0</v>
      </c>
      <c r="Y54" s="43">
        <v>540</v>
      </c>
      <c r="Z54" s="43">
        <v>540</v>
      </c>
      <c r="AD54" s="62"/>
      <c r="AE54" s="62"/>
      <c r="AF54" s="63"/>
      <c r="AG54" s="64"/>
      <c r="AH54" s="64"/>
      <c r="AI54" s="65"/>
    </row>
    <row r="55" spans="1:35" ht="30">
      <c r="A55" s="43" t="s">
        <v>772</v>
      </c>
      <c r="B55" s="44" t="s">
        <v>748</v>
      </c>
      <c r="C55" s="44" t="s">
        <v>489</v>
      </c>
      <c r="D55" s="45" t="s">
        <v>498</v>
      </c>
      <c r="E55" s="46"/>
      <c r="F55" s="46"/>
      <c r="G55" s="46"/>
      <c r="H55" s="46"/>
      <c r="I55" s="43">
        <v>0</v>
      </c>
      <c r="J55" s="43">
        <v>0</v>
      </c>
      <c r="K55" s="43">
        <v>540</v>
      </c>
      <c r="L55" s="43">
        <v>540</v>
      </c>
      <c r="O55" s="43" t="s">
        <v>773</v>
      </c>
      <c r="P55" s="44" t="s">
        <v>754</v>
      </c>
      <c r="Q55" s="44" t="s">
        <v>647</v>
      </c>
      <c r="R55" s="45" t="s">
        <v>499</v>
      </c>
      <c r="S55" s="46"/>
      <c r="T55" s="46"/>
      <c r="U55" s="46"/>
      <c r="V55" s="46"/>
      <c r="W55" s="43">
        <v>0</v>
      </c>
      <c r="X55" s="43">
        <v>0</v>
      </c>
      <c r="Y55" s="43">
        <v>540</v>
      </c>
      <c r="Z55" s="43">
        <v>540</v>
      </c>
      <c r="AD55" s="62"/>
      <c r="AE55" s="62"/>
      <c r="AF55" s="63"/>
      <c r="AG55" s="64"/>
      <c r="AH55" s="64"/>
      <c r="AI55" s="65"/>
    </row>
    <row r="56" spans="1:35" ht="30">
      <c r="A56" s="43" t="s">
        <v>772</v>
      </c>
      <c r="B56" s="44" t="s">
        <v>748</v>
      </c>
      <c r="C56" s="44" t="s">
        <v>489</v>
      </c>
      <c r="D56" s="45" t="s">
        <v>499</v>
      </c>
      <c r="E56" s="46"/>
      <c r="F56" s="46" t="s">
        <v>774</v>
      </c>
      <c r="G56" s="46"/>
      <c r="H56" s="46"/>
      <c r="I56" s="43">
        <v>0</v>
      </c>
      <c r="J56" s="43">
        <v>0</v>
      </c>
      <c r="K56" s="43">
        <v>540</v>
      </c>
      <c r="L56" s="43">
        <v>540</v>
      </c>
      <c r="O56" s="43" t="s">
        <v>773</v>
      </c>
      <c r="P56" s="44" t="s">
        <v>754</v>
      </c>
      <c r="Q56" s="44" t="s">
        <v>647</v>
      </c>
      <c r="R56" s="45" t="s">
        <v>500</v>
      </c>
      <c r="S56" s="46"/>
      <c r="T56" s="46"/>
      <c r="U56" s="46"/>
      <c r="V56" s="46"/>
      <c r="W56" s="43">
        <v>0</v>
      </c>
      <c r="X56" s="43">
        <v>0</v>
      </c>
      <c r="Y56" s="43">
        <v>540</v>
      </c>
      <c r="Z56" s="43">
        <v>540</v>
      </c>
      <c r="AD56" s="62"/>
      <c r="AE56" s="62"/>
      <c r="AF56" s="63"/>
      <c r="AG56" s="64"/>
      <c r="AH56" s="64"/>
      <c r="AI56" s="65"/>
    </row>
    <row r="57" spans="1:35" ht="30">
      <c r="A57" s="43" t="s">
        <v>772</v>
      </c>
      <c r="B57" s="44" t="s">
        <v>748</v>
      </c>
      <c r="C57" s="44" t="s">
        <v>489</v>
      </c>
      <c r="D57" s="45" t="s">
        <v>500</v>
      </c>
      <c r="E57" s="46"/>
      <c r="F57" s="46"/>
      <c r="G57" s="46"/>
      <c r="H57" s="46"/>
      <c r="I57" s="43">
        <v>0</v>
      </c>
      <c r="J57" s="43">
        <v>0</v>
      </c>
      <c r="K57" s="43">
        <v>540</v>
      </c>
      <c r="L57" s="43">
        <v>540</v>
      </c>
      <c r="O57" s="43" t="s">
        <v>773</v>
      </c>
      <c r="P57" s="44" t="s">
        <v>754</v>
      </c>
      <c r="Q57" s="44" t="s">
        <v>647</v>
      </c>
      <c r="R57" s="45" t="s">
        <v>501</v>
      </c>
      <c r="S57" s="46" t="s">
        <v>525</v>
      </c>
      <c r="T57" s="46" t="s">
        <v>663</v>
      </c>
      <c r="U57" s="46"/>
      <c r="V57" s="46"/>
      <c r="W57" s="43">
        <v>40</v>
      </c>
      <c r="X57" s="43">
        <v>0</v>
      </c>
      <c r="Y57" s="43">
        <v>0</v>
      </c>
      <c r="Z57" s="43">
        <v>40</v>
      </c>
      <c r="AD57" s="62"/>
      <c r="AE57" s="62"/>
      <c r="AF57" s="63"/>
      <c r="AG57" s="64"/>
      <c r="AH57" s="64"/>
      <c r="AI57" s="65"/>
    </row>
    <row r="58" spans="1:35" ht="30">
      <c r="A58" s="43" t="s">
        <v>772</v>
      </c>
      <c r="B58" s="44" t="s">
        <v>748</v>
      </c>
      <c r="C58" s="44" t="s">
        <v>489</v>
      </c>
      <c r="D58" s="45" t="s">
        <v>501</v>
      </c>
      <c r="E58" s="46"/>
      <c r="F58" s="46"/>
      <c r="G58" s="46"/>
      <c r="H58" s="46"/>
      <c r="I58" s="43">
        <v>0</v>
      </c>
      <c r="J58" s="43">
        <v>0</v>
      </c>
      <c r="K58" s="43">
        <v>540</v>
      </c>
      <c r="L58" s="43">
        <v>540</v>
      </c>
      <c r="O58" s="43" t="s">
        <v>773</v>
      </c>
      <c r="P58" s="44" t="s">
        <v>754</v>
      </c>
      <c r="Q58" s="44" t="s">
        <v>647</v>
      </c>
      <c r="R58" s="45" t="s">
        <v>506</v>
      </c>
      <c r="S58" s="46"/>
      <c r="T58" s="46"/>
      <c r="U58" s="46"/>
      <c r="V58" s="46"/>
      <c r="W58" s="43">
        <v>0</v>
      </c>
      <c r="X58" s="43">
        <v>0</v>
      </c>
      <c r="Y58" s="43">
        <v>540</v>
      </c>
      <c r="Z58" s="43">
        <v>540</v>
      </c>
      <c r="AD58" s="62"/>
      <c r="AE58" s="62"/>
      <c r="AF58" s="63"/>
      <c r="AG58" s="64"/>
      <c r="AH58" s="64"/>
      <c r="AI58" s="65"/>
    </row>
    <row r="59" spans="1:35" ht="30">
      <c r="A59" s="43" t="s">
        <v>772</v>
      </c>
      <c r="B59" s="44" t="s">
        <v>748</v>
      </c>
      <c r="C59" s="44" t="s">
        <v>489</v>
      </c>
      <c r="D59" s="45" t="s">
        <v>503</v>
      </c>
      <c r="E59" s="46"/>
      <c r="F59" s="46"/>
      <c r="G59" s="46"/>
      <c r="H59" s="46"/>
      <c r="I59" s="43">
        <v>0</v>
      </c>
      <c r="J59" s="43">
        <v>0</v>
      </c>
      <c r="K59" s="43">
        <v>540</v>
      </c>
      <c r="L59" s="43">
        <v>540</v>
      </c>
      <c r="O59" s="43" t="s">
        <v>773</v>
      </c>
      <c r="P59" s="44" t="s">
        <v>754</v>
      </c>
      <c r="Q59" s="44" t="s">
        <v>647</v>
      </c>
      <c r="R59" s="45" t="s">
        <v>507</v>
      </c>
      <c r="S59" s="46" t="s">
        <v>547</v>
      </c>
      <c r="T59" s="46" t="s">
        <v>588</v>
      </c>
      <c r="U59" s="46"/>
      <c r="V59" s="46"/>
      <c r="W59" s="43">
        <v>41</v>
      </c>
      <c r="X59" s="43">
        <v>0</v>
      </c>
      <c r="Y59" s="43">
        <v>0</v>
      </c>
      <c r="Z59" s="43">
        <v>41</v>
      </c>
      <c r="AD59" s="62"/>
      <c r="AE59" s="62"/>
      <c r="AF59" s="63"/>
      <c r="AG59" s="64"/>
      <c r="AH59" s="64"/>
      <c r="AI59" s="65"/>
    </row>
    <row r="60" spans="1:35" ht="30">
      <c r="A60" s="43" t="s">
        <v>772</v>
      </c>
      <c r="B60" s="44" t="s">
        <v>748</v>
      </c>
      <c r="C60" s="44" t="s">
        <v>489</v>
      </c>
      <c r="D60" s="45" t="s">
        <v>506</v>
      </c>
      <c r="E60" s="46"/>
      <c r="F60" s="46"/>
      <c r="G60" s="46"/>
      <c r="H60" s="46"/>
      <c r="I60" s="43">
        <v>0</v>
      </c>
      <c r="J60" s="43">
        <v>0</v>
      </c>
      <c r="K60" s="43">
        <v>540</v>
      </c>
      <c r="L60" s="43">
        <v>540</v>
      </c>
      <c r="O60" s="43" t="s">
        <v>773</v>
      </c>
      <c r="P60" s="44" t="s">
        <v>754</v>
      </c>
      <c r="Q60" s="44" t="s">
        <v>647</v>
      </c>
      <c r="R60" s="45" t="s">
        <v>508</v>
      </c>
      <c r="S60" s="46" t="s">
        <v>567</v>
      </c>
      <c r="T60" s="46" t="s">
        <v>648</v>
      </c>
      <c r="U60" s="46"/>
      <c r="V60" s="46"/>
      <c r="W60" s="43">
        <v>39</v>
      </c>
      <c r="X60" s="43">
        <v>0</v>
      </c>
      <c r="Y60" s="43">
        <v>0</v>
      </c>
      <c r="Z60" s="43">
        <v>39</v>
      </c>
      <c r="AD60" s="62"/>
      <c r="AE60" s="62"/>
      <c r="AF60" s="63"/>
      <c r="AH60" s="64"/>
      <c r="AI60" s="65"/>
    </row>
    <row r="61" spans="1:35" ht="30">
      <c r="A61" s="43" t="s">
        <v>772</v>
      </c>
      <c r="B61" s="44" t="s">
        <v>748</v>
      </c>
      <c r="C61" s="44" t="s">
        <v>489</v>
      </c>
      <c r="D61" s="45" t="s">
        <v>507</v>
      </c>
      <c r="E61" s="46"/>
      <c r="F61" s="46"/>
      <c r="G61" s="46"/>
      <c r="H61" s="46"/>
      <c r="I61" s="43">
        <v>0</v>
      </c>
      <c r="J61" s="43">
        <v>0</v>
      </c>
      <c r="K61" s="43">
        <v>540</v>
      </c>
      <c r="L61" s="43">
        <v>540</v>
      </c>
      <c r="O61" s="43" t="s">
        <v>773</v>
      </c>
      <c r="P61" s="44" t="s">
        <v>754</v>
      </c>
      <c r="Q61" s="44" t="s">
        <v>647</v>
      </c>
      <c r="R61" s="45" t="s">
        <v>534</v>
      </c>
      <c r="S61" s="46" t="s">
        <v>664</v>
      </c>
      <c r="T61" s="46" t="s">
        <v>663</v>
      </c>
      <c r="U61" s="46"/>
      <c r="V61" s="46"/>
      <c r="W61" s="43">
        <v>47</v>
      </c>
      <c r="X61" s="43">
        <v>0</v>
      </c>
      <c r="Y61" s="43">
        <v>0</v>
      </c>
      <c r="Z61" s="43">
        <v>47</v>
      </c>
      <c r="AD61" s="62"/>
      <c r="AE61" s="62"/>
      <c r="AF61" s="63"/>
      <c r="AG61" s="64"/>
      <c r="AH61" s="64"/>
      <c r="AI61" s="65"/>
    </row>
    <row r="62" spans="1:35" ht="30">
      <c r="A62" s="43" t="s">
        <v>772</v>
      </c>
      <c r="B62" s="44" t="s">
        <v>748</v>
      </c>
      <c r="C62" s="44" t="s">
        <v>489</v>
      </c>
      <c r="D62" s="45" t="s">
        <v>508</v>
      </c>
      <c r="E62" s="46"/>
      <c r="F62" s="46"/>
      <c r="G62" s="46"/>
      <c r="H62" s="46"/>
      <c r="I62" s="43">
        <v>0</v>
      </c>
      <c r="J62" s="43">
        <v>0</v>
      </c>
      <c r="K62" s="43">
        <v>540</v>
      </c>
      <c r="L62" s="43">
        <v>540</v>
      </c>
      <c r="O62" s="43" t="s">
        <v>773</v>
      </c>
      <c r="P62" s="44" t="s">
        <v>754</v>
      </c>
      <c r="Q62" s="44" t="s">
        <v>647</v>
      </c>
      <c r="R62" s="45" t="s">
        <v>535</v>
      </c>
      <c r="S62" s="46" t="s">
        <v>665</v>
      </c>
      <c r="T62" s="46" t="s">
        <v>661</v>
      </c>
      <c r="U62" s="46"/>
      <c r="V62" s="46"/>
      <c r="W62" s="43">
        <v>55</v>
      </c>
      <c r="X62" s="43">
        <v>0</v>
      </c>
      <c r="Y62" s="43">
        <v>0</v>
      </c>
      <c r="Z62" s="43">
        <v>55</v>
      </c>
      <c r="AD62" s="62"/>
      <c r="AE62" s="62"/>
      <c r="AF62" s="63"/>
      <c r="AG62" s="64"/>
      <c r="AH62" s="64"/>
      <c r="AI62" s="65"/>
    </row>
    <row r="63" spans="1:35" ht="30">
      <c r="A63" s="43" t="s">
        <v>772</v>
      </c>
      <c r="B63" s="44" t="s">
        <v>748</v>
      </c>
      <c r="C63" s="44" t="s">
        <v>489</v>
      </c>
      <c r="D63" s="45" t="s">
        <v>534</v>
      </c>
      <c r="E63" s="46"/>
      <c r="F63" s="46"/>
      <c r="G63" s="46"/>
      <c r="H63" s="46"/>
      <c r="I63" s="43">
        <v>0</v>
      </c>
      <c r="J63" s="43">
        <v>0</v>
      </c>
      <c r="K63" s="43">
        <v>540</v>
      </c>
      <c r="L63" s="43">
        <v>540</v>
      </c>
      <c r="O63" s="43" t="s">
        <v>773</v>
      </c>
      <c r="P63" s="44" t="s">
        <v>754</v>
      </c>
      <c r="Q63" s="44" t="s">
        <v>647</v>
      </c>
      <c r="R63" s="45" t="s">
        <v>510</v>
      </c>
      <c r="S63" s="46" t="s">
        <v>666</v>
      </c>
      <c r="T63" s="46" t="s">
        <v>653</v>
      </c>
      <c r="U63" s="46"/>
      <c r="V63" s="46"/>
      <c r="W63" s="43">
        <v>54</v>
      </c>
      <c r="X63" s="43">
        <v>0</v>
      </c>
      <c r="Y63" s="43">
        <v>0</v>
      </c>
      <c r="Z63" s="43">
        <v>54</v>
      </c>
      <c r="AD63" s="62"/>
      <c r="AE63" s="62"/>
      <c r="AF63" s="63"/>
      <c r="AG63" s="64"/>
      <c r="AH63" s="64"/>
      <c r="AI63" s="65"/>
    </row>
    <row r="64" spans="1:35" ht="30">
      <c r="A64" s="43" t="s">
        <v>772</v>
      </c>
      <c r="B64" s="44" t="s">
        <v>748</v>
      </c>
      <c r="C64" s="44" t="s">
        <v>489</v>
      </c>
      <c r="D64" s="45" t="s">
        <v>535</v>
      </c>
      <c r="E64" s="46"/>
      <c r="F64" s="46"/>
      <c r="G64" s="46"/>
      <c r="H64" s="46"/>
      <c r="I64" s="43">
        <v>0</v>
      </c>
      <c r="J64" s="43">
        <v>0</v>
      </c>
      <c r="K64" s="43">
        <v>540</v>
      </c>
      <c r="L64" s="43">
        <v>540</v>
      </c>
      <c r="O64" s="43" t="s">
        <v>773</v>
      </c>
      <c r="P64" s="44" t="s">
        <v>754</v>
      </c>
      <c r="Q64" s="44" t="s">
        <v>647</v>
      </c>
      <c r="R64" s="45" t="s">
        <v>538</v>
      </c>
      <c r="S64" s="46" t="s">
        <v>551</v>
      </c>
      <c r="T64" s="46" t="s">
        <v>530</v>
      </c>
      <c r="U64" s="46"/>
      <c r="V64" s="46"/>
      <c r="W64" s="43">
        <v>51</v>
      </c>
      <c r="X64" s="43">
        <v>0</v>
      </c>
      <c r="Y64" s="43">
        <v>0</v>
      </c>
      <c r="Z64" s="43">
        <v>51</v>
      </c>
      <c r="AD64" s="62"/>
      <c r="AE64" s="62"/>
      <c r="AF64" s="63"/>
      <c r="AG64" s="64"/>
      <c r="AH64" s="64"/>
      <c r="AI64" s="65"/>
    </row>
    <row r="65" spans="1:35" ht="30">
      <c r="A65" s="43" t="s">
        <v>772</v>
      </c>
      <c r="B65" s="44" t="s">
        <v>748</v>
      </c>
      <c r="C65" s="44" t="s">
        <v>489</v>
      </c>
      <c r="D65" s="45" t="s">
        <v>509</v>
      </c>
      <c r="E65" s="46"/>
      <c r="F65" s="46"/>
      <c r="G65" s="46"/>
      <c r="H65" s="46"/>
      <c r="I65" s="43">
        <v>0</v>
      </c>
      <c r="J65" s="43">
        <v>0</v>
      </c>
      <c r="K65" s="43">
        <v>540</v>
      </c>
      <c r="L65" s="43">
        <v>540</v>
      </c>
      <c r="O65" s="43" t="s">
        <v>773</v>
      </c>
      <c r="P65" s="44" t="s">
        <v>754</v>
      </c>
      <c r="Q65" s="44" t="s">
        <v>647</v>
      </c>
      <c r="R65" s="45" t="s">
        <v>540</v>
      </c>
      <c r="S65" s="46" t="s">
        <v>567</v>
      </c>
      <c r="T65" s="46" t="s">
        <v>565</v>
      </c>
      <c r="U65" s="46"/>
      <c r="V65" s="46"/>
      <c r="W65" s="43">
        <v>39</v>
      </c>
      <c r="X65" s="43">
        <v>0</v>
      </c>
      <c r="Y65" s="43">
        <v>0</v>
      </c>
      <c r="Z65" s="43">
        <v>39</v>
      </c>
      <c r="AD65" s="62"/>
      <c r="AE65" s="62"/>
      <c r="AF65" s="63"/>
      <c r="AG65" s="64"/>
      <c r="AH65" s="64"/>
      <c r="AI65" s="65"/>
    </row>
    <row r="66" spans="1:35" ht="30">
      <c r="A66" s="43" t="s">
        <v>772</v>
      </c>
      <c r="B66" s="44" t="s">
        <v>748</v>
      </c>
      <c r="C66" s="44" t="s">
        <v>489</v>
      </c>
      <c r="D66" s="45" t="s">
        <v>510</v>
      </c>
      <c r="E66" s="46"/>
      <c r="F66" s="46"/>
      <c r="G66" s="46"/>
      <c r="H66" s="46"/>
      <c r="I66" s="43">
        <v>0</v>
      </c>
      <c r="J66" s="43">
        <v>0</v>
      </c>
      <c r="K66" s="43">
        <v>540</v>
      </c>
      <c r="L66" s="43">
        <v>540</v>
      </c>
      <c r="O66" s="43" t="s">
        <v>773</v>
      </c>
      <c r="P66" s="44" t="s">
        <v>754</v>
      </c>
      <c r="Q66" s="44" t="s">
        <v>647</v>
      </c>
      <c r="R66" s="45" t="s">
        <v>543</v>
      </c>
      <c r="S66" s="46" t="s">
        <v>567</v>
      </c>
      <c r="T66" s="46" t="s">
        <v>552</v>
      </c>
      <c r="U66" s="46"/>
      <c r="V66" s="46"/>
      <c r="W66" s="43">
        <v>39</v>
      </c>
      <c r="X66" s="43">
        <v>0</v>
      </c>
      <c r="Y66" s="43">
        <v>0</v>
      </c>
      <c r="Z66" s="43">
        <v>39</v>
      </c>
      <c r="AD66" s="62"/>
      <c r="AE66" s="62"/>
      <c r="AF66" s="63"/>
      <c r="AG66" s="64"/>
      <c r="AH66" s="64"/>
      <c r="AI66" s="65"/>
    </row>
    <row r="67" spans="1:35" ht="30">
      <c r="A67" s="43" t="s">
        <v>772</v>
      </c>
      <c r="B67" s="44" t="s">
        <v>748</v>
      </c>
      <c r="C67" s="44" t="s">
        <v>489</v>
      </c>
      <c r="D67" s="45" t="s">
        <v>538</v>
      </c>
      <c r="E67" s="46"/>
      <c r="F67" s="46"/>
      <c r="G67" s="46"/>
      <c r="H67" s="46"/>
      <c r="I67" s="43">
        <v>0</v>
      </c>
      <c r="J67" s="43">
        <v>0</v>
      </c>
      <c r="K67" s="43">
        <v>540</v>
      </c>
      <c r="L67" s="43">
        <v>540</v>
      </c>
      <c r="O67" s="43" t="s">
        <v>773</v>
      </c>
      <c r="P67" s="44" t="s">
        <v>754</v>
      </c>
      <c r="Q67" s="44" t="s">
        <v>647</v>
      </c>
      <c r="R67" s="45" t="s">
        <v>512</v>
      </c>
      <c r="S67" s="46"/>
      <c r="T67" s="46"/>
      <c r="U67" s="46"/>
      <c r="V67" s="46"/>
      <c r="W67" s="43">
        <v>0</v>
      </c>
      <c r="X67" s="43">
        <v>0</v>
      </c>
      <c r="Y67" s="43">
        <v>540</v>
      </c>
      <c r="Z67" s="43">
        <v>540</v>
      </c>
      <c r="AD67" s="62"/>
      <c r="AE67" s="62"/>
      <c r="AF67" s="63"/>
      <c r="AG67" s="64"/>
      <c r="AH67" s="64"/>
      <c r="AI67" s="65"/>
    </row>
    <row r="68" spans="1:35" ht="30">
      <c r="A68" s="43" t="s">
        <v>772</v>
      </c>
      <c r="B68" s="44" t="s">
        <v>748</v>
      </c>
      <c r="C68" s="44" t="s">
        <v>489</v>
      </c>
      <c r="D68" s="45" t="s">
        <v>540</v>
      </c>
      <c r="E68" s="46"/>
      <c r="F68" s="46"/>
      <c r="G68" s="46"/>
      <c r="H68" s="46"/>
      <c r="I68" s="43">
        <v>0</v>
      </c>
      <c r="J68" s="43">
        <v>0</v>
      </c>
      <c r="K68" s="43">
        <v>540</v>
      </c>
      <c r="L68" s="43">
        <v>540</v>
      </c>
      <c r="O68" s="43" t="s">
        <v>773</v>
      </c>
      <c r="P68" s="44" t="s">
        <v>754</v>
      </c>
      <c r="Q68" s="44" t="s">
        <v>647</v>
      </c>
      <c r="R68" s="45" t="s">
        <v>515</v>
      </c>
      <c r="S68" s="46" t="s">
        <v>667</v>
      </c>
      <c r="T68" s="46" t="s">
        <v>661</v>
      </c>
      <c r="U68" s="46"/>
      <c r="V68" s="46"/>
      <c r="W68" s="43">
        <v>35</v>
      </c>
      <c r="X68" s="43">
        <v>0</v>
      </c>
      <c r="Y68" s="43">
        <v>0</v>
      </c>
      <c r="Z68" s="43">
        <v>35</v>
      </c>
      <c r="AD68" s="62"/>
      <c r="AE68" s="62"/>
      <c r="AF68" s="63"/>
    </row>
    <row r="69" spans="1:35" ht="30">
      <c r="A69" s="43" t="s">
        <v>772</v>
      </c>
      <c r="B69" s="44" t="s">
        <v>748</v>
      </c>
      <c r="C69" s="44" t="s">
        <v>489</v>
      </c>
      <c r="D69" s="45" t="s">
        <v>543</v>
      </c>
      <c r="E69" s="46"/>
      <c r="F69" s="46"/>
      <c r="G69" s="46"/>
      <c r="H69" s="46"/>
      <c r="I69" s="43">
        <v>0</v>
      </c>
      <c r="J69" s="43">
        <v>0</v>
      </c>
      <c r="K69" s="43">
        <v>540</v>
      </c>
      <c r="L69" s="43">
        <v>540</v>
      </c>
      <c r="O69" s="43" t="s">
        <v>773</v>
      </c>
      <c r="P69" s="44" t="s">
        <v>754</v>
      </c>
      <c r="Q69" s="44" t="s">
        <v>647</v>
      </c>
      <c r="R69" s="45" t="s">
        <v>517</v>
      </c>
      <c r="S69" s="46" t="s">
        <v>525</v>
      </c>
      <c r="T69" s="46"/>
      <c r="U69" s="46"/>
      <c r="V69" s="46"/>
      <c r="W69" s="43">
        <v>40</v>
      </c>
      <c r="X69" s="43">
        <v>0</v>
      </c>
      <c r="Y69" s="43">
        <v>500</v>
      </c>
      <c r="Z69" s="43">
        <v>540</v>
      </c>
      <c r="AD69" s="62"/>
      <c r="AE69" s="62"/>
      <c r="AF69" s="63"/>
      <c r="AG69" s="64"/>
      <c r="AH69" s="64"/>
      <c r="AI69" s="65"/>
    </row>
    <row r="70" spans="1:35" ht="30">
      <c r="A70" s="43" t="s">
        <v>772</v>
      </c>
      <c r="B70" s="44" t="s">
        <v>748</v>
      </c>
      <c r="C70" s="44" t="s">
        <v>489</v>
      </c>
      <c r="D70" s="45" t="s">
        <v>512</v>
      </c>
      <c r="E70" s="46"/>
      <c r="F70" s="46"/>
      <c r="G70" s="46"/>
      <c r="H70" s="46"/>
      <c r="I70" s="43">
        <v>0</v>
      </c>
      <c r="J70" s="43">
        <v>0</v>
      </c>
      <c r="K70" s="43">
        <v>540</v>
      </c>
      <c r="L70" s="43">
        <v>540</v>
      </c>
      <c r="O70" s="43" t="s">
        <v>773</v>
      </c>
      <c r="P70" s="44" t="s">
        <v>754</v>
      </c>
      <c r="Q70" s="44" t="s">
        <v>647</v>
      </c>
      <c r="R70" s="45" t="s">
        <v>518</v>
      </c>
      <c r="S70" s="46" t="s">
        <v>668</v>
      </c>
      <c r="T70" s="46"/>
      <c r="U70" s="46"/>
      <c r="V70" s="46"/>
      <c r="W70" s="43">
        <v>50</v>
      </c>
      <c r="X70" s="43">
        <v>0</v>
      </c>
      <c r="Y70" s="43">
        <v>490</v>
      </c>
      <c r="Z70" s="43">
        <v>540</v>
      </c>
      <c r="AD70" s="62"/>
      <c r="AE70" s="62"/>
      <c r="AF70" s="63"/>
      <c r="AG70" s="64"/>
      <c r="AH70" s="64"/>
      <c r="AI70" s="65"/>
    </row>
    <row r="71" spans="1:35" ht="30">
      <c r="A71" s="43" t="s">
        <v>772</v>
      </c>
      <c r="B71" s="44" t="s">
        <v>748</v>
      </c>
      <c r="C71" s="44" t="s">
        <v>489</v>
      </c>
      <c r="D71" s="45" t="s">
        <v>513</v>
      </c>
      <c r="E71" s="46"/>
      <c r="F71" s="46"/>
      <c r="G71" s="46"/>
      <c r="H71" s="46"/>
      <c r="I71" s="43">
        <v>0</v>
      </c>
      <c r="J71" s="43">
        <v>0</v>
      </c>
      <c r="K71" s="43">
        <v>540</v>
      </c>
      <c r="L71" s="43">
        <v>540</v>
      </c>
      <c r="O71" s="43" t="s">
        <v>775</v>
      </c>
      <c r="P71" s="44" t="s">
        <v>755</v>
      </c>
      <c r="Q71" s="44" t="s">
        <v>647</v>
      </c>
      <c r="R71" s="45" t="s">
        <v>491</v>
      </c>
      <c r="S71" s="46" t="s">
        <v>630</v>
      </c>
      <c r="T71" s="46" t="s">
        <v>655</v>
      </c>
      <c r="U71" s="46"/>
      <c r="V71" s="46"/>
      <c r="W71" s="43">
        <v>18</v>
      </c>
      <c r="X71" s="43">
        <v>0</v>
      </c>
      <c r="Y71" s="43">
        <v>0</v>
      </c>
      <c r="Z71" s="43">
        <v>18</v>
      </c>
      <c r="AD71" s="62"/>
      <c r="AE71" s="62"/>
      <c r="AF71" s="63"/>
      <c r="AG71" s="64"/>
      <c r="AH71" s="64"/>
      <c r="AI71" s="65"/>
    </row>
    <row r="72" spans="1:35" ht="30">
      <c r="A72" s="43" t="s">
        <v>772</v>
      </c>
      <c r="B72" s="44" t="s">
        <v>748</v>
      </c>
      <c r="C72" s="44" t="s">
        <v>489</v>
      </c>
      <c r="D72" s="45" t="s">
        <v>515</v>
      </c>
      <c r="E72" s="46"/>
      <c r="F72" s="46"/>
      <c r="G72" s="46"/>
      <c r="H72" s="46"/>
      <c r="I72" s="43">
        <v>0</v>
      </c>
      <c r="J72" s="43">
        <v>0</v>
      </c>
      <c r="K72" s="43">
        <v>540</v>
      </c>
      <c r="L72" s="43">
        <v>540</v>
      </c>
      <c r="O72" s="43" t="s">
        <v>775</v>
      </c>
      <c r="P72" s="44" t="s">
        <v>755</v>
      </c>
      <c r="Q72" s="44" t="s">
        <v>647</v>
      </c>
      <c r="R72" s="45" t="s">
        <v>493</v>
      </c>
      <c r="S72" s="46" t="s">
        <v>634</v>
      </c>
      <c r="T72" s="46"/>
      <c r="U72" s="46"/>
      <c r="V72" s="46"/>
      <c r="W72" s="43">
        <v>0</v>
      </c>
      <c r="X72" s="43">
        <v>0</v>
      </c>
      <c r="Y72" s="43">
        <v>540</v>
      </c>
      <c r="Z72" s="43">
        <v>540</v>
      </c>
      <c r="AD72" s="62"/>
      <c r="AE72" s="62"/>
      <c r="AF72" s="63"/>
      <c r="AG72" s="64"/>
      <c r="AH72" s="64"/>
      <c r="AI72" s="65"/>
    </row>
    <row r="73" spans="1:35" ht="30">
      <c r="A73" s="43" t="s">
        <v>772</v>
      </c>
      <c r="B73" s="44" t="s">
        <v>748</v>
      </c>
      <c r="C73" s="44" t="s">
        <v>489</v>
      </c>
      <c r="D73" s="45" t="s">
        <v>517</v>
      </c>
      <c r="E73" s="46"/>
      <c r="F73" s="46"/>
      <c r="G73" s="46"/>
      <c r="H73" s="46"/>
      <c r="I73" s="43">
        <v>0</v>
      </c>
      <c r="J73" s="43">
        <v>0</v>
      </c>
      <c r="K73" s="43">
        <v>540</v>
      </c>
      <c r="L73" s="43">
        <v>540</v>
      </c>
      <c r="O73" s="43" t="s">
        <v>775</v>
      </c>
      <c r="P73" s="44" t="s">
        <v>755</v>
      </c>
      <c r="Q73" s="44" t="s">
        <v>647</v>
      </c>
      <c r="R73" s="45" t="s">
        <v>495</v>
      </c>
      <c r="S73" s="46" t="s">
        <v>669</v>
      </c>
      <c r="T73" s="46" t="s">
        <v>663</v>
      </c>
      <c r="U73" s="46"/>
      <c r="V73" s="46"/>
      <c r="W73" s="43">
        <v>36</v>
      </c>
      <c r="X73" s="43">
        <v>0</v>
      </c>
      <c r="Y73" s="43">
        <v>0</v>
      </c>
      <c r="Z73" s="43">
        <v>36</v>
      </c>
      <c r="AD73" s="62"/>
      <c r="AE73" s="62"/>
      <c r="AF73" s="63"/>
      <c r="AG73" s="64"/>
      <c r="AH73" s="64"/>
      <c r="AI73" s="65"/>
    </row>
    <row r="74" spans="1:35" ht="30">
      <c r="A74" s="43" t="s">
        <v>772</v>
      </c>
      <c r="B74" s="44" t="s">
        <v>748</v>
      </c>
      <c r="C74" s="44" t="s">
        <v>489</v>
      </c>
      <c r="D74" s="45" t="s">
        <v>518</v>
      </c>
      <c r="E74" s="46"/>
      <c r="F74" s="46"/>
      <c r="G74" s="46"/>
      <c r="H74" s="46"/>
      <c r="I74" s="43">
        <v>0</v>
      </c>
      <c r="J74" s="43">
        <v>0</v>
      </c>
      <c r="K74" s="43">
        <v>540</v>
      </c>
      <c r="L74" s="43">
        <v>540</v>
      </c>
      <c r="O74" s="43" t="s">
        <v>775</v>
      </c>
      <c r="P74" s="44" t="s">
        <v>755</v>
      </c>
      <c r="Q74" s="44" t="s">
        <v>647</v>
      </c>
      <c r="R74" s="45" t="s">
        <v>497</v>
      </c>
      <c r="S74" s="46" t="s">
        <v>514</v>
      </c>
      <c r="T74" s="46" t="s">
        <v>670</v>
      </c>
      <c r="U74" s="46"/>
      <c r="V74" s="46"/>
      <c r="W74" s="43">
        <v>14</v>
      </c>
      <c r="X74" s="43">
        <v>0</v>
      </c>
      <c r="Y74" s="43">
        <v>0</v>
      </c>
      <c r="Z74" s="43">
        <v>14</v>
      </c>
      <c r="AD74" s="62"/>
      <c r="AE74" s="62"/>
      <c r="AF74" s="63"/>
    </row>
    <row r="75" spans="1:35" ht="15">
      <c r="A75" s="43" t="s">
        <v>776</v>
      </c>
      <c r="B75" s="44" t="s">
        <v>747</v>
      </c>
      <c r="C75" s="44" t="s">
        <v>489</v>
      </c>
      <c r="D75" s="45" t="s">
        <v>490</v>
      </c>
      <c r="E75" s="46"/>
      <c r="F75" s="46"/>
      <c r="G75" s="46"/>
      <c r="H75" s="46"/>
      <c r="I75" s="43">
        <v>0</v>
      </c>
      <c r="J75" s="43">
        <v>0</v>
      </c>
      <c r="K75" s="43">
        <v>540</v>
      </c>
      <c r="L75" s="43">
        <v>540</v>
      </c>
      <c r="O75" s="43" t="s">
        <v>775</v>
      </c>
      <c r="P75" s="44" t="s">
        <v>755</v>
      </c>
      <c r="Q75" s="44" t="s">
        <v>647</v>
      </c>
      <c r="R75" s="45" t="s">
        <v>499</v>
      </c>
      <c r="S75" s="46" t="s">
        <v>671</v>
      </c>
      <c r="T75" s="46" t="s">
        <v>653</v>
      </c>
      <c r="U75" s="46"/>
      <c r="V75" s="46"/>
      <c r="W75" s="43">
        <v>99</v>
      </c>
      <c r="X75" s="43">
        <v>0</v>
      </c>
      <c r="Y75" s="43">
        <v>0</v>
      </c>
      <c r="Z75" s="43">
        <v>99</v>
      </c>
      <c r="AD75" s="62"/>
      <c r="AE75" s="62"/>
      <c r="AF75" s="63"/>
    </row>
    <row r="76" spans="1:35" ht="15">
      <c r="A76" s="43" t="s">
        <v>776</v>
      </c>
      <c r="B76" s="44" t="s">
        <v>747</v>
      </c>
      <c r="C76" s="44" t="s">
        <v>489</v>
      </c>
      <c r="D76" s="45" t="s">
        <v>491</v>
      </c>
      <c r="E76" s="46"/>
      <c r="F76" s="46"/>
      <c r="G76" s="46"/>
      <c r="H76" s="46"/>
      <c r="I76" s="43">
        <v>0</v>
      </c>
      <c r="J76" s="43">
        <v>0</v>
      </c>
      <c r="K76" s="43">
        <v>540</v>
      </c>
      <c r="L76" s="43">
        <v>540</v>
      </c>
      <c r="O76" s="43" t="s">
        <v>775</v>
      </c>
      <c r="P76" s="44" t="s">
        <v>755</v>
      </c>
      <c r="Q76" s="44" t="s">
        <v>647</v>
      </c>
      <c r="R76" s="45" t="s">
        <v>506</v>
      </c>
      <c r="S76" s="46"/>
      <c r="T76" s="46"/>
      <c r="U76" s="46"/>
      <c r="V76" s="46"/>
      <c r="W76" s="43">
        <v>0</v>
      </c>
      <c r="X76" s="43">
        <v>0</v>
      </c>
      <c r="Y76" s="43">
        <v>540</v>
      </c>
      <c r="Z76" s="43">
        <v>540</v>
      </c>
      <c r="AD76" s="62"/>
      <c r="AE76" s="62"/>
      <c r="AF76" s="63"/>
      <c r="AG76" s="64"/>
      <c r="AH76" s="64"/>
      <c r="AI76" s="65"/>
    </row>
    <row r="77" spans="1:35" ht="15">
      <c r="A77" s="43" t="s">
        <v>776</v>
      </c>
      <c r="B77" s="44" t="s">
        <v>747</v>
      </c>
      <c r="C77" s="44" t="s">
        <v>489</v>
      </c>
      <c r="D77" s="45" t="s">
        <v>493</v>
      </c>
      <c r="E77" s="46"/>
      <c r="F77" s="46"/>
      <c r="G77" s="46"/>
      <c r="H77" s="46"/>
      <c r="I77" s="43">
        <v>0</v>
      </c>
      <c r="J77" s="43">
        <v>0</v>
      </c>
      <c r="K77" s="43">
        <v>540</v>
      </c>
      <c r="L77" s="43">
        <v>540</v>
      </c>
      <c r="O77" s="43" t="s">
        <v>775</v>
      </c>
      <c r="P77" s="44" t="s">
        <v>755</v>
      </c>
      <c r="Q77" s="44" t="s">
        <v>647</v>
      </c>
      <c r="R77" s="45" t="s">
        <v>507</v>
      </c>
      <c r="S77" s="46" t="s">
        <v>511</v>
      </c>
      <c r="T77" s="46" t="s">
        <v>672</v>
      </c>
      <c r="U77" s="46"/>
      <c r="V77" s="46"/>
      <c r="W77" s="43">
        <v>13</v>
      </c>
      <c r="X77" s="43">
        <v>0</v>
      </c>
      <c r="Y77" s="43">
        <v>0</v>
      </c>
      <c r="Z77" s="43">
        <v>13</v>
      </c>
      <c r="AD77" s="62"/>
      <c r="AE77" s="62"/>
      <c r="AF77" s="63"/>
      <c r="AG77" s="64"/>
      <c r="AH77" s="64"/>
      <c r="AI77" s="65"/>
    </row>
    <row r="78" spans="1:35" ht="15">
      <c r="A78" s="43" t="s">
        <v>776</v>
      </c>
      <c r="B78" s="44" t="s">
        <v>747</v>
      </c>
      <c r="C78" s="44" t="s">
        <v>489</v>
      </c>
      <c r="D78" s="45" t="s">
        <v>494</v>
      </c>
      <c r="E78" s="46"/>
      <c r="F78" s="46"/>
      <c r="G78" s="46"/>
      <c r="H78" s="46"/>
      <c r="I78" s="43">
        <v>0</v>
      </c>
      <c r="J78" s="43">
        <v>0</v>
      </c>
      <c r="K78" s="43">
        <v>540</v>
      </c>
      <c r="L78" s="43">
        <v>540</v>
      </c>
      <c r="O78" s="43" t="s">
        <v>775</v>
      </c>
      <c r="P78" s="44" t="s">
        <v>755</v>
      </c>
      <c r="Q78" s="44" t="s">
        <v>647</v>
      </c>
      <c r="R78" s="45" t="s">
        <v>534</v>
      </c>
      <c r="S78" s="46" t="s">
        <v>654</v>
      </c>
      <c r="T78" s="46" t="s">
        <v>672</v>
      </c>
      <c r="U78" s="46"/>
      <c r="V78" s="46"/>
      <c r="W78" s="43">
        <v>11</v>
      </c>
      <c r="X78" s="43">
        <v>0</v>
      </c>
      <c r="Y78" s="43">
        <v>0</v>
      </c>
      <c r="Z78" s="43">
        <v>11</v>
      </c>
      <c r="AD78" s="62"/>
      <c r="AE78" s="62"/>
      <c r="AF78" s="63"/>
      <c r="AG78" s="64"/>
      <c r="AH78" s="64"/>
      <c r="AI78" s="65"/>
    </row>
    <row r="79" spans="1:35" ht="15">
      <c r="A79" s="43" t="s">
        <v>776</v>
      </c>
      <c r="B79" s="44" t="s">
        <v>747</v>
      </c>
      <c r="C79" s="44" t="s">
        <v>489</v>
      </c>
      <c r="D79" s="45" t="s">
        <v>495</v>
      </c>
      <c r="E79" s="46"/>
      <c r="F79" s="46"/>
      <c r="G79" s="46"/>
      <c r="H79" s="46"/>
      <c r="I79" s="43">
        <v>0</v>
      </c>
      <c r="J79" s="43">
        <v>0</v>
      </c>
      <c r="K79" s="43">
        <v>540</v>
      </c>
      <c r="L79" s="43">
        <v>540</v>
      </c>
      <c r="O79" s="43" t="s">
        <v>775</v>
      </c>
      <c r="P79" s="44" t="s">
        <v>755</v>
      </c>
      <c r="Q79" s="44" t="s">
        <v>647</v>
      </c>
      <c r="R79" s="45" t="s">
        <v>535</v>
      </c>
      <c r="S79" s="46" t="s">
        <v>649</v>
      </c>
      <c r="T79" s="46" t="s">
        <v>568</v>
      </c>
      <c r="U79" s="46"/>
      <c r="V79" s="46"/>
      <c r="W79" s="43">
        <v>15</v>
      </c>
      <c r="X79" s="43">
        <v>0</v>
      </c>
      <c r="Y79" s="43">
        <v>0</v>
      </c>
      <c r="Z79" s="43">
        <v>15</v>
      </c>
      <c r="AD79" s="62"/>
      <c r="AE79" s="62"/>
      <c r="AF79" s="63"/>
      <c r="AG79" s="64"/>
      <c r="AH79" s="64"/>
      <c r="AI79" s="65"/>
    </row>
    <row r="80" spans="1:35" ht="15">
      <c r="A80" s="43" t="s">
        <v>776</v>
      </c>
      <c r="B80" s="44" t="s">
        <v>747</v>
      </c>
      <c r="C80" s="44" t="s">
        <v>489</v>
      </c>
      <c r="D80" s="45" t="s">
        <v>496</v>
      </c>
      <c r="E80" s="46"/>
      <c r="F80" s="46"/>
      <c r="G80" s="46"/>
      <c r="H80" s="46"/>
      <c r="I80" s="43">
        <v>0</v>
      </c>
      <c r="J80" s="43">
        <v>0</v>
      </c>
      <c r="K80" s="43">
        <v>540</v>
      </c>
      <c r="L80" s="43">
        <v>540</v>
      </c>
      <c r="O80" s="43" t="s">
        <v>775</v>
      </c>
      <c r="P80" s="44" t="s">
        <v>755</v>
      </c>
      <c r="Q80" s="44" t="s">
        <v>647</v>
      </c>
      <c r="R80" s="45" t="s">
        <v>510</v>
      </c>
      <c r="S80" s="46"/>
      <c r="T80" s="46"/>
      <c r="U80" s="46"/>
      <c r="V80" s="46"/>
      <c r="W80" s="43">
        <v>0</v>
      </c>
      <c r="X80" s="43">
        <v>0</v>
      </c>
      <c r="Y80" s="43">
        <v>540</v>
      </c>
      <c r="Z80" s="43">
        <v>540</v>
      </c>
      <c r="AD80" s="62"/>
      <c r="AE80" s="62"/>
      <c r="AF80" s="63"/>
      <c r="AG80" s="64"/>
      <c r="AH80" s="64"/>
      <c r="AI80" s="65"/>
    </row>
    <row r="81" spans="1:35" ht="15">
      <c r="A81" s="43" t="s">
        <v>776</v>
      </c>
      <c r="B81" s="44" t="s">
        <v>747</v>
      </c>
      <c r="C81" s="44" t="s">
        <v>489</v>
      </c>
      <c r="D81" s="45" t="s">
        <v>497</v>
      </c>
      <c r="E81" s="46" t="s">
        <v>520</v>
      </c>
      <c r="F81" s="46" t="s">
        <v>521</v>
      </c>
      <c r="G81" s="46"/>
      <c r="H81" s="46"/>
      <c r="I81" s="43">
        <v>101</v>
      </c>
      <c r="J81" s="43">
        <v>0</v>
      </c>
      <c r="K81" s="43">
        <v>0</v>
      </c>
      <c r="L81" s="43">
        <v>101</v>
      </c>
      <c r="O81" s="43" t="s">
        <v>775</v>
      </c>
      <c r="P81" s="44" t="s">
        <v>755</v>
      </c>
      <c r="Q81" s="44" t="s">
        <v>647</v>
      </c>
      <c r="R81" s="45" t="s">
        <v>543</v>
      </c>
      <c r="S81" s="46" t="s">
        <v>673</v>
      </c>
      <c r="T81" s="46" t="s">
        <v>648</v>
      </c>
      <c r="U81" s="46"/>
      <c r="V81" s="46"/>
      <c r="W81" s="43">
        <v>22</v>
      </c>
      <c r="X81" s="43">
        <v>0</v>
      </c>
      <c r="Y81" s="43">
        <v>0</v>
      </c>
      <c r="Z81" s="43">
        <v>22</v>
      </c>
      <c r="AD81" s="62"/>
      <c r="AE81" s="62"/>
      <c r="AF81" s="63"/>
      <c r="AG81" s="64"/>
      <c r="AH81" s="64"/>
      <c r="AI81" s="65"/>
    </row>
    <row r="82" spans="1:35" ht="15">
      <c r="A82" s="43" t="s">
        <v>776</v>
      </c>
      <c r="B82" s="44" t="s">
        <v>747</v>
      </c>
      <c r="C82" s="44" t="s">
        <v>489</v>
      </c>
      <c r="D82" s="45" t="s">
        <v>498</v>
      </c>
      <c r="E82" s="46" t="s">
        <v>523</v>
      </c>
      <c r="F82" s="46" t="s">
        <v>524</v>
      </c>
      <c r="G82" s="46"/>
      <c r="H82" s="46"/>
      <c r="I82" s="43">
        <v>29</v>
      </c>
      <c r="J82" s="43">
        <v>0</v>
      </c>
      <c r="K82" s="43">
        <v>0</v>
      </c>
      <c r="L82" s="43">
        <v>29</v>
      </c>
      <c r="O82" s="43" t="s">
        <v>775</v>
      </c>
      <c r="P82" s="44" t="s">
        <v>755</v>
      </c>
      <c r="Q82" s="44" t="s">
        <v>647</v>
      </c>
      <c r="R82" s="45" t="s">
        <v>512</v>
      </c>
      <c r="S82" s="46"/>
      <c r="T82" s="46"/>
      <c r="U82" s="46"/>
      <c r="V82" s="46"/>
      <c r="W82" s="43">
        <v>0</v>
      </c>
      <c r="X82" s="43">
        <v>0</v>
      </c>
      <c r="Y82" s="43">
        <v>540</v>
      </c>
      <c r="Z82" s="43">
        <v>540</v>
      </c>
      <c r="AD82" s="62"/>
      <c r="AE82" s="62"/>
      <c r="AF82" s="63"/>
    </row>
    <row r="83" spans="1:35" ht="15">
      <c r="A83" s="43" t="s">
        <v>776</v>
      </c>
      <c r="B83" s="44" t="s">
        <v>747</v>
      </c>
      <c r="C83" s="44" t="s">
        <v>489</v>
      </c>
      <c r="D83" s="45" t="s">
        <v>499</v>
      </c>
      <c r="E83" s="46" t="s">
        <v>525</v>
      </c>
      <c r="F83" s="46" t="s">
        <v>526</v>
      </c>
      <c r="G83" s="46"/>
      <c r="H83" s="46"/>
      <c r="I83" s="43">
        <v>40</v>
      </c>
      <c r="J83" s="43">
        <v>0</v>
      </c>
      <c r="K83" s="43">
        <v>0</v>
      </c>
      <c r="L83" s="43">
        <v>40</v>
      </c>
      <c r="O83" s="43" t="s">
        <v>775</v>
      </c>
      <c r="P83" s="44" t="s">
        <v>755</v>
      </c>
      <c r="Q83" s="44" t="s">
        <v>647</v>
      </c>
      <c r="R83" s="45" t="s">
        <v>515</v>
      </c>
      <c r="S83" s="46" t="s">
        <v>654</v>
      </c>
      <c r="T83" s="46" t="s">
        <v>568</v>
      </c>
      <c r="U83" s="46"/>
      <c r="V83" s="46"/>
      <c r="W83" s="43">
        <v>11</v>
      </c>
      <c r="X83" s="43">
        <v>0</v>
      </c>
      <c r="Y83" s="43">
        <v>0</v>
      </c>
      <c r="Z83" s="43">
        <v>11</v>
      </c>
      <c r="AD83" s="62"/>
      <c r="AE83" s="62"/>
      <c r="AF83" s="63"/>
      <c r="AG83" s="64"/>
      <c r="AH83" s="64"/>
      <c r="AI83" s="65"/>
    </row>
    <row r="84" spans="1:35" ht="15">
      <c r="A84" s="43" t="s">
        <v>776</v>
      </c>
      <c r="B84" s="44" t="s">
        <v>747</v>
      </c>
      <c r="C84" s="44" t="s">
        <v>489</v>
      </c>
      <c r="D84" s="45" t="s">
        <v>500</v>
      </c>
      <c r="E84" s="46" t="s">
        <v>527</v>
      </c>
      <c r="F84" s="46" t="s">
        <v>528</v>
      </c>
      <c r="G84" s="46"/>
      <c r="H84" s="46"/>
      <c r="I84" s="43">
        <v>53</v>
      </c>
      <c r="J84" s="43">
        <v>0</v>
      </c>
      <c r="K84" s="43">
        <v>0</v>
      </c>
      <c r="L84" s="43">
        <v>53</v>
      </c>
      <c r="O84" s="43" t="s">
        <v>775</v>
      </c>
      <c r="P84" s="44" t="s">
        <v>755</v>
      </c>
      <c r="Q84" s="44" t="s">
        <v>647</v>
      </c>
      <c r="R84" s="45" t="s">
        <v>518</v>
      </c>
      <c r="S84" s="46" t="s">
        <v>593</v>
      </c>
      <c r="T84" s="46"/>
      <c r="U84" s="46"/>
      <c r="V84" s="46"/>
      <c r="W84" s="43">
        <v>12</v>
      </c>
      <c r="X84" s="43">
        <v>0</v>
      </c>
      <c r="Y84" s="43">
        <v>528</v>
      </c>
      <c r="Z84" s="43">
        <v>540</v>
      </c>
      <c r="AD84" s="62"/>
      <c r="AE84" s="62"/>
      <c r="AF84" s="63"/>
      <c r="AG84" s="64"/>
      <c r="AH84" s="64"/>
      <c r="AI84" s="65"/>
    </row>
    <row r="85" spans="1:35" ht="15">
      <c r="A85" s="43" t="s">
        <v>776</v>
      </c>
      <c r="B85" s="44" t="s">
        <v>747</v>
      </c>
      <c r="C85" s="44" t="s">
        <v>489</v>
      </c>
      <c r="D85" s="45" t="s">
        <v>501</v>
      </c>
      <c r="E85" s="46" t="s">
        <v>529</v>
      </c>
      <c r="F85" s="46" t="s">
        <v>530</v>
      </c>
      <c r="G85" s="46"/>
      <c r="H85" s="46"/>
      <c r="I85" s="43">
        <v>63</v>
      </c>
      <c r="J85" s="43">
        <v>0</v>
      </c>
      <c r="K85" s="43">
        <v>0</v>
      </c>
      <c r="L85" s="43">
        <v>63</v>
      </c>
      <c r="O85" s="43" t="s">
        <v>777</v>
      </c>
      <c r="P85" s="44" t="s">
        <v>756</v>
      </c>
      <c r="Q85" s="44" t="s">
        <v>647</v>
      </c>
      <c r="R85" s="45" t="s">
        <v>490</v>
      </c>
      <c r="S85" s="46" t="s">
        <v>674</v>
      </c>
      <c r="T85" s="46"/>
      <c r="U85" s="46"/>
      <c r="V85" s="46"/>
      <c r="W85" s="43">
        <v>0</v>
      </c>
      <c r="X85" s="43">
        <v>0</v>
      </c>
      <c r="Y85" s="43">
        <v>540</v>
      </c>
      <c r="Z85" s="43">
        <v>540</v>
      </c>
      <c r="AD85" s="62"/>
      <c r="AE85" s="62"/>
      <c r="AF85" s="63"/>
      <c r="AG85" s="64"/>
      <c r="AH85" s="64"/>
      <c r="AI85" s="65"/>
    </row>
    <row r="86" spans="1:35" ht="15">
      <c r="A86" s="43" t="s">
        <v>776</v>
      </c>
      <c r="B86" s="44" t="s">
        <v>747</v>
      </c>
      <c r="C86" s="44" t="s">
        <v>489</v>
      </c>
      <c r="D86" s="45" t="s">
        <v>503</v>
      </c>
      <c r="E86" s="46" t="s">
        <v>531</v>
      </c>
      <c r="F86" s="46" t="s">
        <v>532</v>
      </c>
      <c r="G86" s="46"/>
      <c r="H86" s="46"/>
      <c r="I86" s="43">
        <v>65</v>
      </c>
      <c r="J86" s="43">
        <v>0</v>
      </c>
      <c r="K86" s="43">
        <v>0</v>
      </c>
      <c r="L86" s="43">
        <v>65</v>
      </c>
      <c r="O86" s="43" t="s">
        <v>777</v>
      </c>
      <c r="P86" s="44" t="s">
        <v>756</v>
      </c>
      <c r="Q86" s="44" t="s">
        <v>647</v>
      </c>
      <c r="R86" s="45" t="s">
        <v>491</v>
      </c>
      <c r="S86" s="46" t="s">
        <v>658</v>
      </c>
      <c r="T86" s="46" t="s">
        <v>648</v>
      </c>
      <c r="U86" s="46"/>
      <c r="V86" s="46"/>
      <c r="W86" s="43">
        <v>60</v>
      </c>
      <c r="X86" s="43">
        <v>0</v>
      </c>
      <c r="Y86" s="43">
        <v>0</v>
      </c>
      <c r="Z86" s="43">
        <v>60</v>
      </c>
      <c r="AD86" s="62"/>
      <c r="AE86" s="62"/>
      <c r="AF86" s="63"/>
      <c r="AG86" s="64"/>
      <c r="AH86" s="64"/>
      <c r="AI86" s="65"/>
    </row>
    <row r="87" spans="1:35" ht="15">
      <c r="A87" s="43" t="s">
        <v>776</v>
      </c>
      <c r="B87" s="44" t="s">
        <v>747</v>
      </c>
      <c r="C87" s="44" t="s">
        <v>489</v>
      </c>
      <c r="D87" s="45" t="s">
        <v>506</v>
      </c>
      <c r="E87" s="46"/>
      <c r="F87" s="46"/>
      <c r="G87" s="46"/>
      <c r="H87" s="46"/>
      <c r="I87" s="43">
        <v>0</v>
      </c>
      <c r="J87" s="43">
        <v>0</v>
      </c>
      <c r="K87" s="43">
        <v>540</v>
      </c>
      <c r="L87" s="43">
        <v>540</v>
      </c>
      <c r="O87" s="43" t="s">
        <v>777</v>
      </c>
      <c r="P87" s="44" t="s">
        <v>756</v>
      </c>
      <c r="Q87" s="44" t="s">
        <v>647</v>
      </c>
      <c r="R87" s="45" t="s">
        <v>493</v>
      </c>
      <c r="S87" s="46" t="s">
        <v>675</v>
      </c>
      <c r="T87" s="46" t="s">
        <v>655</v>
      </c>
      <c r="U87" s="46"/>
      <c r="V87" s="46"/>
      <c r="W87" s="43">
        <v>24</v>
      </c>
      <c r="X87" s="43">
        <v>0</v>
      </c>
      <c r="Y87" s="43">
        <v>0</v>
      </c>
      <c r="Z87" s="43">
        <v>24</v>
      </c>
      <c r="AD87" s="62"/>
      <c r="AE87" s="62"/>
      <c r="AF87" s="63"/>
      <c r="AG87" s="64"/>
      <c r="AH87" s="64"/>
      <c r="AI87" s="65"/>
    </row>
    <row r="88" spans="1:35" ht="15">
      <c r="A88" s="43" t="s">
        <v>776</v>
      </c>
      <c r="B88" s="44" t="s">
        <v>747</v>
      </c>
      <c r="C88" s="44" t="s">
        <v>489</v>
      </c>
      <c r="D88" s="45" t="s">
        <v>507</v>
      </c>
      <c r="E88" s="46"/>
      <c r="F88" s="46" t="s">
        <v>533</v>
      </c>
      <c r="G88" s="46"/>
      <c r="H88" s="46"/>
      <c r="I88" s="43">
        <v>0</v>
      </c>
      <c r="J88" s="43">
        <v>0</v>
      </c>
      <c r="K88" s="43">
        <v>540</v>
      </c>
      <c r="L88" s="43">
        <v>540</v>
      </c>
      <c r="O88" s="43" t="s">
        <v>777</v>
      </c>
      <c r="P88" s="44" t="s">
        <v>756</v>
      </c>
      <c r="Q88" s="44" t="s">
        <v>647</v>
      </c>
      <c r="R88" s="45" t="s">
        <v>495</v>
      </c>
      <c r="S88" s="46"/>
      <c r="T88" s="46"/>
      <c r="U88" s="46"/>
      <c r="V88" s="46"/>
      <c r="W88" s="43">
        <v>0</v>
      </c>
      <c r="X88" s="43">
        <v>0</v>
      </c>
      <c r="Y88" s="43">
        <v>540</v>
      </c>
      <c r="Z88" s="43">
        <v>540</v>
      </c>
      <c r="AD88" s="62"/>
      <c r="AE88" s="62"/>
      <c r="AF88" s="63"/>
    </row>
    <row r="89" spans="1:35" ht="15">
      <c r="A89" s="43" t="s">
        <v>776</v>
      </c>
      <c r="B89" s="44" t="s">
        <v>747</v>
      </c>
      <c r="C89" s="44" t="s">
        <v>489</v>
      </c>
      <c r="D89" s="45" t="s">
        <v>508</v>
      </c>
      <c r="E89" s="46"/>
      <c r="F89" s="46"/>
      <c r="G89" s="46"/>
      <c r="H89" s="46"/>
      <c r="I89" s="43">
        <v>0</v>
      </c>
      <c r="J89" s="43">
        <v>0</v>
      </c>
      <c r="K89" s="43">
        <v>540</v>
      </c>
      <c r="L89" s="43">
        <v>540</v>
      </c>
      <c r="O89" s="43" t="s">
        <v>777</v>
      </c>
      <c r="P89" s="44" t="s">
        <v>756</v>
      </c>
      <c r="Q89" s="44" t="s">
        <v>647</v>
      </c>
      <c r="R89" s="45" t="s">
        <v>497</v>
      </c>
      <c r="S89" s="46"/>
      <c r="T89" s="46"/>
      <c r="U89" s="46"/>
      <c r="V89" s="46"/>
      <c r="W89" s="43">
        <v>0</v>
      </c>
      <c r="X89" s="43">
        <v>0</v>
      </c>
      <c r="Y89" s="43">
        <v>540</v>
      </c>
      <c r="Z89" s="43">
        <v>540</v>
      </c>
      <c r="AD89" s="62"/>
      <c r="AE89" s="62"/>
      <c r="AF89" s="63"/>
      <c r="AG89" s="64"/>
      <c r="AH89" s="64"/>
      <c r="AI89" s="65"/>
    </row>
    <row r="90" spans="1:35" ht="15">
      <c r="A90" s="43" t="s">
        <v>776</v>
      </c>
      <c r="B90" s="44" t="s">
        <v>747</v>
      </c>
      <c r="C90" s="44" t="s">
        <v>489</v>
      </c>
      <c r="D90" s="45" t="s">
        <v>534</v>
      </c>
      <c r="E90" s="46"/>
      <c r="F90" s="46"/>
      <c r="G90" s="46"/>
      <c r="H90" s="46"/>
      <c r="I90" s="43">
        <v>0</v>
      </c>
      <c r="J90" s="43">
        <v>0</v>
      </c>
      <c r="K90" s="43">
        <v>540</v>
      </c>
      <c r="L90" s="43">
        <v>540</v>
      </c>
      <c r="O90" s="43" t="s">
        <v>777</v>
      </c>
      <c r="P90" s="44" t="s">
        <v>756</v>
      </c>
      <c r="Q90" s="44" t="s">
        <v>647</v>
      </c>
      <c r="R90" s="45" t="s">
        <v>498</v>
      </c>
      <c r="S90" s="46" t="s">
        <v>511</v>
      </c>
      <c r="T90" s="46" t="s">
        <v>676</v>
      </c>
      <c r="U90" s="46"/>
      <c r="V90" s="46"/>
      <c r="W90" s="43">
        <v>13</v>
      </c>
      <c r="X90" s="43">
        <v>0</v>
      </c>
      <c r="Y90" s="43">
        <v>0</v>
      </c>
      <c r="Z90" s="43">
        <v>13</v>
      </c>
      <c r="AD90" s="62"/>
      <c r="AE90" s="62"/>
      <c r="AF90" s="63"/>
      <c r="AG90" s="64"/>
      <c r="AH90" s="64"/>
      <c r="AI90" s="65"/>
    </row>
    <row r="91" spans="1:35" ht="15">
      <c r="A91" s="43" t="s">
        <v>776</v>
      </c>
      <c r="B91" s="44" t="s">
        <v>747</v>
      </c>
      <c r="C91" s="44" t="s">
        <v>489</v>
      </c>
      <c r="D91" s="45" t="s">
        <v>535</v>
      </c>
      <c r="E91" s="46"/>
      <c r="F91" s="46"/>
      <c r="G91" s="46"/>
      <c r="H91" s="46"/>
      <c r="I91" s="43">
        <v>0</v>
      </c>
      <c r="J91" s="43">
        <v>0</v>
      </c>
      <c r="K91" s="43">
        <v>540</v>
      </c>
      <c r="L91" s="43">
        <v>540</v>
      </c>
      <c r="O91" s="43" t="s">
        <v>777</v>
      </c>
      <c r="P91" s="44" t="s">
        <v>756</v>
      </c>
      <c r="Q91" s="44" t="s">
        <v>647</v>
      </c>
      <c r="R91" s="45" t="s">
        <v>499</v>
      </c>
      <c r="S91" s="46" t="s">
        <v>523</v>
      </c>
      <c r="T91" s="46" t="s">
        <v>568</v>
      </c>
      <c r="U91" s="46"/>
      <c r="V91" s="46"/>
      <c r="W91" s="43">
        <v>29</v>
      </c>
      <c r="X91" s="43">
        <v>0</v>
      </c>
      <c r="Y91" s="43">
        <v>0</v>
      </c>
      <c r="Z91" s="43">
        <v>29</v>
      </c>
      <c r="AD91" s="62"/>
      <c r="AE91" s="62"/>
      <c r="AF91" s="63"/>
      <c r="AG91" s="64"/>
      <c r="AH91" s="64"/>
      <c r="AI91" s="65"/>
    </row>
    <row r="92" spans="1:35" ht="15">
      <c r="A92" s="43" t="s">
        <v>776</v>
      </c>
      <c r="B92" s="44" t="s">
        <v>747</v>
      </c>
      <c r="C92" s="44" t="s">
        <v>489</v>
      </c>
      <c r="D92" s="45" t="s">
        <v>509</v>
      </c>
      <c r="E92" s="46" t="s">
        <v>536</v>
      </c>
      <c r="F92" s="46"/>
      <c r="G92" s="46"/>
      <c r="H92" s="46"/>
      <c r="I92" s="43">
        <v>69</v>
      </c>
      <c r="J92" s="43">
        <v>0</v>
      </c>
      <c r="K92" s="43">
        <v>471</v>
      </c>
      <c r="L92" s="43">
        <v>540</v>
      </c>
      <c r="O92" s="43" t="s">
        <v>777</v>
      </c>
      <c r="P92" s="44" t="s">
        <v>756</v>
      </c>
      <c r="Q92" s="44" t="s">
        <v>647</v>
      </c>
      <c r="R92" s="45" t="s">
        <v>500</v>
      </c>
      <c r="S92" s="46"/>
      <c r="T92" s="46"/>
      <c r="U92" s="46"/>
      <c r="V92" s="46"/>
      <c r="W92" s="43">
        <v>0</v>
      </c>
      <c r="X92" s="43">
        <v>0</v>
      </c>
      <c r="Y92" s="43">
        <v>540</v>
      </c>
      <c r="Z92" s="43">
        <v>540</v>
      </c>
      <c r="AD92" s="62"/>
      <c r="AE92" s="62"/>
      <c r="AF92" s="63"/>
      <c r="AG92" s="64"/>
      <c r="AH92" s="64"/>
      <c r="AI92" s="65"/>
    </row>
    <row r="93" spans="1:35" ht="15">
      <c r="A93" s="43" t="s">
        <v>776</v>
      </c>
      <c r="B93" s="44" t="s">
        <v>747</v>
      </c>
      <c r="C93" s="44" t="s">
        <v>489</v>
      </c>
      <c r="D93" s="45" t="s">
        <v>510</v>
      </c>
      <c r="E93" s="46" t="s">
        <v>537</v>
      </c>
      <c r="F93" s="46" t="s">
        <v>533</v>
      </c>
      <c r="G93" s="46"/>
      <c r="H93" s="46"/>
      <c r="I93" s="43">
        <v>81</v>
      </c>
      <c r="J93" s="43">
        <v>0</v>
      </c>
      <c r="K93" s="43">
        <v>0</v>
      </c>
      <c r="L93" s="43">
        <v>81</v>
      </c>
      <c r="O93" s="43" t="s">
        <v>777</v>
      </c>
      <c r="P93" s="44" t="s">
        <v>756</v>
      </c>
      <c r="Q93" s="44" t="s">
        <v>647</v>
      </c>
      <c r="R93" s="45" t="s">
        <v>501</v>
      </c>
      <c r="S93" s="46" t="s">
        <v>677</v>
      </c>
      <c r="T93" s="46"/>
      <c r="U93" s="46"/>
      <c r="V93" s="46"/>
      <c r="W93" s="43">
        <v>0</v>
      </c>
      <c r="X93" s="43">
        <v>0</v>
      </c>
      <c r="Y93" s="43">
        <v>540</v>
      </c>
      <c r="Z93" s="43">
        <v>540</v>
      </c>
      <c r="AD93" s="62"/>
      <c r="AE93" s="62"/>
      <c r="AF93" s="63"/>
      <c r="AI93" s="65"/>
    </row>
    <row r="94" spans="1:35" ht="15">
      <c r="A94" s="43" t="s">
        <v>776</v>
      </c>
      <c r="B94" s="44" t="s">
        <v>747</v>
      </c>
      <c r="C94" s="44" t="s">
        <v>489</v>
      </c>
      <c r="D94" s="45" t="s">
        <v>538</v>
      </c>
      <c r="E94" s="46"/>
      <c r="F94" s="46" t="s">
        <v>539</v>
      </c>
      <c r="G94" s="46"/>
      <c r="H94" s="46"/>
      <c r="I94" s="43">
        <v>0</v>
      </c>
      <c r="J94" s="43">
        <v>0</v>
      </c>
      <c r="K94" s="43">
        <v>540</v>
      </c>
      <c r="L94" s="43">
        <v>540</v>
      </c>
      <c r="O94" s="43" t="s">
        <v>777</v>
      </c>
      <c r="P94" s="44" t="s">
        <v>756</v>
      </c>
      <c r="Q94" s="44" t="s">
        <v>647</v>
      </c>
      <c r="R94" s="45" t="s">
        <v>506</v>
      </c>
      <c r="S94" s="46"/>
      <c r="T94" s="46"/>
      <c r="U94" s="46"/>
      <c r="V94" s="46"/>
      <c r="W94" s="43">
        <v>0</v>
      </c>
      <c r="X94" s="43">
        <v>0</v>
      </c>
      <c r="Y94" s="43">
        <v>540</v>
      </c>
      <c r="Z94" s="43">
        <v>540</v>
      </c>
      <c r="AD94" s="62"/>
      <c r="AE94" s="62"/>
      <c r="AF94" s="63"/>
      <c r="AI94" s="65"/>
    </row>
    <row r="95" spans="1:35" ht="15">
      <c r="A95" s="43" t="s">
        <v>776</v>
      </c>
      <c r="B95" s="44" t="s">
        <v>747</v>
      </c>
      <c r="C95" s="44" t="s">
        <v>489</v>
      </c>
      <c r="D95" s="45" t="s">
        <v>540</v>
      </c>
      <c r="E95" s="46" t="s">
        <v>541</v>
      </c>
      <c r="F95" s="46" t="s">
        <v>542</v>
      </c>
      <c r="G95" s="46"/>
      <c r="H95" s="46"/>
      <c r="I95" s="43">
        <v>76</v>
      </c>
      <c r="J95" s="43">
        <v>0</v>
      </c>
      <c r="K95" s="43">
        <v>0</v>
      </c>
      <c r="L95" s="43">
        <v>76</v>
      </c>
      <c r="O95" s="43" t="s">
        <v>777</v>
      </c>
      <c r="P95" s="44" t="s">
        <v>756</v>
      </c>
      <c r="Q95" s="44" t="s">
        <v>647</v>
      </c>
      <c r="R95" s="45" t="s">
        <v>507</v>
      </c>
      <c r="S95" s="46"/>
      <c r="T95" s="46"/>
      <c r="U95" s="46"/>
      <c r="V95" s="46"/>
      <c r="W95" s="43">
        <v>0</v>
      </c>
      <c r="X95" s="43">
        <v>0</v>
      </c>
      <c r="Y95" s="43">
        <v>540</v>
      </c>
      <c r="Z95" s="43">
        <v>540</v>
      </c>
      <c r="AD95" s="62"/>
      <c r="AE95" s="62"/>
      <c r="AF95" s="63"/>
    </row>
    <row r="96" spans="1:35" ht="15">
      <c r="A96" s="43" t="s">
        <v>776</v>
      </c>
      <c r="B96" s="44" t="s">
        <v>747</v>
      </c>
      <c r="C96" s="44" t="s">
        <v>489</v>
      </c>
      <c r="D96" s="45" t="s">
        <v>543</v>
      </c>
      <c r="E96" s="46" t="s">
        <v>544</v>
      </c>
      <c r="F96" s="46" t="s">
        <v>545</v>
      </c>
      <c r="G96" s="46"/>
      <c r="H96" s="46"/>
      <c r="I96" s="43">
        <v>86</v>
      </c>
      <c r="J96" s="43">
        <v>64</v>
      </c>
      <c r="K96" s="43">
        <v>0</v>
      </c>
      <c r="L96" s="43">
        <v>150</v>
      </c>
      <c r="O96" s="43" t="s">
        <v>777</v>
      </c>
      <c r="P96" s="44" t="s">
        <v>756</v>
      </c>
      <c r="Q96" s="44" t="s">
        <v>647</v>
      </c>
      <c r="R96" s="45" t="s">
        <v>508</v>
      </c>
      <c r="S96" s="46"/>
      <c r="T96" s="46"/>
      <c r="U96" s="46"/>
      <c r="V96" s="46"/>
      <c r="W96" s="43">
        <v>0</v>
      </c>
      <c r="X96" s="43">
        <v>0</v>
      </c>
      <c r="Y96" s="43">
        <v>540</v>
      </c>
      <c r="Z96" s="43">
        <v>540</v>
      </c>
      <c r="AD96" s="62"/>
      <c r="AE96" s="62"/>
      <c r="AF96" s="63"/>
      <c r="AG96" s="64"/>
      <c r="AH96" s="64"/>
      <c r="AI96" s="65"/>
    </row>
    <row r="97" spans="1:35" ht="15">
      <c r="A97" s="43" t="s">
        <v>776</v>
      </c>
      <c r="B97" s="44" t="s">
        <v>747</v>
      </c>
      <c r="C97" s="44" t="s">
        <v>489</v>
      </c>
      <c r="D97" s="45" t="s">
        <v>512</v>
      </c>
      <c r="E97" s="46"/>
      <c r="F97" s="46"/>
      <c r="G97" s="46"/>
      <c r="H97" s="46"/>
      <c r="I97" s="43">
        <v>0</v>
      </c>
      <c r="J97" s="43">
        <v>0</v>
      </c>
      <c r="K97" s="43">
        <v>540</v>
      </c>
      <c r="L97" s="43">
        <v>540</v>
      </c>
      <c r="O97" s="43" t="s">
        <v>777</v>
      </c>
      <c r="P97" s="44" t="s">
        <v>756</v>
      </c>
      <c r="Q97" s="44" t="s">
        <v>647</v>
      </c>
      <c r="R97" s="45" t="s">
        <v>534</v>
      </c>
      <c r="S97" s="46"/>
      <c r="T97" s="46"/>
      <c r="U97" s="46"/>
      <c r="V97" s="46"/>
      <c r="W97" s="43">
        <v>0</v>
      </c>
      <c r="X97" s="43">
        <v>0</v>
      </c>
      <c r="Y97" s="43">
        <v>540</v>
      </c>
      <c r="Z97" s="43">
        <v>540</v>
      </c>
      <c r="AD97" s="62"/>
      <c r="AE97" s="62"/>
      <c r="AF97" s="63"/>
      <c r="AG97" s="64"/>
      <c r="AH97" s="64"/>
      <c r="AI97" s="65"/>
    </row>
    <row r="98" spans="1:35" ht="15">
      <c r="A98" s="43" t="s">
        <v>776</v>
      </c>
      <c r="B98" s="44" t="s">
        <v>747</v>
      </c>
      <c r="C98" s="44" t="s">
        <v>489</v>
      </c>
      <c r="D98" s="45" t="s">
        <v>513</v>
      </c>
      <c r="E98" s="46"/>
      <c r="F98" s="46"/>
      <c r="G98" s="46"/>
      <c r="H98" s="46"/>
      <c r="I98" s="43">
        <v>0</v>
      </c>
      <c r="J98" s="43">
        <v>0</v>
      </c>
      <c r="K98" s="43">
        <v>540</v>
      </c>
      <c r="L98" s="43">
        <v>540</v>
      </c>
      <c r="O98" s="43" t="s">
        <v>777</v>
      </c>
      <c r="P98" s="44" t="s">
        <v>756</v>
      </c>
      <c r="Q98" s="44" t="s">
        <v>647</v>
      </c>
      <c r="R98" s="45" t="s">
        <v>535</v>
      </c>
      <c r="S98" s="46"/>
      <c r="T98" s="46" t="s">
        <v>588</v>
      </c>
      <c r="U98" s="46"/>
      <c r="V98" s="46"/>
      <c r="W98" s="43">
        <v>0</v>
      </c>
      <c r="X98" s="43">
        <v>0</v>
      </c>
      <c r="Y98" s="43">
        <v>540</v>
      </c>
      <c r="Z98" s="43">
        <v>540</v>
      </c>
      <c r="AD98" s="62"/>
      <c r="AE98" s="62"/>
      <c r="AF98" s="63"/>
      <c r="AG98" s="64"/>
      <c r="AH98" s="64"/>
      <c r="AI98" s="65"/>
    </row>
    <row r="99" spans="1:35" ht="15">
      <c r="A99" s="43" t="s">
        <v>776</v>
      </c>
      <c r="B99" s="44" t="s">
        <v>747</v>
      </c>
      <c r="C99" s="44" t="s">
        <v>489</v>
      </c>
      <c r="D99" s="45" t="s">
        <v>515</v>
      </c>
      <c r="E99" s="46" t="s">
        <v>546</v>
      </c>
      <c r="F99" s="46"/>
      <c r="G99" s="46"/>
      <c r="H99" s="46"/>
      <c r="I99" s="43">
        <v>135</v>
      </c>
      <c r="J99" s="43">
        <v>0</v>
      </c>
      <c r="K99" s="43">
        <v>405</v>
      </c>
      <c r="L99" s="43">
        <v>540</v>
      </c>
      <c r="O99" s="43" t="s">
        <v>777</v>
      </c>
      <c r="P99" s="44" t="s">
        <v>756</v>
      </c>
      <c r="Q99" s="44" t="s">
        <v>647</v>
      </c>
      <c r="R99" s="45" t="s">
        <v>538</v>
      </c>
      <c r="S99" s="46" t="s">
        <v>592</v>
      </c>
      <c r="T99" s="46" t="s">
        <v>568</v>
      </c>
      <c r="U99" s="46"/>
      <c r="V99" s="46"/>
      <c r="W99" s="43">
        <v>16</v>
      </c>
      <c r="X99" s="43">
        <v>0</v>
      </c>
      <c r="Y99" s="43">
        <v>0</v>
      </c>
      <c r="Z99" s="43">
        <v>16</v>
      </c>
      <c r="AD99" s="62"/>
      <c r="AE99" s="62"/>
      <c r="AF99" s="63"/>
      <c r="AG99" s="64"/>
      <c r="AH99" s="64"/>
      <c r="AI99" s="65"/>
    </row>
    <row r="100" spans="1:35" ht="15">
      <c r="A100" s="43" t="s">
        <v>776</v>
      </c>
      <c r="B100" s="44" t="s">
        <v>747</v>
      </c>
      <c r="C100" s="44" t="s">
        <v>489</v>
      </c>
      <c r="D100" s="45" t="s">
        <v>517</v>
      </c>
      <c r="E100" s="46" t="s">
        <v>547</v>
      </c>
      <c r="F100" s="46" t="s">
        <v>548</v>
      </c>
      <c r="G100" s="46"/>
      <c r="H100" s="46"/>
      <c r="I100" s="43">
        <v>41</v>
      </c>
      <c r="J100" s="43">
        <v>0</v>
      </c>
      <c r="K100" s="43">
        <v>0</v>
      </c>
      <c r="L100" s="43">
        <v>41</v>
      </c>
      <c r="O100" s="43" t="s">
        <v>777</v>
      </c>
      <c r="P100" s="44" t="s">
        <v>756</v>
      </c>
      <c r="Q100" s="44" t="s">
        <v>647</v>
      </c>
      <c r="R100" s="45" t="s">
        <v>543</v>
      </c>
      <c r="S100" s="46" t="s">
        <v>649</v>
      </c>
      <c r="T100" s="46" t="s">
        <v>528</v>
      </c>
      <c r="U100" s="46"/>
      <c r="V100" s="46"/>
      <c r="W100" s="43">
        <v>15</v>
      </c>
      <c r="X100" s="43">
        <v>0</v>
      </c>
      <c r="Y100" s="43">
        <v>0</v>
      </c>
      <c r="Z100" s="43">
        <v>15</v>
      </c>
      <c r="AD100" s="62"/>
      <c r="AE100" s="62"/>
      <c r="AF100" s="63"/>
      <c r="AG100" s="64"/>
      <c r="AH100" s="64"/>
      <c r="AI100" s="65"/>
    </row>
    <row r="101" spans="1:35" ht="15">
      <c r="A101" s="43" t="s">
        <v>776</v>
      </c>
      <c r="B101" s="44" t="s">
        <v>747</v>
      </c>
      <c r="C101" s="44" t="s">
        <v>489</v>
      </c>
      <c r="D101" s="45" t="s">
        <v>518</v>
      </c>
      <c r="E101" s="46" t="s">
        <v>549</v>
      </c>
      <c r="F101" s="46"/>
      <c r="G101" s="46"/>
      <c r="H101" s="46"/>
      <c r="I101" s="43">
        <v>66</v>
      </c>
      <c r="J101" s="43">
        <v>0</v>
      </c>
      <c r="K101" s="43">
        <v>474</v>
      </c>
      <c r="L101" s="43">
        <v>540</v>
      </c>
      <c r="O101" s="43" t="s">
        <v>777</v>
      </c>
      <c r="P101" s="44" t="s">
        <v>756</v>
      </c>
      <c r="Q101" s="44" t="s">
        <v>647</v>
      </c>
      <c r="R101" s="45" t="s">
        <v>512</v>
      </c>
      <c r="S101" s="46"/>
      <c r="T101" s="46"/>
      <c r="U101" s="46"/>
      <c r="V101" s="46"/>
      <c r="W101" s="43">
        <v>0</v>
      </c>
      <c r="X101" s="43">
        <v>0</v>
      </c>
      <c r="Y101" s="43">
        <v>540</v>
      </c>
      <c r="Z101" s="43">
        <v>540</v>
      </c>
      <c r="AD101" s="62"/>
      <c r="AE101" s="62"/>
      <c r="AF101" s="63"/>
      <c r="AG101" s="64"/>
      <c r="AH101" s="64"/>
      <c r="AI101" s="65"/>
    </row>
    <row r="102" spans="1:35" ht="15">
      <c r="A102" s="43" t="s">
        <v>778</v>
      </c>
      <c r="B102" s="44" t="s">
        <v>746</v>
      </c>
      <c r="C102" s="44" t="s">
        <v>489</v>
      </c>
      <c r="D102" s="45" t="s">
        <v>490</v>
      </c>
      <c r="E102" s="46"/>
      <c r="F102" s="46"/>
      <c r="G102" s="46"/>
      <c r="H102" s="46"/>
      <c r="I102" s="43">
        <v>0</v>
      </c>
      <c r="J102" s="43">
        <v>0</v>
      </c>
      <c r="K102" s="43">
        <v>540</v>
      </c>
      <c r="L102" s="43">
        <v>540</v>
      </c>
      <c r="O102" s="43" t="s">
        <v>777</v>
      </c>
      <c r="P102" s="44" t="s">
        <v>756</v>
      </c>
      <c r="Q102" s="44" t="s">
        <v>647</v>
      </c>
      <c r="R102" s="45" t="s">
        <v>515</v>
      </c>
      <c r="S102" s="46" t="s">
        <v>654</v>
      </c>
      <c r="T102" s="46" t="s">
        <v>655</v>
      </c>
      <c r="U102" s="46"/>
      <c r="V102" s="46"/>
      <c r="W102" s="43">
        <v>11</v>
      </c>
      <c r="X102" s="43">
        <v>0</v>
      </c>
      <c r="Y102" s="43">
        <v>0</v>
      </c>
      <c r="Z102" s="43">
        <v>11</v>
      </c>
      <c r="AD102" s="62"/>
      <c r="AE102" s="62"/>
      <c r="AF102" s="63"/>
    </row>
    <row r="103" spans="1:35" ht="15">
      <c r="A103" s="43" t="s">
        <v>778</v>
      </c>
      <c r="B103" s="44" t="s">
        <v>746</v>
      </c>
      <c r="C103" s="44" t="s">
        <v>489</v>
      </c>
      <c r="D103" s="45" t="s">
        <v>491</v>
      </c>
      <c r="E103" s="46"/>
      <c r="F103" s="46"/>
      <c r="G103" s="46"/>
      <c r="H103" s="46"/>
      <c r="I103" s="43">
        <v>0</v>
      </c>
      <c r="J103" s="43">
        <v>0</v>
      </c>
      <c r="K103" s="43">
        <v>540</v>
      </c>
      <c r="L103" s="43">
        <v>540</v>
      </c>
      <c r="O103" s="43" t="s">
        <v>777</v>
      </c>
      <c r="P103" s="44" t="s">
        <v>756</v>
      </c>
      <c r="Q103" s="44" t="s">
        <v>647</v>
      </c>
      <c r="R103" s="45" t="s">
        <v>518</v>
      </c>
      <c r="S103" s="46" t="s">
        <v>602</v>
      </c>
      <c r="T103" s="46"/>
      <c r="U103" s="46"/>
      <c r="V103" s="46"/>
      <c r="W103" s="43">
        <v>0</v>
      </c>
      <c r="X103" s="43">
        <v>0</v>
      </c>
      <c r="Y103" s="43">
        <v>540</v>
      </c>
      <c r="Z103" s="43">
        <v>540</v>
      </c>
      <c r="AD103" s="62"/>
      <c r="AE103" s="62"/>
      <c r="AF103" s="63"/>
      <c r="AG103" s="64"/>
      <c r="AH103" s="64"/>
      <c r="AI103" s="65"/>
    </row>
    <row r="104" spans="1:35" ht="15">
      <c r="A104" s="43" t="s">
        <v>778</v>
      </c>
      <c r="B104" s="44" t="s">
        <v>746</v>
      </c>
      <c r="C104" s="44" t="s">
        <v>489</v>
      </c>
      <c r="D104" s="45" t="s">
        <v>493</v>
      </c>
      <c r="E104" s="46"/>
      <c r="F104" s="46"/>
      <c r="G104" s="46"/>
      <c r="H104" s="46"/>
      <c r="I104" s="43">
        <v>0</v>
      </c>
      <c r="J104" s="43">
        <v>0</v>
      </c>
      <c r="K104" s="43">
        <v>540</v>
      </c>
      <c r="L104" s="43">
        <v>540</v>
      </c>
      <c r="O104" s="43" t="s">
        <v>779</v>
      </c>
      <c r="P104" s="44" t="s">
        <v>757</v>
      </c>
      <c r="Q104" s="44" t="s">
        <v>647</v>
      </c>
      <c r="R104" s="45" t="s">
        <v>490</v>
      </c>
      <c r="S104" s="46" t="s">
        <v>678</v>
      </c>
      <c r="T104" s="46"/>
      <c r="U104" s="46"/>
      <c r="V104" s="46"/>
      <c r="W104" s="43">
        <v>0</v>
      </c>
      <c r="X104" s="43">
        <v>0</v>
      </c>
      <c r="Y104" s="43">
        <v>540</v>
      </c>
      <c r="Z104" s="43">
        <v>540</v>
      </c>
      <c r="AD104" s="62"/>
      <c r="AE104" s="62"/>
      <c r="AF104" s="63"/>
      <c r="AG104" s="64"/>
      <c r="AH104" s="64"/>
      <c r="AI104" s="65"/>
    </row>
    <row r="105" spans="1:35" ht="15">
      <c r="A105" s="43" t="s">
        <v>778</v>
      </c>
      <c r="B105" s="44" t="s">
        <v>746</v>
      </c>
      <c r="C105" s="44" t="s">
        <v>489</v>
      </c>
      <c r="D105" s="45" t="s">
        <v>494</v>
      </c>
      <c r="E105" s="46" t="s">
        <v>550</v>
      </c>
      <c r="F105" s="46" t="s">
        <v>528</v>
      </c>
      <c r="G105" s="46"/>
      <c r="H105" s="46"/>
      <c r="I105" s="43">
        <v>94</v>
      </c>
      <c r="J105" s="43">
        <v>0</v>
      </c>
      <c r="K105" s="43">
        <v>0</v>
      </c>
      <c r="L105" s="43">
        <v>94</v>
      </c>
      <c r="O105" s="43" t="s">
        <v>779</v>
      </c>
      <c r="P105" s="44" t="s">
        <v>757</v>
      </c>
      <c r="Q105" s="44" t="s">
        <v>647</v>
      </c>
      <c r="R105" s="45" t="s">
        <v>491</v>
      </c>
      <c r="S105" s="46" t="s">
        <v>679</v>
      </c>
      <c r="T105" s="46" t="s">
        <v>648</v>
      </c>
      <c r="U105" s="46"/>
      <c r="V105" s="46"/>
      <c r="W105" s="43">
        <v>19</v>
      </c>
      <c r="X105" s="43">
        <v>0</v>
      </c>
      <c r="Y105" s="43">
        <v>0</v>
      </c>
      <c r="Z105" s="43">
        <v>19</v>
      </c>
      <c r="AD105" s="62"/>
      <c r="AE105" s="62"/>
      <c r="AF105" s="63"/>
      <c r="AG105" s="64"/>
      <c r="AH105" s="64"/>
      <c r="AI105" s="65"/>
    </row>
    <row r="106" spans="1:35" ht="15">
      <c r="A106" s="43" t="s">
        <v>778</v>
      </c>
      <c r="B106" s="44" t="s">
        <v>746</v>
      </c>
      <c r="C106" s="44" t="s">
        <v>489</v>
      </c>
      <c r="D106" s="45" t="s">
        <v>495</v>
      </c>
      <c r="E106" s="46" t="s">
        <v>551</v>
      </c>
      <c r="F106" s="46" t="s">
        <v>552</v>
      </c>
      <c r="G106" s="46"/>
      <c r="H106" s="46"/>
      <c r="I106" s="43">
        <v>51</v>
      </c>
      <c r="J106" s="43">
        <v>0</v>
      </c>
      <c r="K106" s="43">
        <v>0</v>
      </c>
      <c r="L106" s="43">
        <v>51</v>
      </c>
      <c r="O106" s="43" t="s">
        <v>779</v>
      </c>
      <c r="P106" s="44" t="s">
        <v>757</v>
      </c>
      <c r="Q106" s="44" t="s">
        <v>647</v>
      </c>
      <c r="R106" s="45" t="s">
        <v>495</v>
      </c>
      <c r="S106" s="46" t="s">
        <v>680</v>
      </c>
      <c r="T106" s="46" t="s">
        <v>681</v>
      </c>
      <c r="U106" s="46"/>
      <c r="V106" s="46"/>
      <c r="W106" s="43">
        <v>20</v>
      </c>
      <c r="X106" s="43">
        <v>0</v>
      </c>
      <c r="Y106" s="43">
        <v>0</v>
      </c>
      <c r="Z106" s="43">
        <v>20</v>
      </c>
      <c r="AD106" s="62"/>
      <c r="AE106" s="62"/>
      <c r="AF106" s="63"/>
      <c r="AG106" s="64"/>
      <c r="AH106" s="64"/>
      <c r="AI106" s="65"/>
    </row>
    <row r="107" spans="1:35" ht="15">
      <c r="A107" s="43" t="s">
        <v>778</v>
      </c>
      <c r="B107" s="44" t="s">
        <v>746</v>
      </c>
      <c r="C107" s="44" t="s">
        <v>489</v>
      </c>
      <c r="D107" s="45" t="s">
        <v>496</v>
      </c>
      <c r="E107" s="46" t="s">
        <v>536</v>
      </c>
      <c r="F107" s="46"/>
      <c r="G107" s="46"/>
      <c r="H107" s="46"/>
      <c r="I107" s="43">
        <v>69</v>
      </c>
      <c r="J107" s="43">
        <v>0</v>
      </c>
      <c r="K107" s="43">
        <v>471</v>
      </c>
      <c r="L107" s="43">
        <v>540</v>
      </c>
      <c r="O107" s="43" t="s">
        <v>779</v>
      </c>
      <c r="P107" s="44" t="s">
        <v>757</v>
      </c>
      <c r="Q107" s="44" t="s">
        <v>647</v>
      </c>
      <c r="R107" s="45" t="s">
        <v>498</v>
      </c>
      <c r="S107" s="46" t="s">
        <v>634</v>
      </c>
      <c r="T107" s="46"/>
      <c r="U107" s="46"/>
      <c r="V107" s="46"/>
      <c r="W107" s="43">
        <v>0</v>
      </c>
      <c r="X107" s="43">
        <v>0</v>
      </c>
      <c r="Y107" s="43">
        <v>540</v>
      </c>
      <c r="Z107" s="43">
        <v>540</v>
      </c>
      <c r="AD107" s="62"/>
      <c r="AE107" s="62"/>
      <c r="AF107" s="63"/>
      <c r="AG107" s="64"/>
      <c r="AH107" s="64"/>
      <c r="AI107" s="65"/>
    </row>
    <row r="108" spans="1:35" ht="15">
      <c r="A108" s="43" t="s">
        <v>778</v>
      </c>
      <c r="B108" s="44" t="s">
        <v>746</v>
      </c>
      <c r="C108" s="44" t="s">
        <v>489</v>
      </c>
      <c r="D108" s="45" t="s">
        <v>497</v>
      </c>
      <c r="E108" s="46" t="s">
        <v>553</v>
      </c>
      <c r="F108" s="46" t="s">
        <v>554</v>
      </c>
      <c r="G108" s="46"/>
      <c r="H108" s="46"/>
      <c r="I108" s="43">
        <v>226</v>
      </c>
      <c r="J108" s="43">
        <v>0</v>
      </c>
      <c r="K108" s="43">
        <v>0</v>
      </c>
      <c r="L108" s="43">
        <v>226</v>
      </c>
      <c r="O108" s="43" t="s">
        <v>779</v>
      </c>
      <c r="P108" s="44" t="s">
        <v>757</v>
      </c>
      <c r="Q108" s="44" t="s">
        <v>647</v>
      </c>
      <c r="R108" s="45" t="s">
        <v>499</v>
      </c>
      <c r="S108" s="46" t="s">
        <v>598</v>
      </c>
      <c r="T108" s="46" t="s">
        <v>682</v>
      </c>
      <c r="U108" s="46"/>
      <c r="V108" s="46"/>
      <c r="W108" s="43">
        <v>0</v>
      </c>
      <c r="X108" s="43">
        <v>273</v>
      </c>
      <c r="Y108" s="43">
        <v>0</v>
      </c>
      <c r="Z108" s="43">
        <v>273</v>
      </c>
      <c r="AD108" s="62"/>
      <c r="AE108" s="62"/>
      <c r="AF108" s="63"/>
      <c r="AH108" s="64"/>
      <c r="AI108" s="65"/>
    </row>
    <row r="109" spans="1:35" ht="15">
      <c r="A109" s="43" t="s">
        <v>778</v>
      </c>
      <c r="B109" s="44" t="s">
        <v>746</v>
      </c>
      <c r="C109" s="44" t="s">
        <v>489</v>
      </c>
      <c r="D109" s="45" t="s">
        <v>498</v>
      </c>
      <c r="E109" s="46" t="s">
        <v>555</v>
      </c>
      <c r="F109" s="46"/>
      <c r="G109" s="46"/>
      <c r="H109" s="46"/>
      <c r="I109" s="43">
        <v>31</v>
      </c>
      <c r="J109" s="43">
        <v>0</v>
      </c>
      <c r="K109" s="43">
        <v>509</v>
      </c>
      <c r="L109" s="43">
        <v>540</v>
      </c>
      <c r="O109" s="43" t="s">
        <v>779</v>
      </c>
      <c r="P109" s="44" t="s">
        <v>757</v>
      </c>
      <c r="Q109" s="44" t="s">
        <v>647</v>
      </c>
      <c r="R109" s="45" t="s">
        <v>501</v>
      </c>
      <c r="S109" s="46" t="s">
        <v>592</v>
      </c>
      <c r="T109" s="46" t="s">
        <v>648</v>
      </c>
      <c r="U109" s="46"/>
      <c r="V109" s="46"/>
      <c r="W109" s="43">
        <v>16</v>
      </c>
      <c r="X109" s="43">
        <v>0</v>
      </c>
      <c r="Y109" s="43">
        <v>0</v>
      </c>
      <c r="Z109" s="43">
        <v>16</v>
      </c>
      <c r="AD109" s="62"/>
      <c r="AE109" s="62"/>
      <c r="AF109" s="63"/>
      <c r="AG109" s="64"/>
      <c r="AH109" s="64"/>
      <c r="AI109" s="65"/>
    </row>
    <row r="110" spans="1:35" ht="15">
      <c r="A110" s="43" t="s">
        <v>778</v>
      </c>
      <c r="B110" s="44" t="s">
        <v>746</v>
      </c>
      <c r="C110" s="44" t="s">
        <v>489</v>
      </c>
      <c r="D110" s="45" t="s">
        <v>500</v>
      </c>
      <c r="E110" s="46" t="s">
        <v>556</v>
      </c>
      <c r="F110" s="46"/>
      <c r="G110" s="46"/>
      <c r="H110" s="46"/>
      <c r="I110" s="43">
        <v>32</v>
      </c>
      <c r="J110" s="43">
        <v>0</v>
      </c>
      <c r="K110" s="43">
        <v>508</v>
      </c>
      <c r="L110" s="43">
        <v>540</v>
      </c>
      <c r="O110" s="43" t="s">
        <v>779</v>
      </c>
      <c r="P110" s="44" t="s">
        <v>757</v>
      </c>
      <c r="Q110" s="44" t="s">
        <v>647</v>
      </c>
      <c r="R110" s="45" t="s">
        <v>506</v>
      </c>
      <c r="S110" s="46"/>
      <c r="T110" s="46"/>
      <c r="U110" s="46"/>
      <c r="V110" s="46"/>
      <c r="W110" s="43">
        <v>0</v>
      </c>
      <c r="X110" s="43">
        <v>0</v>
      </c>
      <c r="Y110" s="43">
        <v>540</v>
      </c>
      <c r="Z110" s="43">
        <v>540</v>
      </c>
      <c r="AD110" s="62"/>
      <c r="AE110" s="62"/>
      <c r="AF110" s="63"/>
      <c r="AG110" s="64"/>
      <c r="AH110" s="64"/>
      <c r="AI110" s="65"/>
    </row>
    <row r="111" spans="1:35" ht="15">
      <c r="A111" s="43" t="s">
        <v>778</v>
      </c>
      <c r="B111" s="44" t="s">
        <v>746</v>
      </c>
      <c r="C111" s="44" t="s">
        <v>489</v>
      </c>
      <c r="D111" s="45" t="s">
        <v>501</v>
      </c>
      <c r="E111" s="46" t="s">
        <v>557</v>
      </c>
      <c r="F111" s="46" t="s">
        <v>530</v>
      </c>
      <c r="G111" s="46"/>
      <c r="H111" s="46"/>
      <c r="I111" s="43">
        <v>46</v>
      </c>
      <c r="J111" s="43">
        <v>0</v>
      </c>
      <c r="K111" s="43">
        <v>0</v>
      </c>
      <c r="L111" s="43">
        <v>46</v>
      </c>
      <c r="O111" s="43" t="s">
        <v>779</v>
      </c>
      <c r="P111" s="44" t="s">
        <v>757</v>
      </c>
      <c r="Q111" s="44" t="s">
        <v>647</v>
      </c>
      <c r="R111" s="45" t="s">
        <v>507</v>
      </c>
      <c r="S111" s="46"/>
      <c r="T111" s="46"/>
      <c r="U111" s="46"/>
      <c r="V111" s="46"/>
      <c r="W111" s="43">
        <v>0</v>
      </c>
      <c r="X111" s="43">
        <v>0</v>
      </c>
      <c r="Y111" s="43">
        <v>540</v>
      </c>
      <c r="Z111" s="43">
        <v>540</v>
      </c>
      <c r="AD111" s="62"/>
      <c r="AE111" s="62"/>
      <c r="AF111" s="63"/>
      <c r="AG111" s="64"/>
      <c r="AH111" s="64"/>
      <c r="AI111" s="65"/>
    </row>
    <row r="112" spans="1:35" ht="15">
      <c r="A112" s="43" t="s">
        <v>778</v>
      </c>
      <c r="B112" s="44" t="s">
        <v>746</v>
      </c>
      <c r="C112" s="44" t="s">
        <v>489</v>
      </c>
      <c r="D112" s="45" t="s">
        <v>503</v>
      </c>
      <c r="E112" s="46" t="s">
        <v>558</v>
      </c>
      <c r="F112" s="46" t="s">
        <v>533</v>
      </c>
      <c r="G112" s="46"/>
      <c r="H112" s="46"/>
      <c r="I112" s="43">
        <v>57</v>
      </c>
      <c r="J112" s="43">
        <v>0</v>
      </c>
      <c r="K112" s="43">
        <v>0</v>
      </c>
      <c r="L112" s="43">
        <v>57</v>
      </c>
      <c r="O112" s="43" t="s">
        <v>779</v>
      </c>
      <c r="P112" s="44" t="s">
        <v>757</v>
      </c>
      <c r="Q112" s="44" t="s">
        <v>647</v>
      </c>
      <c r="R112" s="45" t="s">
        <v>508</v>
      </c>
      <c r="S112" s="46" t="s">
        <v>511</v>
      </c>
      <c r="T112" s="46" t="s">
        <v>588</v>
      </c>
      <c r="U112" s="46"/>
      <c r="V112" s="46"/>
      <c r="W112" s="43">
        <v>13</v>
      </c>
      <c r="X112" s="43">
        <v>0</v>
      </c>
      <c r="Y112" s="43">
        <v>0</v>
      </c>
      <c r="Z112" s="43">
        <v>13</v>
      </c>
      <c r="AD112" s="62"/>
      <c r="AE112" s="62"/>
      <c r="AF112" s="63"/>
      <c r="AG112" s="64"/>
      <c r="AH112" s="64"/>
      <c r="AI112" s="65"/>
    </row>
    <row r="113" spans="1:35" ht="15">
      <c r="A113" s="43" t="s">
        <v>778</v>
      </c>
      <c r="B113" s="44" t="s">
        <v>746</v>
      </c>
      <c r="C113" s="44" t="s">
        <v>489</v>
      </c>
      <c r="D113" s="45" t="s">
        <v>506</v>
      </c>
      <c r="E113" s="46"/>
      <c r="F113" s="46"/>
      <c r="G113" s="46"/>
      <c r="H113" s="46"/>
      <c r="I113" s="43">
        <v>0</v>
      </c>
      <c r="J113" s="43">
        <v>0</v>
      </c>
      <c r="K113" s="43">
        <v>540</v>
      </c>
      <c r="L113" s="43">
        <v>540</v>
      </c>
      <c r="O113" s="43" t="s">
        <v>779</v>
      </c>
      <c r="P113" s="44" t="s">
        <v>757</v>
      </c>
      <c r="Q113" s="44" t="s">
        <v>647</v>
      </c>
      <c r="R113" s="45" t="s">
        <v>534</v>
      </c>
      <c r="S113" s="46" t="s">
        <v>523</v>
      </c>
      <c r="T113" s="46" t="s">
        <v>584</v>
      </c>
      <c r="U113" s="46"/>
      <c r="V113" s="46"/>
      <c r="W113" s="43">
        <v>29</v>
      </c>
      <c r="X113" s="43">
        <v>0</v>
      </c>
      <c r="Y113" s="43">
        <v>0</v>
      </c>
      <c r="Z113" s="43">
        <v>29</v>
      </c>
      <c r="AD113" s="62"/>
      <c r="AE113" s="62"/>
      <c r="AF113" s="63"/>
      <c r="AG113" s="64"/>
      <c r="AH113" s="64"/>
      <c r="AI113" s="65"/>
    </row>
    <row r="114" spans="1:35" ht="15">
      <c r="A114" s="43" t="s">
        <v>778</v>
      </c>
      <c r="B114" s="44" t="s">
        <v>746</v>
      </c>
      <c r="C114" s="44" t="s">
        <v>489</v>
      </c>
      <c r="D114" s="45" t="s">
        <v>507</v>
      </c>
      <c r="E114" s="46"/>
      <c r="F114" s="46" t="s">
        <v>559</v>
      </c>
      <c r="G114" s="46"/>
      <c r="H114" s="46"/>
      <c r="I114" s="43">
        <v>0</v>
      </c>
      <c r="J114" s="43">
        <v>0</v>
      </c>
      <c r="K114" s="43">
        <v>540</v>
      </c>
      <c r="L114" s="43">
        <v>540</v>
      </c>
      <c r="O114" s="43" t="s">
        <v>779</v>
      </c>
      <c r="P114" s="44" t="s">
        <v>757</v>
      </c>
      <c r="Q114" s="44" t="s">
        <v>647</v>
      </c>
      <c r="R114" s="45" t="s">
        <v>535</v>
      </c>
      <c r="S114" s="46" t="s">
        <v>630</v>
      </c>
      <c r="T114" s="46" t="s">
        <v>629</v>
      </c>
      <c r="U114" s="46"/>
      <c r="V114" s="46"/>
      <c r="W114" s="43">
        <v>18</v>
      </c>
      <c r="X114" s="43">
        <v>0</v>
      </c>
      <c r="Y114" s="43">
        <v>0</v>
      </c>
      <c r="Z114" s="43">
        <v>18</v>
      </c>
      <c r="AD114" s="62"/>
      <c r="AE114" s="62"/>
      <c r="AF114" s="63"/>
      <c r="AH114" s="64"/>
      <c r="AI114" s="65"/>
    </row>
    <row r="115" spans="1:35" ht="15">
      <c r="A115" s="43" t="s">
        <v>778</v>
      </c>
      <c r="B115" s="44" t="s">
        <v>746</v>
      </c>
      <c r="C115" s="44" t="s">
        <v>489</v>
      </c>
      <c r="D115" s="45" t="s">
        <v>508</v>
      </c>
      <c r="E115" s="46"/>
      <c r="F115" s="46"/>
      <c r="G115" s="46"/>
      <c r="H115" s="46"/>
      <c r="I115" s="43">
        <v>0</v>
      </c>
      <c r="J115" s="43">
        <v>0</v>
      </c>
      <c r="K115" s="43">
        <v>540</v>
      </c>
      <c r="L115" s="43">
        <v>540</v>
      </c>
      <c r="O115" s="43" t="s">
        <v>779</v>
      </c>
      <c r="P115" s="44" t="s">
        <v>757</v>
      </c>
      <c r="Q115" s="44" t="s">
        <v>647</v>
      </c>
      <c r="R115" s="45" t="s">
        <v>510</v>
      </c>
      <c r="S115" s="46" t="s">
        <v>662</v>
      </c>
      <c r="T115" s="46" t="s">
        <v>672</v>
      </c>
      <c r="U115" s="46"/>
      <c r="V115" s="46"/>
      <c r="W115" s="43">
        <v>21</v>
      </c>
      <c r="X115" s="43">
        <v>0</v>
      </c>
      <c r="Y115" s="43">
        <v>0</v>
      </c>
      <c r="Z115" s="43">
        <v>21</v>
      </c>
      <c r="AD115" s="62"/>
      <c r="AE115" s="62"/>
      <c r="AF115" s="63"/>
      <c r="AH115" s="64"/>
      <c r="AI115" s="65"/>
    </row>
    <row r="116" spans="1:35" ht="15">
      <c r="A116" s="43" t="s">
        <v>778</v>
      </c>
      <c r="B116" s="44" t="s">
        <v>746</v>
      </c>
      <c r="C116" s="44" t="s">
        <v>489</v>
      </c>
      <c r="D116" s="45" t="s">
        <v>534</v>
      </c>
      <c r="E116" s="46"/>
      <c r="F116" s="46"/>
      <c r="G116" s="46"/>
      <c r="H116" s="46"/>
      <c r="I116" s="43">
        <v>0</v>
      </c>
      <c r="J116" s="43">
        <v>0</v>
      </c>
      <c r="K116" s="43">
        <v>540</v>
      </c>
      <c r="L116" s="43">
        <v>540</v>
      </c>
      <c r="O116" s="43" t="s">
        <v>779</v>
      </c>
      <c r="P116" s="44" t="s">
        <v>757</v>
      </c>
      <c r="Q116" s="44" t="s">
        <v>647</v>
      </c>
      <c r="R116" s="45" t="s">
        <v>538</v>
      </c>
      <c r="S116" s="46" t="s">
        <v>592</v>
      </c>
      <c r="T116" s="46" t="s">
        <v>659</v>
      </c>
      <c r="U116" s="46"/>
      <c r="V116" s="46"/>
      <c r="W116" s="43">
        <v>16</v>
      </c>
      <c r="X116" s="43">
        <v>0</v>
      </c>
      <c r="Y116" s="43">
        <v>0</v>
      </c>
      <c r="Z116" s="43">
        <v>16</v>
      </c>
      <c r="AD116" s="62"/>
      <c r="AE116" s="62"/>
      <c r="AF116" s="63"/>
      <c r="AG116" s="64"/>
      <c r="AH116" s="64"/>
      <c r="AI116" s="65"/>
    </row>
    <row r="117" spans="1:35" ht="15">
      <c r="A117" s="43" t="s">
        <v>778</v>
      </c>
      <c r="B117" s="44" t="s">
        <v>746</v>
      </c>
      <c r="C117" s="44" t="s">
        <v>489</v>
      </c>
      <c r="D117" s="45" t="s">
        <v>535</v>
      </c>
      <c r="E117" s="46"/>
      <c r="F117" s="46"/>
      <c r="G117" s="46"/>
      <c r="H117" s="46"/>
      <c r="I117" s="43">
        <v>0</v>
      </c>
      <c r="J117" s="43">
        <v>0</v>
      </c>
      <c r="K117" s="43">
        <v>540</v>
      </c>
      <c r="L117" s="43">
        <v>540</v>
      </c>
      <c r="O117" s="43" t="s">
        <v>779</v>
      </c>
      <c r="P117" s="44" t="s">
        <v>757</v>
      </c>
      <c r="Q117" s="44" t="s">
        <v>647</v>
      </c>
      <c r="R117" s="45" t="s">
        <v>543</v>
      </c>
      <c r="S117" s="46" t="s">
        <v>630</v>
      </c>
      <c r="T117" s="46" t="s">
        <v>660</v>
      </c>
      <c r="U117" s="46"/>
      <c r="V117" s="46"/>
      <c r="W117" s="43">
        <v>18</v>
      </c>
      <c r="X117" s="43">
        <v>0</v>
      </c>
      <c r="Y117" s="43">
        <v>0</v>
      </c>
      <c r="Z117" s="43">
        <v>18</v>
      </c>
      <c r="AD117" s="62"/>
      <c r="AE117" s="62"/>
      <c r="AF117" s="63"/>
      <c r="AG117" s="64"/>
      <c r="AH117" s="64"/>
      <c r="AI117" s="65"/>
    </row>
    <row r="118" spans="1:35" ht="15">
      <c r="A118" s="43" t="s">
        <v>778</v>
      </c>
      <c r="B118" s="44" t="s">
        <v>746</v>
      </c>
      <c r="C118" s="44" t="s">
        <v>489</v>
      </c>
      <c r="D118" s="45" t="s">
        <v>509</v>
      </c>
      <c r="E118" s="46"/>
      <c r="F118" s="46"/>
      <c r="G118" s="46"/>
      <c r="H118" s="46"/>
      <c r="I118" s="43">
        <v>0</v>
      </c>
      <c r="J118" s="43">
        <v>0</v>
      </c>
      <c r="K118" s="43">
        <v>540</v>
      </c>
      <c r="L118" s="43">
        <v>540</v>
      </c>
      <c r="O118" s="43" t="s">
        <v>779</v>
      </c>
      <c r="P118" s="44" t="s">
        <v>757</v>
      </c>
      <c r="Q118" s="44" t="s">
        <v>647</v>
      </c>
      <c r="R118" s="45" t="s">
        <v>512</v>
      </c>
      <c r="S118" s="46"/>
      <c r="T118" s="46"/>
      <c r="U118" s="46"/>
      <c r="V118" s="46"/>
      <c r="W118" s="43">
        <v>0</v>
      </c>
      <c r="X118" s="43">
        <v>0</v>
      </c>
      <c r="Y118" s="43">
        <v>540</v>
      </c>
      <c r="Z118" s="43">
        <v>540</v>
      </c>
      <c r="AD118" s="62"/>
      <c r="AE118" s="62"/>
      <c r="AF118" s="63"/>
      <c r="AG118" s="64"/>
      <c r="AH118" s="64"/>
      <c r="AI118" s="65"/>
    </row>
    <row r="119" spans="1:35" ht="15">
      <c r="A119" s="43" t="s">
        <v>778</v>
      </c>
      <c r="B119" s="44" t="s">
        <v>746</v>
      </c>
      <c r="C119" s="44" t="s">
        <v>489</v>
      </c>
      <c r="D119" s="45" t="s">
        <v>510</v>
      </c>
      <c r="E119" s="46" t="s">
        <v>527</v>
      </c>
      <c r="F119" s="46" t="s">
        <v>560</v>
      </c>
      <c r="G119" s="46"/>
      <c r="H119" s="46"/>
      <c r="I119" s="43">
        <v>53</v>
      </c>
      <c r="J119" s="43">
        <v>0</v>
      </c>
      <c r="K119" s="43">
        <v>0</v>
      </c>
      <c r="L119" s="43">
        <v>53</v>
      </c>
      <c r="O119" s="43" t="s">
        <v>779</v>
      </c>
      <c r="P119" s="44" t="s">
        <v>757</v>
      </c>
      <c r="Q119" s="44" t="s">
        <v>647</v>
      </c>
      <c r="R119" s="45" t="s">
        <v>515</v>
      </c>
      <c r="S119" s="46" t="s">
        <v>654</v>
      </c>
      <c r="T119" s="46" t="s">
        <v>653</v>
      </c>
      <c r="U119" s="46"/>
      <c r="V119" s="46"/>
      <c r="W119" s="43">
        <v>11</v>
      </c>
      <c r="X119" s="43">
        <v>0</v>
      </c>
      <c r="Y119" s="43">
        <v>0</v>
      </c>
      <c r="Z119" s="43">
        <v>11</v>
      </c>
      <c r="AD119" s="62"/>
      <c r="AE119" s="62"/>
      <c r="AF119" s="63"/>
      <c r="AG119" s="64"/>
      <c r="AH119" s="64"/>
      <c r="AI119" s="65"/>
    </row>
    <row r="120" spans="1:35" ht="15">
      <c r="A120" s="43" t="s">
        <v>778</v>
      </c>
      <c r="B120" s="44" t="s">
        <v>746</v>
      </c>
      <c r="C120" s="44" t="s">
        <v>489</v>
      </c>
      <c r="D120" s="45" t="s">
        <v>538</v>
      </c>
      <c r="E120" s="46"/>
      <c r="F120" s="46"/>
      <c r="G120" s="46"/>
      <c r="H120" s="46"/>
      <c r="I120" s="43">
        <v>0</v>
      </c>
      <c r="J120" s="43">
        <v>0</v>
      </c>
      <c r="K120" s="43">
        <v>540</v>
      </c>
      <c r="L120" s="43">
        <v>540</v>
      </c>
      <c r="O120" s="43" t="s">
        <v>779</v>
      </c>
      <c r="P120" s="44" t="s">
        <v>757</v>
      </c>
      <c r="Q120" s="44" t="s">
        <v>647</v>
      </c>
      <c r="R120" s="45" t="s">
        <v>518</v>
      </c>
      <c r="S120" s="46" t="s">
        <v>504</v>
      </c>
      <c r="T120" s="46"/>
      <c r="U120" s="46"/>
      <c r="V120" s="46"/>
      <c r="W120" s="43">
        <v>0</v>
      </c>
      <c r="X120" s="43">
        <v>0</v>
      </c>
      <c r="Y120" s="43">
        <v>540</v>
      </c>
      <c r="Z120" s="43">
        <v>540</v>
      </c>
      <c r="AD120" s="62"/>
      <c r="AE120" s="62"/>
      <c r="AF120" s="63"/>
      <c r="AG120" s="64"/>
      <c r="AH120" s="64"/>
      <c r="AI120" s="65"/>
    </row>
    <row r="121" spans="1:35" ht="15">
      <c r="A121" s="43" t="s">
        <v>778</v>
      </c>
      <c r="B121" s="44" t="s">
        <v>746</v>
      </c>
      <c r="C121" s="44" t="s">
        <v>489</v>
      </c>
      <c r="D121" s="45" t="s">
        <v>540</v>
      </c>
      <c r="E121" s="46"/>
      <c r="F121" s="46"/>
      <c r="G121" s="46"/>
      <c r="H121" s="46"/>
      <c r="I121" s="43">
        <v>0</v>
      </c>
      <c r="J121" s="43">
        <v>0</v>
      </c>
      <c r="K121" s="43">
        <v>540</v>
      </c>
      <c r="L121" s="43">
        <v>540</v>
      </c>
      <c r="O121" s="43" t="s">
        <v>780</v>
      </c>
      <c r="P121" s="44" t="s">
        <v>758</v>
      </c>
      <c r="Q121" s="44" t="s">
        <v>647</v>
      </c>
      <c r="R121" s="45" t="s">
        <v>491</v>
      </c>
      <c r="S121" s="46" t="s">
        <v>630</v>
      </c>
      <c r="T121" s="46" t="s">
        <v>584</v>
      </c>
      <c r="U121" s="46"/>
      <c r="V121" s="46"/>
      <c r="W121" s="43">
        <v>18</v>
      </c>
      <c r="X121" s="43">
        <v>0</v>
      </c>
      <c r="Y121" s="43">
        <v>0</v>
      </c>
      <c r="Z121" s="43">
        <v>18</v>
      </c>
      <c r="AD121" s="62"/>
      <c r="AE121" s="62"/>
      <c r="AF121" s="63"/>
      <c r="AG121" s="64"/>
      <c r="AH121" s="64"/>
      <c r="AI121" s="65"/>
    </row>
    <row r="122" spans="1:35" ht="15">
      <c r="A122" s="43" t="s">
        <v>778</v>
      </c>
      <c r="B122" s="44" t="s">
        <v>746</v>
      </c>
      <c r="C122" s="44" t="s">
        <v>489</v>
      </c>
      <c r="D122" s="45" t="s">
        <v>543</v>
      </c>
      <c r="E122" s="46" t="s">
        <v>561</v>
      </c>
      <c r="F122" s="46" t="s">
        <v>502</v>
      </c>
      <c r="G122" s="46"/>
      <c r="H122" s="46"/>
      <c r="I122" s="43">
        <v>247</v>
      </c>
      <c r="J122" s="43">
        <v>0</v>
      </c>
      <c r="K122" s="43">
        <v>0</v>
      </c>
      <c r="L122" s="43">
        <v>247</v>
      </c>
      <c r="O122" s="43" t="s">
        <v>780</v>
      </c>
      <c r="P122" s="44" t="s">
        <v>758</v>
      </c>
      <c r="Q122" s="44" t="s">
        <v>647</v>
      </c>
      <c r="R122" s="45" t="s">
        <v>498</v>
      </c>
      <c r="S122" s="46" t="s">
        <v>634</v>
      </c>
      <c r="T122" s="46"/>
      <c r="U122" s="46"/>
      <c r="V122" s="46"/>
      <c r="W122" s="43">
        <v>0</v>
      </c>
      <c r="X122" s="43">
        <v>0</v>
      </c>
      <c r="Y122" s="43">
        <v>540</v>
      </c>
      <c r="Z122" s="43">
        <v>540</v>
      </c>
      <c r="AD122" s="62"/>
      <c r="AE122" s="62"/>
      <c r="AF122" s="63"/>
      <c r="AH122" s="64"/>
      <c r="AI122" s="65"/>
    </row>
    <row r="123" spans="1:35" ht="15">
      <c r="A123" s="43" t="s">
        <v>778</v>
      </c>
      <c r="B123" s="44" t="s">
        <v>746</v>
      </c>
      <c r="C123" s="44" t="s">
        <v>489</v>
      </c>
      <c r="D123" s="45" t="s">
        <v>512</v>
      </c>
      <c r="E123" s="46"/>
      <c r="F123" s="46"/>
      <c r="G123" s="46"/>
      <c r="H123" s="46"/>
      <c r="I123" s="43">
        <v>0</v>
      </c>
      <c r="J123" s="43">
        <v>0</v>
      </c>
      <c r="K123" s="43">
        <v>540</v>
      </c>
      <c r="L123" s="43">
        <v>540</v>
      </c>
      <c r="O123" s="43" t="s">
        <v>780</v>
      </c>
      <c r="P123" s="44" t="s">
        <v>758</v>
      </c>
      <c r="Q123" s="44" t="s">
        <v>647</v>
      </c>
      <c r="R123" s="45" t="s">
        <v>501</v>
      </c>
      <c r="S123" s="46" t="s">
        <v>683</v>
      </c>
      <c r="T123" s="46" t="s">
        <v>560</v>
      </c>
      <c r="U123" s="46"/>
      <c r="V123" s="46"/>
      <c r="W123" s="43">
        <v>0</v>
      </c>
      <c r="X123" s="43">
        <v>1</v>
      </c>
      <c r="Y123" s="43">
        <v>0</v>
      </c>
      <c r="Z123" s="43">
        <v>1</v>
      </c>
      <c r="AD123" s="62"/>
      <c r="AE123" s="62"/>
      <c r="AF123" s="63"/>
      <c r="AG123" s="64"/>
      <c r="AH123" s="64"/>
      <c r="AI123" s="65"/>
    </row>
    <row r="124" spans="1:35" ht="15">
      <c r="A124" s="43" t="s">
        <v>778</v>
      </c>
      <c r="B124" s="44" t="s">
        <v>746</v>
      </c>
      <c r="C124" s="44" t="s">
        <v>489</v>
      </c>
      <c r="D124" s="45" t="s">
        <v>513</v>
      </c>
      <c r="E124" s="46"/>
      <c r="F124" s="46"/>
      <c r="G124" s="46"/>
      <c r="H124" s="46"/>
      <c r="I124" s="43">
        <v>0</v>
      </c>
      <c r="J124" s="43">
        <v>0</v>
      </c>
      <c r="K124" s="43">
        <v>540</v>
      </c>
      <c r="L124" s="43">
        <v>540</v>
      </c>
      <c r="O124" s="43" t="s">
        <v>780</v>
      </c>
      <c r="P124" s="44" t="s">
        <v>758</v>
      </c>
      <c r="Q124" s="44" t="s">
        <v>647</v>
      </c>
      <c r="R124" s="45" t="s">
        <v>506</v>
      </c>
      <c r="S124" s="46"/>
      <c r="T124" s="46"/>
      <c r="U124" s="46"/>
      <c r="V124" s="46"/>
      <c r="W124" s="43">
        <v>0</v>
      </c>
      <c r="X124" s="43">
        <v>0</v>
      </c>
      <c r="Y124" s="43">
        <v>540</v>
      </c>
      <c r="Z124" s="43">
        <v>540</v>
      </c>
      <c r="AD124" s="62"/>
      <c r="AE124" s="62"/>
      <c r="AF124" s="63"/>
      <c r="AH124" s="64"/>
      <c r="AI124" s="65"/>
    </row>
    <row r="125" spans="1:35" ht="15">
      <c r="A125" s="43" t="s">
        <v>778</v>
      </c>
      <c r="B125" s="44" t="s">
        <v>746</v>
      </c>
      <c r="C125" s="44" t="s">
        <v>489</v>
      </c>
      <c r="D125" s="45" t="s">
        <v>515</v>
      </c>
      <c r="E125" s="46"/>
      <c r="F125" s="46"/>
      <c r="G125" s="46"/>
      <c r="H125" s="46"/>
      <c r="I125" s="43">
        <v>0</v>
      </c>
      <c r="J125" s="43">
        <v>0</v>
      </c>
      <c r="K125" s="43">
        <v>540</v>
      </c>
      <c r="L125" s="43">
        <v>540</v>
      </c>
      <c r="O125" s="43" t="s">
        <v>780</v>
      </c>
      <c r="P125" s="44" t="s">
        <v>758</v>
      </c>
      <c r="Q125" s="44" t="s">
        <v>647</v>
      </c>
      <c r="R125" s="45" t="s">
        <v>507</v>
      </c>
      <c r="S125" s="46"/>
      <c r="T125" s="46"/>
      <c r="U125" s="46"/>
      <c r="V125" s="46"/>
      <c r="W125" s="43">
        <v>0</v>
      </c>
      <c r="X125" s="43">
        <v>0</v>
      </c>
      <c r="Y125" s="43">
        <v>540</v>
      </c>
      <c r="Z125" s="43">
        <v>540</v>
      </c>
      <c r="AD125" s="62"/>
      <c r="AE125" s="62"/>
      <c r="AF125" s="63"/>
      <c r="AG125" s="64"/>
      <c r="AH125" s="64"/>
      <c r="AI125" s="65"/>
    </row>
    <row r="126" spans="1:35" ht="15">
      <c r="A126" s="43" t="s">
        <v>778</v>
      </c>
      <c r="B126" s="44" t="s">
        <v>746</v>
      </c>
      <c r="C126" s="44" t="s">
        <v>489</v>
      </c>
      <c r="D126" s="45" t="s">
        <v>517</v>
      </c>
      <c r="E126" s="46"/>
      <c r="F126" s="46"/>
      <c r="G126" s="46"/>
      <c r="H126" s="46"/>
      <c r="I126" s="43">
        <v>0</v>
      </c>
      <c r="J126" s="43">
        <v>0</v>
      </c>
      <c r="K126" s="43">
        <v>540</v>
      </c>
      <c r="L126" s="43">
        <v>540</v>
      </c>
      <c r="O126" s="43" t="s">
        <v>780</v>
      </c>
      <c r="P126" s="44" t="s">
        <v>758</v>
      </c>
      <c r="Q126" s="44" t="s">
        <v>647</v>
      </c>
      <c r="R126" s="45" t="s">
        <v>508</v>
      </c>
      <c r="S126" s="46"/>
      <c r="T126" s="46"/>
      <c r="U126" s="46"/>
      <c r="V126" s="46"/>
      <c r="W126" s="43">
        <v>0</v>
      </c>
      <c r="X126" s="43">
        <v>0</v>
      </c>
      <c r="Y126" s="43">
        <v>540</v>
      </c>
      <c r="Z126" s="43">
        <v>540</v>
      </c>
      <c r="AD126" s="62"/>
      <c r="AE126" s="62"/>
      <c r="AF126" s="63"/>
      <c r="AG126" s="64"/>
      <c r="AH126" s="64"/>
      <c r="AI126" s="65"/>
    </row>
    <row r="127" spans="1:35" ht="15">
      <c r="A127" s="43" t="s">
        <v>778</v>
      </c>
      <c r="B127" s="44" t="s">
        <v>746</v>
      </c>
      <c r="C127" s="44" t="s">
        <v>489</v>
      </c>
      <c r="D127" s="45" t="s">
        <v>518</v>
      </c>
      <c r="E127" s="46"/>
      <c r="F127" s="46"/>
      <c r="G127" s="46"/>
      <c r="H127" s="46"/>
      <c r="I127" s="43">
        <v>0</v>
      </c>
      <c r="J127" s="43">
        <v>0</v>
      </c>
      <c r="K127" s="43">
        <v>540</v>
      </c>
      <c r="L127" s="43">
        <v>540</v>
      </c>
      <c r="O127" s="43" t="s">
        <v>780</v>
      </c>
      <c r="P127" s="44" t="s">
        <v>758</v>
      </c>
      <c r="Q127" s="44" t="s">
        <v>647</v>
      </c>
      <c r="R127" s="45" t="s">
        <v>534</v>
      </c>
      <c r="S127" s="46"/>
      <c r="T127" s="46"/>
      <c r="U127" s="46"/>
      <c r="V127" s="46"/>
      <c r="W127" s="43">
        <v>0</v>
      </c>
      <c r="X127" s="43">
        <v>0</v>
      </c>
      <c r="Y127" s="43">
        <v>540</v>
      </c>
      <c r="Z127" s="43">
        <v>540</v>
      </c>
      <c r="AD127" s="62"/>
      <c r="AE127" s="62"/>
      <c r="AF127" s="63"/>
      <c r="AG127" s="64"/>
      <c r="AH127" s="64"/>
      <c r="AI127" s="65"/>
    </row>
    <row r="128" spans="1:35" ht="15">
      <c r="A128" s="43" t="s">
        <v>781</v>
      </c>
      <c r="B128" s="44" t="s">
        <v>745</v>
      </c>
      <c r="C128" s="44" t="s">
        <v>489</v>
      </c>
      <c r="D128" s="45" t="s">
        <v>490</v>
      </c>
      <c r="E128" s="46"/>
      <c r="F128" s="46"/>
      <c r="G128" s="46"/>
      <c r="H128" s="46"/>
      <c r="I128" s="43">
        <v>0</v>
      </c>
      <c r="J128" s="43">
        <v>0</v>
      </c>
      <c r="K128" s="43">
        <v>540</v>
      </c>
      <c r="L128" s="43">
        <v>540</v>
      </c>
      <c r="O128" s="43" t="s">
        <v>780</v>
      </c>
      <c r="P128" s="44" t="s">
        <v>758</v>
      </c>
      <c r="Q128" s="44" t="s">
        <v>647</v>
      </c>
      <c r="R128" s="45" t="s">
        <v>535</v>
      </c>
      <c r="S128" s="46" t="s">
        <v>673</v>
      </c>
      <c r="T128" s="46" t="s">
        <v>584</v>
      </c>
      <c r="U128" s="46"/>
      <c r="V128" s="46"/>
      <c r="W128" s="43">
        <v>22</v>
      </c>
      <c r="X128" s="43">
        <v>0</v>
      </c>
      <c r="Y128" s="43">
        <v>0</v>
      </c>
      <c r="Z128" s="43">
        <v>22</v>
      </c>
      <c r="AD128" s="62"/>
      <c r="AE128" s="62"/>
      <c r="AF128" s="63"/>
    </row>
    <row r="129" spans="1:35" ht="15">
      <c r="A129" s="43" t="s">
        <v>781</v>
      </c>
      <c r="B129" s="44" t="s">
        <v>745</v>
      </c>
      <c r="C129" s="44" t="s">
        <v>489</v>
      </c>
      <c r="D129" s="45" t="s">
        <v>491</v>
      </c>
      <c r="E129" s="46"/>
      <c r="F129" s="46"/>
      <c r="G129" s="46"/>
      <c r="H129" s="46"/>
      <c r="I129" s="43">
        <v>0</v>
      </c>
      <c r="J129" s="43">
        <v>0</v>
      </c>
      <c r="K129" s="43">
        <v>540</v>
      </c>
      <c r="L129" s="43">
        <v>540</v>
      </c>
      <c r="O129" s="43" t="s">
        <v>780</v>
      </c>
      <c r="P129" s="44" t="s">
        <v>758</v>
      </c>
      <c r="Q129" s="44" t="s">
        <v>647</v>
      </c>
      <c r="R129" s="45" t="s">
        <v>510</v>
      </c>
      <c r="S129" s="46" t="s">
        <v>680</v>
      </c>
      <c r="T129" s="46" t="s">
        <v>584</v>
      </c>
      <c r="U129" s="46"/>
      <c r="V129" s="46"/>
      <c r="W129" s="43">
        <v>20</v>
      </c>
      <c r="X129" s="43">
        <v>0</v>
      </c>
      <c r="Y129" s="43">
        <v>0</v>
      </c>
      <c r="Z129" s="43">
        <v>20</v>
      </c>
      <c r="AD129" s="62"/>
      <c r="AE129" s="62"/>
      <c r="AF129" s="63"/>
      <c r="AG129" s="64"/>
      <c r="AH129" s="64"/>
      <c r="AI129" s="65"/>
    </row>
    <row r="130" spans="1:35" ht="15">
      <c r="A130" s="43" t="s">
        <v>781</v>
      </c>
      <c r="B130" s="44" t="s">
        <v>745</v>
      </c>
      <c r="C130" s="44" t="s">
        <v>489</v>
      </c>
      <c r="D130" s="45" t="s">
        <v>493</v>
      </c>
      <c r="E130" s="46"/>
      <c r="F130" s="46" t="s">
        <v>562</v>
      </c>
      <c r="G130" s="46"/>
      <c r="H130" s="46"/>
      <c r="I130" s="43">
        <v>0</v>
      </c>
      <c r="J130" s="43">
        <v>0</v>
      </c>
      <c r="K130" s="43">
        <v>540</v>
      </c>
      <c r="L130" s="43">
        <v>540</v>
      </c>
      <c r="O130" s="43" t="s">
        <v>780</v>
      </c>
      <c r="P130" s="44" t="s">
        <v>758</v>
      </c>
      <c r="Q130" s="44" t="s">
        <v>647</v>
      </c>
      <c r="R130" s="45" t="s">
        <v>540</v>
      </c>
      <c r="S130" s="46"/>
      <c r="T130" s="46"/>
      <c r="U130" s="46"/>
      <c r="V130" s="46"/>
      <c r="W130" s="43">
        <v>0</v>
      </c>
      <c r="X130" s="43">
        <v>0</v>
      </c>
      <c r="Y130" s="43">
        <v>540</v>
      </c>
      <c r="Z130" s="43">
        <v>540</v>
      </c>
      <c r="AD130" s="62"/>
      <c r="AE130" s="62"/>
      <c r="AF130" s="63"/>
    </row>
    <row r="131" spans="1:35" ht="15">
      <c r="A131" s="43" t="s">
        <v>781</v>
      </c>
      <c r="B131" s="44" t="s">
        <v>745</v>
      </c>
      <c r="C131" s="44" t="s">
        <v>489</v>
      </c>
      <c r="D131" s="45" t="s">
        <v>494</v>
      </c>
      <c r="E131" s="46" t="s">
        <v>563</v>
      </c>
      <c r="F131" s="46" t="s">
        <v>528</v>
      </c>
      <c r="G131" s="46"/>
      <c r="H131" s="46"/>
      <c r="I131" s="43">
        <v>92</v>
      </c>
      <c r="J131" s="43">
        <v>0</v>
      </c>
      <c r="K131" s="43">
        <v>0</v>
      </c>
      <c r="L131" s="43">
        <v>92</v>
      </c>
      <c r="O131" s="43" t="s">
        <v>780</v>
      </c>
      <c r="P131" s="44" t="s">
        <v>758</v>
      </c>
      <c r="Q131" s="44" t="s">
        <v>647</v>
      </c>
      <c r="R131" s="45" t="s">
        <v>543</v>
      </c>
      <c r="S131" s="46"/>
      <c r="T131" s="46"/>
      <c r="U131" s="46"/>
      <c r="V131" s="46"/>
      <c r="W131" s="43">
        <v>0</v>
      </c>
      <c r="X131" s="43">
        <v>0</v>
      </c>
      <c r="Y131" s="43">
        <v>540</v>
      </c>
      <c r="Z131" s="43">
        <v>540</v>
      </c>
      <c r="AD131" s="62"/>
      <c r="AE131" s="62"/>
      <c r="AF131" s="63"/>
    </row>
    <row r="132" spans="1:35" ht="15">
      <c r="A132" s="43" t="s">
        <v>781</v>
      </c>
      <c r="B132" s="44" t="s">
        <v>745</v>
      </c>
      <c r="C132" s="44" t="s">
        <v>489</v>
      </c>
      <c r="D132" s="45" t="s">
        <v>495</v>
      </c>
      <c r="E132" s="46" t="s">
        <v>551</v>
      </c>
      <c r="F132" s="46" t="s">
        <v>564</v>
      </c>
      <c r="G132" s="46"/>
      <c r="H132" s="46"/>
      <c r="I132" s="43">
        <v>51</v>
      </c>
      <c r="J132" s="43">
        <v>0</v>
      </c>
      <c r="K132" s="43">
        <v>0</v>
      </c>
      <c r="L132" s="43">
        <v>51</v>
      </c>
      <c r="O132" s="43" t="s">
        <v>780</v>
      </c>
      <c r="P132" s="44" t="s">
        <v>758</v>
      </c>
      <c r="Q132" s="44" t="s">
        <v>647</v>
      </c>
      <c r="R132" s="45" t="s">
        <v>512</v>
      </c>
      <c r="S132" s="46"/>
      <c r="T132" s="46"/>
      <c r="U132" s="46"/>
      <c r="V132" s="46"/>
      <c r="W132" s="43">
        <v>0</v>
      </c>
      <c r="X132" s="43">
        <v>0</v>
      </c>
      <c r="Y132" s="43">
        <v>540</v>
      </c>
      <c r="Z132" s="43">
        <v>540</v>
      </c>
      <c r="AD132" s="62"/>
      <c r="AE132" s="62"/>
      <c r="AF132" s="63"/>
    </row>
    <row r="133" spans="1:35" ht="15">
      <c r="A133" s="43" t="s">
        <v>781</v>
      </c>
      <c r="B133" s="44" t="s">
        <v>745</v>
      </c>
      <c r="C133" s="44" t="s">
        <v>489</v>
      </c>
      <c r="D133" s="45" t="s">
        <v>496</v>
      </c>
      <c r="E133" s="46" t="s">
        <v>536</v>
      </c>
      <c r="F133" s="46" t="s">
        <v>565</v>
      </c>
      <c r="G133" s="46"/>
      <c r="H133" s="46"/>
      <c r="I133" s="43">
        <v>69</v>
      </c>
      <c r="J133" s="43">
        <v>0</v>
      </c>
      <c r="K133" s="43">
        <v>0</v>
      </c>
      <c r="L133" s="43">
        <v>69</v>
      </c>
      <c r="O133" s="43" t="s">
        <v>780</v>
      </c>
      <c r="P133" s="44" t="s">
        <v>758</v>
      </c>
      <c r="Q133" s="44" t="s">
        <v>647</v>
      </c>
      <c r="R133" s="45" t="s">
        <v>515</v>
      </c>
      <c r="S133" s="46"/>
      <c r="T133" s="46"/>
      <c r="U133" s="46"/>
      <c r="V133" s="46"/>
      <c r="W133" s="43">
        <v>0</v>
      </c>
      <c r="X133" s="43">
        <v>0</v>
      </c>
      <c r="Y133" s="43">
        <v>540</v>
      </c>
      <c r="Z133" s="43">
        <v>540</v>
      </c>
      <c r="AD133" s="62"/>
      <c r="AE133" s="62"/>
      <c r="AF133" s="63"/>
    </row>
    <row r="134" spans="1:35" ht="15">
      <c r="A134" s="43" t="s">
        <v>781</v>
      </c>
      <c r="B134" s="44" t="s">
        <v>745</v>
      </c>
      <c r="C134" s="44" t="s">
        <v>489</v>
      </c>
      <c r="D134" s="45" t="s">
        <v>497</v>
      </c>
      <c r="E134" s="46" t="s">
        <v>566</v>
      </c>
      <c r="F134" s="46"/>
      <c r="G134" s="46"/>
      <c r="H134" s="46"/>
      <c r="I134" s="43">
        <v>98</v>
      </c>
      <c r="J134" s="43">
        <v>0</v>
      </c>
      <c r="K134" s="43">
        <v>442</v>
      </c>
      <c r="L134" s="43">
        <v>540</v>
      </c>
      <c r="O134" s="43" t="s">
        <v>780</v>
      </c>
      <c r="P134" s="44" t="s">
        <v>758</v>
      </c>
      <c r="Q134" s="44" t="s">
        <v>647</v>
      </c>
      <c r="R134" s="45" t="s">
        <v>517</v>
      </c>
      <c r="S134" s="46"/>
      <c r="T134" s="46"/>
      <c r="U134" s="46"/>
      <c r="V134" s="46"/>
      <c r="W134" s="43">
        <v>0</v>
      </c>
      <c r="X134" s="43">
        <v>0</v>
      </c>
      <c r="Y134" s="43">
        <v>540</v>
      </c>
      <c r="Z134" s="43">
        <v>540</v>
      </c>
      <c r="AD134" s="62"/>
      <c r="AE134" s="62"/>
      <c r="AF134" s="63"/>
    </row>
    <row r="135" spans="1:35" ht="15">
      <c r="A135" s="43" t="s">
        <v>781</v>
      </c>
      <c r="B135" s="44" t="s">
        <v>745</v>
      </c>
      <c r="C135" s="44" t="s">
        <v>489</v>
      </c>
      <c r="D135" s="45" t="s">
        <v>498</v>
      </c>
      <c r="E135" s="46" t="s">
        <v>555</v>
      </c>
      <c r="F135" s="46"/>
      <c r="G135" s="46"/>
      <c r="H135" s="46"/>
      <c r="I135" s="43">
        <v>31</v>
      </c>
      <c r="J135" s="43">
        <v>0</v>
      </c>
      <c r="K135" s="43">
        <v>509</v>
      </c>
      <c r="L135" s="43">
        <v>540</v>
      </c>
      <c r="O135" s="43" t="s">
        <v>780</v>
      </c>
      <c r="P135" s="44" t="s">
        <v>758</v>
      </c>
      <c r="Q135" s="44" t="s">
        <v>647</v>
      </c>
      <c r="R135" s="45" t="s">
        <v>518</v>
      </c>
      <c r="S135" s="46"/>
      <c r="T135" s="46"/>
      <c r="U135" s="46"/>
      <c r="V135" s="46"/>
      <c r="W135" s="43">
        <v>0</v>
      </c>
      <c r="X135" s="43">
        <v>0</v>
      </c>
      <c r="Y135" s="43">
        <v>540</v>
      </c>
      <c r="Z135" s="43">
        <v>540</v>
      </c>
      <c r="AD135" s="62"/>
      <c r="AE135" s="62"/>
      <c r="AF135" s="63"/>
    </row>
    <row r="136" spans="1:35" ht="15">
      <c r="A136" s="43" t="s">
        <v>781</v>
      </c>
      <c r="B136" s="44" t="s">
        <v>745</v>
      </c>
      <c r="C136" s="44" t="s">
        <v>489</v>
      </c>
      <c r="D136" s="45" t="s">
        <v>499</v>
      </c>
      <c r="E136" s="46" t="s">
        <v>567</v>
      </c>
      <c r="F136" s="46" t="s">
        <v>526</v>
      </c>
      <c r="G136" s="46"/>
      <c r="H136" s="46"/>
      <c r="I136" s="43">
        <v>39</v>
      </c>
      <c r="J136" s="43">
        <v>0</v>
      </c>
      <c r="K136" s="43">
        <v>0</v>
      </c>
      <c r="L136" s="43">
        <v>39</v>
      </c>
      <c r="O136" s="43" t="s">
        <v>782</v>
      </c>
      <c r="P136" s="44" t="s">
        <v>759</v>
      </c>
      <c r="Q136" s="44" t="s">
        <v>647</v>
      </c>
      <c r="R136" s="45" t="s">
        <v>491</v>
      </c>
      <c r="S136" s="46" t="s">
        <v>630</v>
      </c>
      <c r="T136" s="46" t="s">
        <v>672</v>
      </c>
      <c r="U136" s="46"/>
      <c r="V136" s="46"/>
      <c r="W136" s="43">
        <v>18</v>
      </c>
      <c r="X136" s="43">
        <v>0</v>
      </c>
      <c r="Y136" s="43">
        <v>0</v>
      </c>
      <c r="Z136" s="43">
        <v>18</v>
      </c>
      <c r="AD136" s="62"/>
      <c r="AE136" s="62"/>
      <c r="AF136" s="63"/>
      <c r="AG136" s="64"/>
      <c r="AH136" s="64"/>
      <c r="AI136" s="65"/>
    </row>
    <row r="137" spans="1:35" ht="15">
      <c r="A137" s="43" t="s">
        <v>781</v>
      </c>
      <c r="B137" s="44" t="s">
        <v>745</v>
      </c>
      <c r="C137" s="44" t="s">
        <v>489</v>
      </c>
      <c r="D137" s="45" t="s">
        <v>500</v>
      </c>
      <c r="E137" s="46" t="s">
        <v>527</v>
      </c>
      <c r="F137" s="46" t="s">
        <v>528</v>
      </c>
      <c r="G137" s="46"/>
      <c r="H137" s="46"/>
      <c r="I137" s="43">
        <v>53</v>
      </c>
      <c r="J137" s="43">
        <v>0</v>
      </c>
      <c r="K137" s="43">
        <v>0</v>
      </c>
      <c r="L137" s="43">
        <v>53</v>
      </c>
      <c r="O137" s="43" t="s">
        <v>782</v>
      </c>
      <c r="P137" s="44" t="s">
        <v>759</v>
      </c>
      <c r="Q137" s="44" t="s">
        <v>647</v>
      </c>
      <c r="R137" s="45" t="s">
        <v>497</v>
      </c>
      <c r="S137" s="46" t="s">
        <v>684</v>
      </c>
      <c r="T137" s="46" t="s">
        <v>685</v>
      </c>
      <c r="U137" s="46"/>
      <c r="V137" s="46"/>
      <c r="W137" s="43">
        <v>116</v>
      </c>
      <c r="X137" s="43">
        <v>30</v>
      </c>
      <c r="Y137" s="43">
        <v>0</v>
      </c>
      <c r="Z137" s="43">
        <v>146</v>
      </c>
      <c r="AD137" s="62"/>
      <c r="AE137" s="62"/>
      <c r="AF137" s="63"/>
      <c r="AG137" s="64"/>
      <c r="AH137" s="64"/>
      <c r="AI137" s="65"/>
    </row>
    <row r="138" spans="1:35" ht="15">
      <c r="A138" s="43" t="s">
        <v>781</v>
      </c>
      <c r="B138" s="44" t="s">
        <v>745</v>
      </c>
      <c r="C138" s="44" t="s">
        <v>489</v>
      </c>
      <c r="D138" s="45" t="s">
        <v>501</v>
      </c>
      <c r="E138" s="46" t="s">
        <v>529</v>
      </c>
      <c r="F138" s="46" t="s">
        <v>568</v>
      </c>
      <c r="G138" s="46"/>
      <c r="H138" s="46"/>
      <c r="I138" s="43">
        <v>63</v>
      </c>
      <c r="J138" s="43">
        <v>0</v>
      </c>
      <c r="K138" s="43">
        <v>0</v>
      </c>
      <c r="L138" s="43">
        <v>63</v>
      </c>
      <c r="O138" s="43" t="s">
        <v>782</v>
      </c>
      <c r="P138" s="44" t="s">
        <v>759</v>
      </c>
      <c r="Q138" s="44" t="s">
        <v>647</v>
      </c>
      <c r="R138" s="45" t="s">
        <v>498</v>
      </c>
      <c r="S138" s="46" t="s">
        <v>504</v>
      </c>
      <c r="T138" s="46" t="s">
        <v>686</v>
      </c>
      <c r="U138" s="46"/>
      <c r="V138" s="46"/>
      <c r="W138" s="43">
        <v>0</v>
      </c>
      <c r="X138" s="43">
        <v>7</v>
      </c>
      <c r="Y138" s="43">
        <v>0</v>
      </c>
      <c r="Z138" s="43">
        <v>7</v>
      </c>
      <c r="AD138" s="62"/>
      <c r="AE138" s="62"/>
      <c r="AF138" s="63"/>
      <c r="AG138" s="64"/>
      <c r="AH138" s="64"/>
      <c r="AI138" s="65"/>
    </row>
    <row r="139" spans="1:35" ht="15">
      <c r="A139" s="43" t="s">
        <v>781</v>
      </c>
      <c r="B139" s="44" t="s">
        <v>745</v>
      </c>
      <c r="C139" s="44" t="s">
        <v>489</v>
      </c>
      <c r="D139" s="45" t="s">
        <v>503</v>
      </c>
      <c r="E139" s="46" t="s">
        <v>569</v>
      </c>
      <c r="F139" s="46"/>
      <c r="G139" s="46"/>
      <c r="H139" s="46"/>
      <c r="I139" s="43">
        <v>67</v>
      </c>
      <c r="J139" s="43">
        <v>0</v>
      </c>
      <c r="K139" s="43">
        <v>473</v>
      </c>
      <c r="L139" s="43">
        <v>540</v>
      </c>
      <c r="O139" s="43" t="s">
        <v>782</v>
      </c>
      <c r="P139" s="44" t="s">
        <v>759</v>
      </c>
      <c r="Q139" s="44" t="s">
        <v>647</v>
      </c>
      <c r="R139" s="45" t="s">
        <v>506</v>
      </c>
      <c r="S139" s="46"/>
      <c r="T139" s="46"/>
      <c r="U139" s="46"/>
      <c r="V139" s="46"/>
      <c r="W139" s="43">
        <v>0</v>
      </c>
      <c r="X139" s="43">
        <v>0</v>
      </c>
      <c r="Y139" s="43">
        <v>540</v>
      </c>
      <c r="Z139" s="43">
        <v>540</v>
      </c>
      <c r="AD139" s="62"/>
      <c r="AE139" s="62"/>
      <c r="AF139" s="63"/>
      <c r="AG139" s="64"/>
      <c r="AH139" s="64"/>
      <c r="AI139" s="65"/>
    </row>
    <row r="140" spans="1:35" ht="15">
      <c r="A140" s="43" t="s">
        <v>781</v>
      </c>
      <c r="B140" s="44" t="s">
        <v>745</v>
      </c>
      <c r="C140" s="44" t="s">
        <v>489</v>
      </c>
      <c r="D140" s="45" t="s">
        <v>506</v>
      </c>
      <c r="E140" s="46"/>
      <c r="F140" s="46"/>
      <c r="G140" s="46"/>
      <c r="H140" s="46"/>
      <c r="I140" s="43">
        <v>0</v>
      </c>
      <c r="J140" s="43">
        <v>0</v>
      </c>
      <c r="K140" s="43">
        <v>540</v>
      </c>
      <c r="L140" s="43">
        <v>540</v>
      </c>
      <c r="O140" s="43" t="s">
        <v>782</v>
      </c>
      <c r="P140" s="44" t="s">
        <v>759</v>
      </c>
      <c r="Q140" s="44" t="s">
        <v>647</v>
      </c>
      <c r="R140" s="45" t="s">
        <v>507</v>
      </c>
      <c r="S140" s="46" t="s">
        <v>511</v>
      </c>
      <c r="T140" s="46" t="s">
        <v>648</v>
      </c>
      <c r="U140" s="46"/>
      <c r="V140" s="46"/>
      <c r="W140" s="43">
        <v>13</v>
      </c>
      <c r="X140" s="43">
        <v>0</v>
      </c>
      <c r="Y140" s="43">
        <v>0</v>
      </c>
      <c r="Z140" s="43">
        <v>13</v>
      </c>
      <c r="AD140" s="62"/>
      <c r="AE140" s="62"/>
      <c r="AF140" s="63"/>
      <c r="AG140" s="64"/>
      <c r="AH140" s="64"/>
      <c r="AI140" s="65"/>
    </row>
    <row r="141" spans="1:35" ht="15">
      <c r="A141" s="43" t="s">
        <v>781</v>
      </c>
      <c r="B141" s="44" t="s">
        <v>745</v>
      </c>
      <c r="C141" s="44" t="s">
        <v>489</v>
      </c>
      <c r="D141" s="45" t="s">
        <v>507</v>
      </c>
      <c r="E141" s="46"/>
      <c r="F141" s="46" t="s">
        <v>533</v>
      </c>
      <c r="G141" s="46"/>
      <c r="H141" s="46"/>
      <c r="I141" s="43">
        <v>0</v>
      </c>
      <c r="J141" s="43">
        <v>0</v>
      </c>
      <c r="K141" s="43">
        <v>540</v>
      </c>
      <c r="L141" s="43">
        <v>540</v>
      </c>
      <c r="O141" s="43" t="s">
        <v>782</v>
      </c>
      <c r="P141" s="44" t="s">
        <v>759</v>
      </c>
      <c r="Q141" s="44" t="s">
        <v>647</v>
      </c>
      <c r="R141" s="45" t="s">
        <v>534</v>
      </c>
      <c r="S141" s="46" t="s">
        <v>593</v>
      </c>
      <c r="T141" s="46" t="s">
        <v>584</v>
      </c>
      <c r="U141" s="46"/>
      <c r="V141" s="46"/>
      <c r="W141" s="43">
        <v>12</v>
      </c>
      <c r="X141" s="43">
        <v>0</v>
      </c>
      <c r="Y141" s="43">
        <v>0</v>
      </c>
      <c r="Z141" s="43">
        <v>12</v>
      </c>
      <c r="AD141" s="62"/>
      <c r="AE141" s="62"/>
      <c r="AF141" s="63"/>
      <c r="AG141" s="64"/>
      <c r="AH141" s="64"/>
      <c r="AI141" s="65"/>
    </row>
    <row r="142" spans="1:35" ht="15">
      <c r="A142" s="43" t="s">
        <v>781</v>
      </c>
      <c r="B142" s="44" t="s">
        <v>745</v>
      </c>
      <c r="C142" s="44" t="s">
        <v>489</v>
      </c>
      <c r="D142" s="45" t="s">
        <v>508</v>
      </c>
      <c r="E142" s="46"/>
      <c r="F142" s="46"/>
      <c r="G142" s="46"/>
      <c r="H142" s="46"/>
      <c r="I142" s="43">
        <v>0</v>
      </c>
      <c r="J142" s="43">
        <v>0</v>
      </c>
      <c r="K142" s="43">
        <v>540</v>
      </c>
      <c r="L142" s="43">
        <v>540</v>
      </c>
      <c r="O142" s="43" t="s">
        <v>782</v>
      </c>
      <c r="P142" s="44" t="s">
        <v>759</v>
      </c>
      <c r="Q142" s="44" t="s">
        <v>647</v>
      </c>
      <c r="R142" s="45" t="s">
        <v>512</v>
      </c>
      <c r="S142" s="46"/>
      <c r="T142" s="46"/>
      <c r="U142" s="46"/>
      <c r="V142" s="46"/>
      <c r="W142" s="43">
        <v>0</v>
      </c>
      <c r="X142" s="43">
        <v>0</v>
      </c>
      <c r="Y142" s="43">
        <v>540</v>
      </c>
      <c r="Z142" s="43">
        <v>540</v>
      </c>
      <c r="AD142" s="62"/>
      <c r="AE142" s="62"/>
      <c r="AF142" s="63"/>
    </row>
    <row r="143" spans="1:35" ht="15">
      <c r="A143" s="43" t="s">
        <v>781</v>
      </c>
      <c r="B143" s="44" t="s">
        <v>745</v>
      </c>
      <c r="C143" s="44" t="s">
        <v>489</v>
      </c>
      <c r="D143" s="45" t="s">
        <v>534</v>
      </c>
      <c r="E143" s="46"/>
      <c r="F143" s="46"/>
      <c r="G143" s="46"/>
      <c r="H143" s="46"/>
      <c r="I143" s="43">
        <v>0</v>
      </c>
      <c r="J143" s="43">
        <v>0</v>
      </c>
      <c r="K143" s="43">
        <v>540</v>
      </c>
      <c r="L143" s="43">
        <v>540</v>
      </c>
      <c r="O143" s="43" t="s">
        <v>782</v>
      </c>
      <c r="P143" s="44" t="s">
        <v>759</v>
      </c>
      <c r="Q143" s="44" t="s">
        <v>647</v>
      </c>
      <c r="R143" s="45" t="s">
        <v>515</v>
      </c>
      <c r="S143" s="46" t="s">
        <v>654</v>
      </c>
      <c r="T143" s="46" t="s">
        <v>653</v>
      </c>
      <c r="U143" s="46"/>
      <c r="V143" s="46"/>
      <c r="W143" s="43">
        <v>11</v>
      </c>
      <c r="X143" s="43">
        <v>0</v>
      </c>
      <c r="Y143" s="43">
        <v>0</v>
      </c>
      <c r="Z143" s="43">
        <v>11</v>
      </c>
      <c r="AD143" s="62"/>
      <c r="AE143" s="62"/>
      <c r="AF143" s="63"/>
      <c r="AG143" s="64"/>
      <c r="AH143" s="64"/>
      <c r="AI143" s="65"/>
    </row>
    <row r="144" spans="1:35" ht="15">
      <c r="A144" s="43" t="s">
        <v>781</v>
      </c>
      <c r="B144" s="44" t="s">
        <v>745</v>
      </c>
      <c r="C144" s="44" t="s">
        <v>489</v>
      </c>
      <c r="D144" s="45" t="s">
        <v>535</v>
      </c>
      <c r="E144" s="46" t="s">
        <v>570</v>
      </c>
      <c r="F144" s="46"/>
      <c r="G144" s="46"/>
      <c r="H144" s="46"/>
      <c r="I144" s="43">
        <v>133</v>
      </c>
      <c r="J144" s="43">
        <v>0</v>
      </c>
      <c r="K144" s="43">
        <v>407</v>
      </c>
      <c r="L144" s="43">
        <v>540</v>
      </c>
      <c r="O144" s="43" t="s">
        <v>782</v>
      </c>
      <c r="P144" s="44" t="s">
        <v>759</v>
      </c>
      <c r="Q144" s="44" t="s">
        <v>647</v>
      </c>
      <c r="R144" s="45" t="s">
        <v>518</v>
      </c>
      <c r="S144" s="46" t="s">
        <v>687</v>
      </c>
      <c r="T144" s="46"/>
      <c r="U144" s="46"/>
      <c r="V144" s="46"/>
      <c r="W144" s="43">
        <v>0</v>
      </c>
      <c r="X144" s="43">
        <v>0</v>
      </c>
      <c r="Y144" s="43">
        <v>540</v>
      </c>
      <c r="Z144" s="43">
        <v>540</v>
      </c>
      <c r="AD144" s="62"/>
      <c r="AE144" s="62"/>
      <c r="AF144" s="63"/>
      <c r="AI144" s="65"/>
    </row>
    <row r="145" spans="1:35" ht="15">
      <c r="A145" s="43" t="s">
        <v>781</v>
      </c>
      <c r="B145" s="44" t="s">
        <v>745</v>
      </c>
      <c r="C145" s="44" t="s">
        <v>489</v>
      </c>
      <c r="D145" s="45" t="s">
        <v>509</v>
      </c>
      <c r="E145" s="46" t="s">
        <v>571</v>
      </c>
      <c r="F145" s="46" t="s">
        <v>542</v>
      </c>
      <c r="G145" s="46"/>
      <c r="H145" s="46"/>
      <c r="I145" s="43">
        <v>64</v>
      </c>
      <c r="J145" s="43">
        <v>0</v>
      </c>
      <c r="K145" s="43">
        <v>0</v>
      </c>
      <c r="L145" s="43">
        <v>64</v>
      </c>
      <c r="O145" s="43" t="s">
        <v>783</v>
      </c>
      <c r="P145" s="44" t="s">
        <v>760</v>
      </c>
      <c r="Q145" s="44" t="s">
        <v>647</v>
      </c>
      <c r="R145" s="45" t="s">
        <v>491</v>
      </c>
      <c r="S145" s="46" t="s">
        <v>679</v>
      </c>
      <c r="T145" s="46" t="s">
        <v>584</v>
      </c>
      <c r="U145" s="46"/>
      <c r="V145" s="46"/>
      <c r="W145" s="43">
        <v>19</v>
      </c>
      <c r="X145" s="43">
        <v>0</v>
      </c>
      <c r="Y145" s="43">
        <v>0</v>
      </c>
      <c r="Z145" s="43">
        <v>19</v>
      </c>
      <c r="AD145" s="62"/>
      <c r="AE145" s="62"/>
      <c r="AF145" s="63"/>
      <c r="AG145" s="64"/>
      <c r="AH145" s="64"/>
      <c r="AI145" s="65"/>
    </row>
    <row r="146" spans="1:35" ht="15">
      <c r="A146" s="43" t="s">
        <v>781</v>
      </c>
      <c r="B146" s="44" t="s">
        <v>745</v>
      </c>
      <c r="C146" s="44" t="s">
        <v>489</v>
      </c>
      <c r="D146" s="45" t="s">
        <v>510</v>
      </c>
      <c r="E146" s="46" t="s">
        <v>544</v>
      </c>
      <c r="F146" s="46"/>
      <c r="G146" s="46"/>
      <c r="H146" s="46"/>
      <c r="I146" s="43">
        <v>86</v>
      </c>
      <c r="J146" s="43">
        <v>0</v>
      </c>
      <c r="K146" s="43">
        <v>454</v>
      </c>
      <c r="L146" s="43">
        <v>540</v>
      </c>
      <c r="O146" s="43" t="s">
        <v>783</v>
      </c>
      <c r="P146" s="44" t="s">
        <v>760</v>
      </c>
      <c r="Q146" s="44" t="s">
        <v>647</v>
      </c>
      <c r="R146" s="45" t="s">
        <v>493</v>
      </c>
      <c r="S146" s="46" t="s">
        <v>688</v>
      </c>
      <c r="T146" s="46"/>
      <c r="U146" s="46"/>
      <c r="V146" s="46"/>
      <c r="W146" s="43">
        <v>114</v>
      </c>
      <c r="X146" s="43">
        <v>0</v>
      </c>
      <c r="Y146" s="43">
        <v>426</v>
      </c>
      <c r="Z146" s="43">
        <v>540</v>
      </c>
      <c r="AD146" s="62"/>
      <c r="AE146" s="62"/>
      <c r="AF146" s="63"/>
      <c r="AG146" s="64"/>
      <c r="AH146" s="64"/>
      <c r="AI146" s="65"/>
    </row>
    <row r="147" spans="1:35" ht="15">
      <c r="A147" s="43" t="s">
        <v>781</v>
      </c>
      <c r="B147" s="44" t="s">
        <v>745</v>
      </c>
      <c r="C147" s="44" t="s">
        <v>489</v>
      </c>
      <c r="D147" s="45" t="s">
        <v>538</v>
      </c>
      <c r="E147" s="46" t="s">
        <v>572</v>
      </c>
      <c r="F147" s="46" t="s">
        <v>539</v>
      </c>
      <c r="G147" s="46"/>
      <c r="H147" s="46"/>
      <c r="I147" s="43">
        <v>93</v>
      </c>
      <c r="J147" s="43">
        <v>0</v>
      </c>
      <c r="K147" s="43">
        <v>0</v>
      </c>
      <c r="L147" s="43">
        <v>93</v>
      </c>
      <c r="O147" s="43" t="s">
        <v>783</v>
      </c>
      <c r="P147" s="44" t="s">
        <v>760</v>
      </c>
      <c r="Q147" s="44" t="s">
        <v>647</v>
      </c>
      <c r="R147" s="45" t="s">
        <v>494</v>
      </c>
      <c r="S147" s="46" t="s">
        <v>689</v>
      </c>
      <c r="T147" s="46" t="s">
        <v>588</v>
      </c>
      <c r="U147" s="46"/>
      <c r="V147" s="46"/>
      <c r="W147" s="43">
        <v>28</v>
      </c>
      <c r="X147" s="43">
        <v>0</v>
      </c>
      <c r="Y147" s="43">
        <v>0</v>
      </c>
      <c r="Z147" s="43">
        <v>28</v>
      </c>
      <c r="AD147" s="62"/>
      <c r="AE147" s="62"/>
      <c r="AF147" s="63"/>
      <c r="AG147" s="64"/>
      <c r="AH147" s="64"/>
      <c r="AI147" s="65"/>
    </row>
    <row r="148" spans="1:35" ht="15">
      <c r="A148" s="43" t="s">
        <v>781</v>
      </c>
      <c r="B148" s="44" t="s">
        <v>745</v>
      </c>
      <c r="C148" s="44" t="s">
        <v>489</v>
      </c>
      <c r="D148" s="45" t="s">
        <v>540</v>
      </c>
      <c r="E148" s="46" t="s">
        <v>541</v>
      </c>
      <c r="F148" s="46" t="s">
        <v>542</v>
      </c>
      <c r="G148" s="46"/>
      <c r="H148" s="46"/>
      <c r="I148" s="43">
        <v>76</v>
      </c>
      <c r="J148" s="43">
        <v>0</v>
      </c>
      <c r="K148" s="43">
        <v>0</v>
      </c>
      <c r="L148" s="43">
        <v>76</v>
      </c>
      <c r="O148" s="43" t="s">
        <v>783</v>
      </c>
      <c r="P148" s="44" t="s">
        <v>760</v>
      </c>
      <c r="Q148" s="44" t="s">
        <v>647</v>
      </c>
      <c r="R148" s="45" t="s">
        <v>497</v>
      </c>
      <c r="S148" s="46" t="s">
        <v>649</v>
      </c>
      <c r="T148" s="46" t="s">
        <v>584</v>
      </c>
      <c r="U148" s="46"/>
      <c r="V148" s="46"/>
      <c r="W148" s="43">
        <v>15</v>
      </c>
      <c r="X148" s="43">
        <v>0</v>
      </c>
      <c r="Y148" s="43">
        <v>0</v>
      </c>
      <c r="Z148" s="43">
        <v>15</v>
      </c>
      <c r="AD148" s="62"/>
      <c r="AE148" s="62"/>
      <c r="AF148" s="63"/>
    </row>
    <row r="149" spans="1:35" ht="15">
      <c r="A149" s="43" t="s">
        <v>781</v>
      </c>
      <c r="B149" s="44" t="s">
        <v>745</v>
      </c>
      <c r="C149" s="44" t="s">
        <v>489</v>
      </c>
      <c r="D149" s="45" t="s">
        <v>543</v>
      </c>
      <c r="E149" s="46" t="s">
        <v>573</v>
      </c>
      <c r="F149" s="46"/>
      <c r="G149" s="46"/>
      <c r="H149" s="46"/>
      <c r="I149" s="43">
        <v>82</v>
      </c>
      <c r="J149" s="43">
        <v>0</v>
      </c>
      <c r="K149" s="43">
        <v>458</v>
      </c>
      <c r="L149" s="43">
        <v>540</v>
      </c>
      <c r="O149" s="43" t="s">
        <v>783</v>
      </c>
      <c r="P149" s="44" t="s">
        <v>760</v>
      </c>
      <c r="Q149" s="44" t="s">
        <v>647</v>
      </c>
      <c r="R149" s="45" t="s">
        <v>498</v>
      </c>
      <c r="S149" s="46" t="s">
        <v>514</v>
      </c>
      <c r="T149" s="46" t="s">
        <v>690</v>
      </c>
      <c r="U149" s="46"/>
      <c r="V149" s="46"/>
      <c r="W149" s="43">
        <v>14</v>
      </c>
      <c r="X149" s="43">
        <v>6</v>
      </c>
      <c r="Y149" s="43">
        <v>0</v>
      </c>
      <c r="Z149" s="43">
        <v>20</v>
      </c>
      <c r="AD149" s="62"/>
      <c r="AE149" s="62"/>
      <c r="AF149" s="63"/>
    </row>
    <row r="150" spans="1:35" ht="15">
      <c r="A150" s="43" t="s">
        <v>781</v>
      </c>
      <c r="B150" s="44" t="s">
        <v>745</v>
      </c>
      <c r="C150" s="44" t="s">
        <v>489</v>
      </c>
      <c r="D150" s="45" t="s">
        <v>512</v>
      </c>
      <c r="E150" s="46"/>
      <c r="F150" s="46"/>
      <c r="G150" s="46"/>
      <c r="H150" s="46"/>
      <c r="I150" s="43">
        <v>0</v>
      </c>
      <c r="J150" s="43">
        <v>0</v>
      </c>
      <c r="K150" s="43">
        <v>540</v>
      </c>
      <c r="L150" s="43">
        <v>540</v>
      </c>
      <c r="O150" s="43" t="s">
        <v>783</v>
      </c>
      <c r="P150" s="44" t="s">
        <v>760</v>
      </c>
      <c r="Q150" s="44" t="s">
        <v>647</v>
      </c>
      <c r="R150" s="45" t="s">
        <v>499</v>
      </c>
      <c r="S150" s="46" t="s">
        <v>593</v>
      </c>
      <c r="T150" s="46" t="s">
        <v>584</v>
      </c>
      <c r="U150" s="46"/>
      <c r="V150" s="46"/>
      <c r="W150" s="43">
        <v>12</v>
      </c>
      <c r="X150" s="43">
        <v>0</v>
      </c>
      <c r="Y150" s="43">
        <v>0</v>
      </c>
      <c r="Z150" s="43">
        <v>12</v>
      </c>
      <c r="AD150" s="62"/>
      <c r="AE150" s="62"/>
      <c r="AF150" s="63"/>
      <c r="AG150" s="64"/>
      <c r="AH150" s="64"/>
      <c r="AI150" s="65"/>
    </row>
    <row r="151" spans="1:35" ht="15">
      <c r="A151" s="43" t="s">
        <v>781</v>
      </c>
      <c r="B151" s="44" t="s">
        <v>745</v>
      </c>
      <c r="C151" s="44" t="s">
        <v>489</v>
      </c>
      <c r="D151" s="45" t="s">
        <v>513</v>
      </c>
      <c r="E151" s="46"/>
      <c r="F151" s="46"/>
      <c r="G151" s="46"/>
      <c r="H151" s="46"/>
      <c r="I151" s="43">
        <v>0</v>
      </c>
      <c r="J151" s="43">
        <v>0</v>
      </c>
      <c r="K151" s="43">
        <v>540</v>
      </c>
      <c r="L151" s="43">
        <v>540</v>
      </c>
      <c r="O151" s="43" t="s">
        <v>783</v>
      </c>
      <c r="P151" s="44" t="s">
        <v>760</v>
      </c>
      <c r="Q151" s="44" t="s">
        <v>647</v>
      </c>
      <c r="R151" s="45" t="s">
        <v>506</v>
      </c>
      <c r="S151" s="46"/>
      <c r="T151" s="46"/>
      <c r="U151" s="46"/>
      <c r="V151" s="46"/>
      <c r="W151" s="43">
        <v>0</v>
      </c>
      <c r="X151" s="43">
        <v>0</v>
      </c>
      <c r="Y151" s="43">
        <v>540</v>
      </c>
      <c r="Z151" s="43">
        <v>540</v>
      </c>
      <c r="AD151" s="62"/>
      <c r="AE151" s="62"/>
      <c r="AF151" s="63"/>
      <c r="AG151" s="64"/>
      <c r="AH151" s="64"/>
      <c r="AI151" s="65"/>
    </row>
    <row r="152" spans="1:35" ht="15">
      <c r="A152" s="43" t="s">
        <v>781</v>
      </c>
      <c r="B152" s="44" t="s">
        <v>745</v>
      </c>
      <c r="C152" s="44" t="s">
        <v>489</v>
      </c>
      <c r="D152" s="45" t="s">
        <v>515</v>
      </c>
      <c r="E152" s="46" t="s">
        <v>574</v>
      </c>
      <c r="F152" s="46"/>
      <c r="G152" s="46"/>
      <c r="H152" s="46"/>
      <c r="I152" s="43">
        <v>158</v>
      </c>
      <c r="J152" s="43">
        <v>0</v>
      </c>
      <c r="K152" s="43">
        <v>382</v>
      </c>
      <c r="L152" s="43">
        <v>540</v>
      </c>
      <c r="O152" s="43" t="s">
        <v>783</v>
      </c>
      <c r="P152" s="44" t="s">
        <v>760</v>
      </c>
      <c r="Q152" s="44" t="s">
        <v>647</v>
      </c>
      <c r="R152" s="45" t="s">
        <v>507</v>
      </c>
      <c r="S152" s="46" t="s">
        <v>679</v>
      </c>
      <c r="T152" s="46" t="s">
        <v>588</v>
      </c>
      <c r="U152" s="46"/>
      <c r="V152" s="46"/>
      <c r="W152" s="43">
        <v>19</v>
      </c>
      <c r="X152" s="43">
        <v>0</v>
      </c>
      <c r="Y152" s="43">
        <v>0</v>
      </c>
      <c r="Z152" s="43">
        <v>19</v>
      </c>
      <c r="AD152" s="62"/>
      <c r="AE152" s="62"/>
      <c r="AF152" s="63"/>
      <c r="AG152" s="64"/>
      <c r="AH152" s="64"/>
      <c r="AI152" s="65"/>
    </row>
    <row r="153" spans="1:35" ht="15">
      <c r="A153" s="43" t="s">
        <v>781</v>
      </c>
      <c r="B153" s="44" t="s">
        <v>745</v>
      </c>
      <c r="C153" s="44" t="s">
        <v>489</v>
      </c>
      <c r="D153" s="45" t="s">
        <v>517</v>
      </c>
      <c r="E153" s="46" t="s">
        <v>525</v>
      </c>
      <c r="F153" s="46"/>
      <c r="G153" s="46"/>
      <c r="H153" s="46"/>
      <c r="I153" s="43">
        <v>40</v>
      </c>
      <c r="J153" s="43">
        <v>0</v>
      </c>
      <c r="K153" s="43">
        <v>500</v>
      </c>
      <c r="L153" s="43">
        <v>540</v>
      </c>
      <c r="O153" s="43" t="s">
        <v>783</v>
      </c>
      <c r="P153" s="44" t="s">
        <v>760</v>
      </c>
      <c r="Q153" s="44" t="s">
        <v>647</v>
      </c>
      <c r="R153" s="45" t="s">
        <v>508</v>
      </c>
      <c r="S153" s="46"/>
      <c r="T153" s="46"/>
      <c r="U153" s="46"/>
      <c r="V153" s="46"/>
      <c r="W153" s="43">
        <v>0</v>
      </c>
      <c r="X153" s="43">
        <v>0</v>
      </c>
      <c r="Y153" s="43">
        <v>540</v>
      </c>
      <c r="Z153" s="43">
        <v>540</v>
      </c>
      <c r="AD153" s="62"/>
      <c r="AE153" s="62"/>
      <c r="AF153" s="63"/>
      <c r="AG153" s="64"/>
      <c r="AH153" s="64"/>
      <c r="AI153" s="65"/>
    </row>
    <row r="154" spans="1:35" ht="15">
      <c r="A154" s="43" t="s">
        <v>781</v>
      </c>
      <c r="B154" s="44" t="s">
        <v>745</v>
      </c>
      <c r="C154" s="44" t="s">
        <v>489</v>
      </c>
      <c r="D154" s="45" t="s">
        <v>518</v>
      </c>
      <c r="E154" s="46" t="s">
        <v>549</v>
      </c>
      <c r="F154" s="46"/>
      <c r="G154" s="46"/>
      <c r="H154" s="46"/>
      <c r="I154" s="43">
        <v>66</v>
      </c>
      <c r="J154" s="43">
        <v>0</v>
      </c>
      <c r="K154" s="43">
        <v>474</v>
      </c>
      <c r="L154" s="43">
        <v>540</v>
      </c>
      <c r="O154" s="43" t="s">
        <v>783</v>
      </c>
      <c r="P154" s="44" t="s">
        <v>760</v>
      </c>
      <c r="Q154" s="44" t="s">
        <v>647</v>
      </c>
      <c r="R154" s="45" t="s">
        <v>534</v>
      </c>
      <c r="S154" s="46"/>
      <c r="T154" s="46"/>
      <c r="U154" s="46"/>
      <c r="V154" s="46"/>
      <c r="W154" s="43">
        <v>0</v>
      </c>
      <c r="X154" s="43">
        <v>0</v>
      </c>
      <c r="Y154" s="43">
        <v>540</v>
      </c>
      <c r="Z154" s="43">
        <v>540</v>
      </c>
      <c r="AD154" s="62"/>
      <c r="AE154" s="62"/>
      <c r="AF154" s="63"/>
    </row>
    <row r="155" spans="1:35" ht="15">
      <c r="A155" s="43" t="s">
        <v>784</v>
      </c>
      <c r="B155" s="44" t="s">
        <v>744</v>
      </c>
      <c r="C155" s="44" t="s">
        <v>489</v>
      </c>
      <c r="D155" s="45" t="s">
        <v>490</v>
      </c>
      <c r="E155" s="46"/>
      <c r="F155" s="46"/>
      <c r="G155" s="46"/>
      <c r="H155" s="46"/>
      <c r="I155" s="43">
        <v>0</v>
      </c>
      <c r="J155" s="43">
        <v>0</v>
      </c>
      <c r="K155" s="43">
        <v>540</v>
      </c>
      <c r="L155" s="43">
        <v>540</v>
      </c>
      <c r="O155" s="43" t="s">
        <v>783</v>
      </c>
      <c r="P155" s="44" t="s">
        <v>760</v>
      </c>
      <c r="Q155" s="44" t="s">
        <v>647</v>
      </c>
      <c r="R155" s="45" t="s">
        <v>535</v>
      </c>
      <c r="S155" s="46"/>
      <c r="T155" s="46"/>
      <c r="U155" s="46"/>
      <c r="V155" s="46"/>
      <c r="W155" s="43">
        <v>0</v>
      </c>
      <c r="X155" s="43">
        <v>0</v>
      </c>
      <c r="Y155" s="43">
        <v>540</v>
      </c>
      <c r="Z155" s="43">
        <v>540</v>
      </c>
      <c r="AD155" s="62"/>
      <c r="AE155" s="62"/>
      <c r="AF155" s="63"/>
    </row>
    <row r="156" spans="1:35" ht="15">
      <c r="A156" s="43" t="s">
        <v>784</v>
      </c>
      <c r="B156" s="44" t="s">
        <v>744</v>
      </c>
      <c r="C156" s="44" t="s">
        <v>489</v>
      </c>
      <c r="D156" s="45" t="s">
        <v>491</v>
      </c>
      <c r="E156" s="46"/>
      <c r="F156" s="46"/>
      <c r="G156" s="46"/>
      <c r="H156" s="46"/>
      <c r="I156" s="43">
        <v>0</v>
      </c>
      <c r="J156" s="43">
        <v>0</v>
      </c>
      <c r="K156" s="43">
        <v>540</v>
      </c>
      <c r="L156" s="43">
        <v>540</v>
      </c>
      <c r="O156" s="43" t="s">
        <v>783</v>
      </c>
      <c r="P156" s="44" t="s">
        <v>760</v>
      </c>
      <c r="Q156" s="44" t="s">
        <v>647</v>
      </c>
      <c r="R156" s="45" t="s">
        <v>510</v>
      </c>
      <c r="S156" s="46" t="s">
        <v>511</v>
      </c>
      <c r="T156" s="46" t="s">
        <v>584</v>
      </c>
      <c r="U156" s="46"/>
      <c r="V156" s="46"/>
      <c r="W156" s="43">
        <v>13</v>
      </c>
      <c r="X156" s="43">
        <v>0</v>
      </c>
      <c r="Y156" s="43">
        <v>0</v>
      </c>
      <c r="Z156" s="43">
        <v>13</v>
      </c>
      <c r="AD156" s="62"/>
      <c r="AE156" s="62"/>
      <c r="AF156" s="63"/>
      <c r="AG156" s="64"/>
      <c r="AH156" s="64"/>
      <c r="AI156" s="65"/>
    </row>
    <row r="157" spans="1:35" ht="15">
      <c r="A157" s="43" t="s">
        <v>784</v>
      </c>
      <c r="B157" s="44" t="s">
        <v>744</v>
      </c>
      <c r="C157" s="44" t="s">
        <v>489</v>
      </c>
      <c r="D157" s="45" t="s">
        <v>493</v>
      </c>
      <c r="E157" s="46" t="s">
        <v>575</v>
      </c>
      <c r="F157" s="46" t="s">
        <v>576</v>
      </c>
      <c r="G157" s="46"/>
      <c r="H157" s="46"/>
      <c r="I157" s="43">
        <v>254</v>
      </c>
      <c r="J157" s="43">
        <v>0</v>
      </c>
      <c r="K157" s="43">
        <v>0</v>
      </c>
      <c r="L157" s="43">
        <v>254</v>
      </c>
      <c r="O157" s="43" t="s">
        <v>783</v>
      </c>
      <c r="P157" s="44" t="s">
        <v>760</v>
      </c>
      <c r="Q157" s="44" t="s">
        <v>647</v>
      </c>
      <c r="R157" s="45" t="s">
        <v>538</v>
      </c>
      <c r="S157" s="46"/>
      <c r="T157" s="46"/>
      <c r="U157" s="46"/>
      <c r="V157" s="46"/>
      <c r="W157" s="43">
        <v>0</v>
      </c>
      <c r="X157" s="43">
        <v>0</v>
      </c>
      <c r="Y157" s="43">
        <v>540</v>
      </c>
      <c r="Z157" s="43">
        <v>540</v>
      </c>
      <c r="AD157" s="62"/>
      <c r="AE157" s="62"/>
      <c r="AF157" s="63"/>
      <c r="AG157" s="64"/>
      <c r="AH157" s="64"/>
      <c r="AI157" s="65"/>
    </row>
    <row r="158" spans="1:35" ht="15">
      <c r="A158" s="43" t="s">
        <v>784</v>
      </c>
      <c r="B158" s="44" t="s">
        <v>744</v>
      </c>
      <c r="C158" s="44" t="s">
        <v>489</v>
      </c>
      <c r="D158" s="45" t="s">
        <v>496</v>
      </c>
      <c r="E158" s="46"/>
      <c r="F158" s="46"/>
      <c r="G158" s="46"/>
      <c r="H158" s="46"/>
      <c r="I158" s="43">
        <v>0</v>
      </c>
      <c r="J158" s="43">
        <v>0</v>
      </c>
      <c r="K158" s="43">
        <v>540</v>
      </c>
      <c r="L158" s="43">
        <v>540</v>
      </c>
      <c r="O158" s="43" t="s">
        <v>783</v>
      </c>
      <c r="P158" s="44" t="s">
        <v>760</v>
      </c>
      <c r="Q158" s="44" t="s">
        <v>647</v>
      </c>
      <c r="R158" s="45" t="s">
        <v>540</v>
      </c>
      <c r="S158" s="46"/>
      <c r="T158" s="46"/>
      <c r="U158" s="46"/>
      <c r="V158" s="46"/>
      <c r="W158" s="43">
        <v>0</v>
      </c>
      <c r="X158" s="43">
        <v>0</v>
      </c>
      <c r="Y158" s="43">
        <v>540</v>
      </c>
      <c r="Z158" s="43">
        <v>540</v>
      </c>
      <c r="AD158" s="62"/>
      <c r="AE158" s="62"/>
      <c r="AF158" s="63"/>
      <c r="AG158" s="64"/>
      <c r="AH158" s="64"/>
      <c r="AI158" s="65"/>
    </row>
    <row r="159" spans="1:35" ht="15">
      <c r="A159" s="43" t="s">
        <v>784</v>
      </c>
      <c r="B159" s="44" t="s">
        <v>744</v>
      </c>
      <c r="C159" s="44" t="s">
        <v>489</v>
      </c>
      <c r="D159" s="45" t="s">
        <v>497</v>
      </c>
      <c r="E159" s="46"/>
      <c r="F159" s="46"/>
      <c r="G159" s="46"/>
      <c r="H159" s="46"/>
      <c r="I159" s="43">
        <v>0</v>
      </c>
      <c r="J159" s="43">
        <v>0</v>
      </c>
      <c r="K159" s="43">
        <v>540</v>
      </c>
      <c r="L159" s="43">
        <v>540</v>
      </c>
      <c r="O159" s="43" t="s">
        <v>783</v>
      </c>
      <c r="P159" s="44" t="s">
        <v>760</v>
      </c>
      <c r="Q159" s="44" t="s">
        <v>647</v>
      </c>
      <c r="R159" s="45" t="s">
        <v>543</v>
      </c>
      <c r="S159" s="46"/>
      <c r="T159" s="46"/>
      <c r="U159" s="46"/>
      <c r="V159" s="46"/>
      <c r="W159" s="43">
        <v>0</v>
      </c>
      <c r="X159" s="43">
        <v>0</v>
      </c>
      <c r="Y159" s="43">
        <v>540</v>
      </c>
      <c r="Z159" s="43">
        <v>540</v>
      </c>
      <c r="AD159" s="62"/>
      <c r="AE159" s="62"/>
      <c r="AF159" s="63"/>
      <c r="AG159" s="64"/>
      <c r="AH159" s="64"/>
      <c r="AI159" s="65"/>
    </row>
    <row r="160" spans="1:35" ht="15">
      <c r="A160" s="43" t="s">
        <v>784</v>
      </c>
      <c r="B160" s="44" t="s">
        <v>744</v>
      </c>
      <c r="C160" s="44" t="s">
        <v>489</v>
      </c>
      <c r="D160" s="45" t="s">
        <v>506</v>
      </c>
      <c r="E160" s="46"/>
      <c r="F160" s="46"/>
      <c r="G160" s="46"/>
      <c r="H160" s="46"/>
      <c r="I160" s="43">
        <v>0</v>
      </c>
      <c r="J160" s="43">
        <v>0</v>
      </c>
      <c r="K160" s="43">
        <v>540</v>
      </c>
      <c r="L160" s="43">
        <v>540</v>
      </c>
      <c r="O160" s="43" t="s">
        <v>783</v>
      </c>
      <c r="P160" s="44" t="s">
        <v>760</v>
      </c>
      <c r="Q160" s="44" t="s">
        <v>647</v>
      </c>
      <c r="R160" s="45" t="s">
        <v>512</v>
      </c>
      <c r="S160" s="46"/>
      <c r="T160" s="46"/>
      <c r="U160" s="46"/>
      <c r="V160" s="46"/>
      <c r="W160" s="43">
        <v>0</v>
      </c>
      <c r="X160" s="43">
        <v>0</v>
      </c>
      <c r="Y160" s="43">
        <v>540</v>
      </c>
      <c r="Z160" s="43">
        <v>540</v>
      </c>
      <c r="AD160" s="62"/>
      <c r="AE160" s="62"/>
      <c r="AF160" s="63"/>
      <c r="AG160" s="64"/>
      <c r="AH160" s="64"/>
      <c r="AI160" s="65"/>
    </row>
    <row r="161" spans="1:35" ht="15">
      <c r="A161" s="43" t="s">
        <v>784</v>
      </c>
      <c r="B161" s="44" t="s">
        <v>744</v>
      </c>
      <c r="C161" s="44" t="s">
        <v>489</v>
      </c>
      <c r="D161" s="45" t="s">
        <v>507</v>
      </c>
      <c r="E161" s="46" t="s">
        <v>504</v>
      </c>
      <c r="F161" s="46"/>
      <c r="G161" s="46"/>
      <c r="H161" s="46"/>
      <c r="I161" s="43">
        <v>0</v>
      </c>
      <c r="J161" s="43">
        <v>0</v>
      </c>
      <c r="K161" s="43">
        <v>540</v>
      </c>
      <c r="L161" s="43">
        <v>540</v>
      </c>
      <c r="O161" s="43" t="s">
        <v>783</v>
      </c>
      <c r="P161" s="44" t="s">
        <v>760</v>
      </c>
      <c r="Q161" s="44" t="s">
        <v>647</v>
      </c>
      <c r="R161" s="45" t="s">
        <v>515</v>
      </c>
      <c r="S161" s="46"/>
      <c r="T161" s="46"/>
      <c r="U161" s="46"/>
      <c r="V161" s="46"/>
      <c r="W161" s="43">
        <v>0</v>
      </c>
      <c r="X161" s="43">
        <v>0</v>
      </c>
      <c r="Y161" s="43">
        <v>540</v>
      </c>
      <c r="Z161" s="43">
        <v>540</v>
      </c>
      <c r="AD161" s="62"/>
      <c r="AE161" s="62"/>
      <c r="AF161" s="63"/>
      <c r="AG161" s="64"/>
      <c r="AH161" s="64"/>
      <c r="AI161" s="65"/>
    </row>
    <row r="162" spans="1:35" ht="15">
      <c r="A162" s="43" t="s">
        <v>784</v>
      </c>
      <c r="B162" s="44" t="s">
        <v>744</v>
      </c>
      <c r="C162" s="44" t="s">
        <v>489</v>
      </c>
      <c r="D162" s="45" t="s">
        <v>509</v>
      </c>
      <c r="E162" s="46"/>
      <c r="F162" s="46"/>
      <c r="G162" s="46"/>
      <c r="H162" s="46"/>
      <c r="I162" s="43">
        <v>0</v>
      </c>
      <c r="J162" s="43">
        <v>0</v>
      </c>
      <c r="K162" s="43">
        <v>540</v>
      </c>
      <c r="L162" s="43">
        <v>540</v>
      </c>
      <c r="O162" s="43" t="s">
        <v>783</v>
      </c>
      <c r="P162" s="44" t="s">
        <v>760</v>
      </c>
      <c r="Q162" s="44" t="s">
        <v>647</v>
      </c>
      <c r="R162" s="45" t="s">
        <v>517</v>
      </c>
      <c r="S162" s="46"/>
      <c r="T162" s="46"/>
      <c r="U162" s="46"/>
      <c r="V162" s="46"/>
      <c r="W162" s="43">
        <v>0</v>
      </c>
      <c r="X162" s="43">
        <v>0</v>
      </c>
      <c r="Y162" s="43">
        <v>540</v>
      </c>
      <c r="Z162" s="43">
        <v>540</v>
      </c>
      <c r="AD162" s="62"/>
      <c r="AE162" s="62"/>
      <c r="AF162" s="63"/>
    </row>
    <row r="163" spans="1:35" ht="15">
      <c r="A163" s="43" t="s">
        <v>784</v>
      </c>
      <c r="B163" s="44" t="s">
        <v>744</v>
      </c>
      <c r="C163" s="44" t="s">
        <v>489</v>
      </c>
      <c r="D163" s="45" t="s">
        <v>510</v>
      </c>
      <c r="E163" s="46"/>
      <c r="F163" s="46"/>
      <c r="G163" s="46"/>
      <c r="H163" s="46"/>
      <c r="I163" s="43">
        <v>0</v>
      </c>
      <c r="J163" s="43">
        <v>0</v>
      </c>
      <c r="K163" s="43">
        <v>540</v>
      </c>
      <c r="L163" s="43">
        <v>540</v>
      </c>
      <c r="O163" s="43" t="s">
        <v>783</v>
      </c>
      <c r="P163" s="44" t="s">
        <v>760</v>
      </c>
      <c r="Q163" s="44" t="s">
        <v>647</v>
      </c>
      <c r="R163" s="45" t="s">
        <v>518</v>
      </c>
      <c r="S163" s="46"/>
      <c r="T163" s="46"/>
      <c r="U163" s="46"/>
      <c r="V163" s="46"/>
      <c r="W163" s="43">
        <v>0</v>
      </c>
      <c r="X163" s="43">
        <v>0</v>
      </c>
      <c r="Y163" s="43">
        <v>540</v>
      </c>
      <c r="Z163" s="43">
        <v>540</v>
      </c>
      <c r="AD163" s="62"/>
      <c r="AE163" s="62"/>
      <c r="AF163" s="63"/>
      <c r="AG163" s="64"/>
      <c r="AH163" s="64"/>
      <c r="AI163" s="65"/>
    </row>
    <row r="164" spans="1:35" ht="15">
      <c r="A164" s="43" t="s">
        <v>784</v>
      </c>
      <c r="B164" s="44" t="s">
        <v>744</v>
      </c>
      <c r="C164" s="44" t="s">
        <v>489</v>
      </c>
      <c r="D164" s="45" t="s">
        <v>512</v>
      </c>
      <c r="E164" s="46"/>
      <c r="F164" s="46"/>
      <c r="G164" s="46"/>
      <c r="H164" s="46"/>
      <c r="I164" s="43">
        <v>0</v>
      </c>
      <c r="J164" s="43">
        <v>0</v>
      </c>
      <c r="K164" s="43">
        <v>540</v>
      </c>
      <c r="L164" s="43">
        <v>540</v>
      </c>
      <c r="O164" s="43" t="s">
        <v>785</v>
      </c>
      <c r="P164" s="44" t="s">
        <v>761</v>
      </c>
      <c r="Q164" s="44" t="s">
        <v>647</v>
      </c>
      <c r="R164" s="45" t="s">
        <v>491</v>
      </c>
      <c r="S164" s="46" t="s">
        <v>662</v>
      </c>
      <c r="T164" s="46" t="s">
        <v>653</v>
      </c>
      <c r="U164" s="46"/>
      <c r="V164" s="46"/>
      <c r="W164" s="43">
        <v>21</v>
      </c>
      <c r="X164" s="43">
        <v>0</v>
      </c>
      <c r="Y164" s="43">
        <v>0</v>
      </c>
      <c r="Z164" s="43">
        <v>21</v>
      </c>
      <c r="AD164" s="62"/>
      <c r="AE164" s="62"/>
      <c r="AF164" s="63"/>
      <c r="AI164" s="65"/>
    </row>
    <row r="165" spans="1:35" ht="15">
      <c r="A165" s="43" t="s">
        <v>784</v>
      </c>
      <c r="B165" s="44" t="s">
        <v>744</v>
      </c>
      <c r="C165" s="44" t="s">
        <v>489</v>
      </c>
      <c r="D165" s="45" t="s">
        <v>513</v>
      </c>
      <c r="E165" s="46"/>
      <c r="F165" s="46"/>
      <c r="G165" s="46"/>
      <c r="H165" s="46"/>
      <c r="I165" s="43">
        <v>0</v>
      </c>
      <c r="J165" s="43">
        <v>0</v>
      </c>
      <c r="K165" s="43">
        <v>540</v>
      </c>
      <c r="L165" s="43">
        <v>540</v>
      </c>
      <c r="O165" s="43" t="s">
        <v>785</v>
      </c>
      <c r="P165" s="44" t="s">
        <v>761</v>
      </c>
      <c r="Q165" s="44" t="s">
        <v>647</v>
      </c>
      <c r="R165" s="45" t="s">
        <v>495</v>
      </c>
      <c r="S165" s="46" t="s">
        <v>691</v>
      </c>
      <c r="T165" s="46" t="s">
        <v>661</v>
      </c>
      <c r="U165" s="46"/>
      <c r="V165" s="46"/>
      <c r="W165" s="43">
        <v>52</v>
      </c>
      <c r="X165" s="43">
        <v>0</v>
      </c>
      <c r="Y165" s="43">
        <v>0</v>
      </c>
      <c r="Z165" s="43">
        <v>52</v>
      </c>
      <c r="AD165" s="62"/>
      <c r="AE165" s="62"/>
      <c r="AF165" s="63"/>
      <c r="AG165" s="64"/>
      <c r="AH165" s="64"/>
      <c r="AI165" s="65"/>
    </row>
    <row r="166" spans="1:35" ht="15">
      <c r="A166" s="43" t="s">
        <v>784</v>
      </c>
      <c r="B166" s="44" t="s">
        <v>744</v>
      </c>
      <c r="C166" s="44" t="s">
        <v>489</v>
      </c>
      <c r="D166" s="45" t="s">
        <v>518</v>
      </c>
      <c r="E166" s="46" t="s">
        <v>577</v>
      </c>
      <c r="F166" s="46"/>
      <c r="G166" s="46"/>
      <c r="H166" s="46"/>
      <c r="I166" s="43">
        <v>0</v>
      </c>
      <c r="J166" s="43">
        <v>0</v>
      </c>
      <c r="K166" s="43">
        <v>540</v>
      </c>
      <c r="L166" s="43">
        <v>540</v>
      </c>
      <c r="O166" s="43" t="s">
        <v>785</v>
      </c>
      <c r="P166" s="44" t="s">
        <v>761</v>
      </c>
      <c r="Q166" s="44" t="s">
        <v>647</v>
      </c>
      <c r="R166" s="45" t="s">
        <v>497</v>
      </c>
      <c r="S166" s="46" t="s">
        <v>649</v>
      </c>
      <c r="T166" s="46" t="s">
        <v>530</v>
      </c>
      <c r="U166" s="46"/>
      <c r="V166" s="46"/>
      <c r="W166" s="43">
        <v>15</v>
      </c>
      <c r="X166" s="43">
        <v>0</v>
      </c>
      <c r="Y166" s="43">
        <v>0</v>
      </c>
      <c r="Z166" s="43">
        <v>15</v>
      </c>
      <c r="AD166" s="62"/>
      <c r="AE166" s="62"/>
      <c r="AF166" s="63"/>
      <c r="AG166" s="64"/>
      <c r="AH166" s="64"/>
      <c r="AI166" s="65"/>
    </row>
    <row r="167" spans="1:35" ht="15">
      <c r="A167" s="43" t="s">
        <v>786</v>
      </c>
      <c r="B167" s="44" t="s">
        <v>741</v>
      </c>
      <c r="C167" s="44" t="s">
        <v>489</v>
      </c>
      <c r="D167" s="45" t="s">
        <v>490</v>
      </c>
      <c r="E167" s="46"/>
      <c r="F167" s="46"/>
      <c r="G167" s="46"/>
      <c r="H167" s="46"/>
      <c r="I167" s="43">
        <v>0</v>
      </c>
      <c r="J167" s="43">
        <v>0</v>
      </c>
      <c r="K167" s="43">
        <v>540</v>
      </c>
      <c r="L167" s="43">
        <v>540</v>
      </c>
      <c r="O167" s="43" t="s">
        <v>785</v>
      </c>
      <c r="P167" s="44" t="s">
        <v>761</v>
      </c>
      <c r="Q167" s="44" t="s">
        <v>647</v>
      </c>
      <c r="R167" s="45" t="s">
        <v>499</v>
      </c>
      <c r="S167" s="46" t="s">
        <v>592</v>
      </c>
      <c r="T167" s="46"/>
      <c r="U167" s="46"/>
      <c r="V167" s="46"/>
      <c r="W167" s="43">
        <v>16</v>
      </c>
      <c r="X167" s="43">
        <v>0</v>
      </c>
      <c r="Y167" s="43">
        <v>524</v>
      </c>
      <c r="Z167" s="43">
        <v>540</v>
      </c>
      <c r="AD167" s="62"/>
      <c r="AE167" s="62"/>
      <c r="AF167" s="63"/>
      <c r="AG167" s="64"/>
      <c r="AH167" s="64"/>
      <c r="AI167" s="65"/>
    </row>
    <row r="168" spans="1:35" ht="15">
      <c r="A168" s="43" t="s">
        <v>786</v>
      </c>
      <c r="B168" s="44" t="s">
        <v>741</v>
      </c>
      <c r="C168" s="44" t="s">
        <v>489</v>
      </c>
      <c r="D168" s="45" t="s">
        <v>491</v>
      </c>
      <c r="E168" s="46" t="s">
        <v>578</v>
      </c>
      <c r="F168" s="46" t="s">
        <v>579</v>
      </c>
      <c r="G168" s="46"/>
      <c r="H168" s="46"/>
      <c r="I168" s="43">
        <v>264</v>
      </c>
      <c r="J168" s="43">
        <v>0</v>
      </c>
      <c r="K168" s="43">
        <v>0</v>
      </c>
      <c r="L168" s="43">
        <v>264</v>
      </c>
      <c r="O168" s="43" t="s">
        <v>785</v>
      </c>
      <c r="P168" s="44" t="s">
        <v>761</v>
      </c>
      <c r="Q168" s="44" t="s">
        <v>647</v>
      </c>
      <c r="R168" s="45" t="s">
        <v>500</v>
      </c>
      <c r="S168" s="46" t="s">
        <v>692</v>
      </c>
      <c r="T168" s="46" t="s">
        <v>653</v>
      </c>
      <c r="U168" s="46"/>
      <c r="V168" s="46"/>
      <c r="W168" s="43">
        <v>195</v>
      </c>
      <c r="X168" s="43">
        <v>0</v>
      </c>
      <c r="Y168" s="43">
        <v>0</v>
      </c>
      <c r="Z168" s="43">
        <v>195</v>
      </c>
      <c r="AD168" s="62"/>
      <c r="AE168" s="62"/>
      <c r="AF168" s="63"/>
    </row>
    <row r="169" spans="1:35" ht="15">
      <c r="A169" s="43" t="s">
        <v>786</v>
      </c>
      <c r="B169" s="44" t="s">
        <v>741</v>
      </c>
      <c r="C169" s="44" t="s">
        <v>489</v>
      </c>
      <c r="D169" s="45" t="s">
        <v>494</v>
      </c>
      <c r="E169" s="46" t="s">
        <v>580</v>
      </c>
      <c r="F169" s="46" t="s">
        <v>581</v>
      </c>
      <c r="G169" s="46"/>
      <c r="H169" s="46"/>
      <c r="I169" s="43">
        <v>44</v>
      </c>
      <c r="J169" s="43">
        <v>0</v>
      </c>
      <c r="K169" s="43">
        <v>0</v>
      </c>
      <c r="L169" s="43">
        <v>44</v>
      </c>
      <c r="O169" s="43" t="s">
        <v>785</v>
      </c>
      <c r="P169" s="44" t="s">
        <v>761</v>
      </c>
      <c r="Q169" s="44" t="s">
        <v>647</v>
      </c>
      <c r="R169" s="45" t="s">
        <v>506</v>
      </c>
      <c r="S169" s="46"/>
      <c r="T169" s="46"/>
      <c r="U169" s="46"/>
      <c r="V169" s="46"/>
      <c r="W169" s="43">
        <v>0</v>
      </c>
      <c r="X169" s="43">
        <v>0</v>
      </c>
      <c r="Y169" s="43">
        <v>540</v>
      </c>
      <c r="Z169" s="43">
        <v>540</v>
      </c>
      <c r="AD169" s="62"/>
      <c r="AE169" s="62"/>
      <c r="AF169" s="63"/>
      <c r="AG169" s="64"/>
      <c r="AH169" s="64"/>
      <c r="AI169" s="65"/>
    </row>
    <row r="170" spans="1:35" ht="15">
      <c r="A170" s="43" t="s">
        <v>786</v>
      </c>
      <c r="B170" s="44" t="s">
        <v>741</v>
      </c>
      <c r="C170" s="44" t="s">
        <v>489</v>
      </c>
      <c r="D170" s="45" t="s">
        <v>495</v>
      </c>
      <c r="E170" s="46"/>
      <c r="F170" s="46"/>
      <c r="G170" s="46"/>
      <c r="H170" s="46"/>
      <c r="I170" s="43">
        <v>0</v>
      </c>
      <c r="J170" s="43">
        <v>0</v>
      </c>
      <c r="K170" s="43">
        <v>540</v>
      </c>
      <c r="L170" s="43">
        <v>540</v>
      </c>
      <c r="O170" s="43" t="s">
        <v>785</v>
      </c>
      <c r="P170" s="44" t="s">
        <v>761</v>
      </c>
      <c r="Q170" s="44" t="s">
        <v>647</v>
      </c>
      <c r="R170" s="45" t="s">
        <v>507</v>
      </c>
      <c r="S170" s="46" t="s">
        <v>662</v>
      </c>
      <c r="T170" s="46" t="s">
        <v>629</v>
      </c>
      <c r="U170" s="46"/>
      <c r="V170" s="46"/>
      <c r="W170" s="43">
        <v>21</v>
      </c>
      <c r="X170" s="43">
        <v>0</v>
      </c>
      <c r="Y170" s="43">
        <v>0</v>
      </c>
      <c r="Z170" s="43">
        <v>21</v>
      </c>
      <c r="AD170" s="62"/>
      <c r="AE170" s="62"/>
      <c r="AF170" s="63"/>
      <c r="AG170" s="64"/>
      <c r="AH170" s="64"/>
      <c r="AI170" s="65"/>
    </row>
    <row r="171" spans="1:35" ht="15">
      <c r="A171" s="43" t="s">
        <v>786</v>
      </c>
      <c r="B171" s="44" t="s">
        <v>741</v>
      </c>
      <c r="C171" s="44" t="s">
        <v>489</v>
      </c>
      <c r="D171" s="45" t="s">
        <v>497</v>
      </c>
      <c r="E171" s="46" t="s">
        <v>519</v>
      </c>
      <c r="F171" s="46" t="s">
        <v>582</v>
      </c>
      <c r="G171" s="46"/>
      <c r="H171" s="46"/>
      <c r="I171" s="43">
        <v>0</v>
      </c>
      <c r="J171" s="43">
        <v>303</v>
      </c>
      <c r="K171" s="43">
        <v>0</v>
      </c>
      <c r="L171" s="43">
        <v>303</v>
      </c>
      <c r="O171" s="43" t="s">
        <v>785</v>
      </c>
      <c r="P171" s="44" t="s">
        <v>761</v>
      </c>
      <c r="Q171" s="44" t="s">
        <v>647</v>
      </c>
      <c r="R171" s="45" t="s">
        <v>534</v>
      </c>
      <c r="S171" s="46"/>
      <c r="T171" s="46"/>
      <c r="U171" s="46"/>
      <c r="V171" s="46"/>
      <c r="W171" s="43">
        <v>0</v>
      </c>
      <c r="X171" s="43">
        <v>0</v>
      </c>
      <c r="Y171" s="43">
        <v>540</v>
      </c>
      <c r="Z171" s="43">
        <v>540</v>
      </c>
      <c r="AD171" s="62"/>
      <c r="AE171" s="62"/>
      <c r="AF171" s="63"/>
      <c r="AG171" s="64"/>
      <c r="AH171" s="64"/>
      <c r="AI171" s="65"/>
    </row>
    <row r="172" spans="1:35" ht="15">
      <c r="A172" s="43" t="s">
        <v>786</v>
      </c>
      <c r="B172" s="44" t="s">
        <v>741</v>
      </c>
      <c r="C172" s="44" t="s">
        <v>489</v>
      </c>
      <c r="D172" s="45" t="s">
        <v>501</v>
      </c>
      <c r="E172" s="46" t="s">
        <v>583</v>
      </c>
      <c r="F172" s="46" t="s">
        <v>584</v>
      </c>
      <c r="G172" s="46"/>
      <c r="H172" s="46"/>
      <c r="I172" s="43">
        <v>107</v>
      </c>
      <c r="J172" s="43">
        <v>0</v>
      </c>
      <c r="K172" s="43">
        <v>0</v>
      </c>
      <c r="L172" s="43">
        <v>107</v>
      </c>
      <c r="O172" s="43" t="s">
        <v>785</v>
      </c>
      <c r="P172" s="44" t="s">
        <v>761</v>
      </c>
      <c r="Q172" s="44" t="s">
        <v>647</v>
      </c>
      <c r="R172" s="45" t="s">
        <v>510</v>
      </c>
      <c r="S172" s="46"/>
      <c r="T172" s="46"/>
      <c r="U172" s="46"/>
      <c r="V172" s="46"/>
      <c r="W172" s="43">
        <v>0</v>
      </c>
      <c r="X172" s="43">
        <v>0</v>
      </c>
      <c r="Y172" s="43">
        <v>540</v>
      </c>
      <c r="Z172" s="43">
        <v>540</v>
      </c>
      <c r="AD172" s="62"/>
      <c r="AE172" s="62"/>
      <c r="AF172" s="63"/>
      <c r="AG172" s="64"/>
      <c r="AH172" s="64"/>
      <c r="AI172" s="65"/>
    </row>
    <row r="173" spans="1:35" ht="15">
      <c r="A173" s="43" t="s">
        <v>786</v>
      </c>
      <c r="B173" s="44" t="s">
        <v>741</v>
      </c>
      <c r="C173" s="44" t="s">
        <v>489</v>
      </c>
      <c r="D173" s="45" t="s">
        <v>506</v>
      </c>
      <c r="E173" s="46"/>
      <c r="F173" s="46"/>
      <c r="G173" s="46"/>
      <c r="H173" s="46"/>
      <c r="I173" s="43">
        <v>0</v>
      </c>
      <c r="J173" s="43">
        <v>0</v>
      </c>
      <c r="K173" s="43">
        <v>540</v>
      </c>
      <c r="L173" s="43">
        <v>540</v>
      </c>
      <c r="O173" s="43" t="s">
        <v>785</v>
      </c>
      <c r="P173" s="44" t="s">
        <v>761</v>
      </c>
      <c r="Q173" s="44" t="s">
        <v>647</v>
      </c>
      <c r="R173" s="45" t="s">
        <v>540</v>
      </c>
      <c r="S173" s="46"/>
      <c r="T173" s="46"/>
      <c r="U173" s="46"/>
      <c r="V173" s="46"/>
      <c r="W173" s="43">
        <v>0</v>
      </c>
      <c r="X173" s="43">
        <v>0</v>
      </c>
      <c r="Y173" s="43">
        <v>540</v>
      </c>
      <c r="Z173" s="43">
        <v>540</v>
      </c>
      <c r="AD173" s="62"/>
      <c r="AE173" s="62"/>
      <c r="AF173" s="63"/>
      <c r="AG173" s="64"/>
      <c r="AH173" s="64"/>
      <c r="AI173" s="65"/>
    </row>
    <row r="174" spans="1:35" ht="15">
      <c r="A174" s="43" t="s">
        <v>786</v>
      </c>
      <c r="B174" s="44" t="s">
        <v>741</v>
      </c>
      <c r="C174" s="44" t="s">
        <v>489</v>
      </c>
      <c r="D174" s="45" t="s">
        <v>540</v>
      </c>
      <c r="E174" s="46" t="s">
        <v>523</v>
      </c>
      <c r="F174" s="46" t="s">
        <v>579</v>
      </c>
      <c r="G174" s="46"/>
      <c r="H174" s="46"/>
      <c r="I174" s="43">
        <v>29</v>
      </c>
      <c r="J174" s="43">
        <v>0</v>
      </c>
      <c r="K174" s="43">
        <v>0</v>
      </c>
      <c r="L174" s="43">
        <v>29</v>
      </c>
      <c r="O174" s="43" t="s">
        <v>785</v>
      </c>
      <c r="P174" s="44" t="s">
        <v>761</v>
      </c>
      <c r="Q174" s="44" t="s">
        <v>647</v>
      </c>
      <c r="R174" s="45" t="s">
        <v>543</v>
      </c>
      <c r="S174" s="46"/>
      <c r="T174" s="46"/>
      <c r="U174" s="46"/>
      <c r="V174" s="46"/>
      <c r="W174" s="43">
        <v>0</v>
      </c>
      <c r="X174" s="43">
        <v>0</v>
      </c>
      <c r="Y174" s="43">
        <v>540</v>
      </c>
      <c r="Z174" s="43">
        <v>540</v>
      </c>
    </row>
    <row r="175" spans="1:35" ht="15">
      <c r="A175" s="43" t="s">
        <v>786</v>
      </c>
      <c r="B175" s="44" t="s">
        <v>741</v>
      </c>
      <c r="C175" s="44" t="s">
        <v>489</v>
      </c>
      <c r="D175" s="45" t="s">
        <v>512</v>
      </c>
      <c r="E175" s="46"/>
      <c r="F175" s="46"/>
      <c r="G175" s="46"/>
      <c r="H175" s="46"/>
      <c r="I175" s="43">
        <v>0</v>
      </c>
      <c r="J175" s="43">
        <v>0</v>
      </c>
      <c r="K175" s="43">
        <v>540</v>
      </c>
      <c r="L175" s="43">
        <v>540</v>
      </c>
      <c r="O175" s="43" t="s">
        <v>785</v>
      </c>
      <c r="P175" s="44" t="s">
        <v>761</v>
      </c>
      <c r="Q175" s="44" t="s">
        <v>647</v>
      </c>
      <c r="R175" s="45" t="s">
        <v>512</v>
      </c>
      <c r="S175" s="46"/>
      <c r="T175" s="46"/>
      <c r="U175" s="46"/>
      <c r="V175" s="46"/>
      <c r="W175" s="43">
        <v>0</v>
      </c>
      <c r="X175" s="43">
        <v>0</v>
      </c>
      <c r="Y175" s="43">
        <v>540</v>
      </c>
      <c r="Z175" s="43">
        <v>540</v>
      </c>
    </row>
    <row r="176" spans="1:35" ht="15">
      <c r="A176" s="43" t="s">
        <v>786</v>
      </c>
      <c r="B176" s="44" t="s">
        <v>741</v>
      </c>
      <c r="C176" s="44" t="s">
        <v>489</v>
      </c>
      <c r="D176" s="45" t="s">
        <v>513</v>
      </c>
      <c r="E176" s="46" t="s">
        <v>514</v>
      </c>
      <c r="F176" s="46" t="s">
        <v>585</v>
      </c>
      <c r="G176" s="46"/>
      <c r="H176" s="46"/>
      <c r="I176" s="43">
        <v>0</v>
      </c>
      <c r="J176" s="43">
        <v>192</v>
      </c>
      <c r="K176" s="43">
        <v>0</v>
      </c>
      <c r="L176" s="43">
        <v>192</v>
      </c>
      <c r="O176" s="43" t="s">
        <v>785</v>
      </c>
      <c r="P176" s="44" t="s">
        <v>761</v>
      </c>
      <c r="Q176" s="44" t="s">
        <v>647</v>
      </c>
      <c r="R176" s="45" t="s">
        <v>515</v>
      </c>
      <c r="S176" s="46"/>
      <c r="T176" s="46"/>
      <c r="U176" s="46"/>
      <c r="V176" s="46"/>
      <c r="W176" s="43">
        <v>0</v>
      </c>
      <c r="X176" s="43">
        <v>0</v>
      </c>
      <c r="Y176" s="43">
        <v>540</v>
      </c>
      <c r="Z176" s="43">
        <v>540</v>
      </c>
    </row>
    <row r="177" spans="1:26" ht="15">
      <c r="A177" s="43" t="s">
        <v>786</v>
      </c>
      <c r="B177" s="44" t="s">
        <v>741</v>
      </c>
      <c r="C177" s="44" t="s">
        <v>489</v>
      </c>
      <c r="D177" s="45" t="s">
        <v>517</v>
      </c>
      <c r="E177" s="46" t="s">
        <v>523</v>
      </c>
      <c r="F177" s="46" t="s">
        <v>581</v>
      </c>
      <c r="G177" s="46"/>
      <c r="H177" s="46"/>
      <c r="I177" s="43">
        <v>29</v>
      </c>
      <c r="J177" s="43">
        <v>0</v>
      </c>
      <c r="K177" s="43">
        <v>0</v>
      </c>
      <c r="L177" s="43">
        <v>29</v>
      </c>
      <c r="O177" s="43" t="s">
        <v>785</v>
      </c>
      <c r="P177" s="44" t="s">
        <v>761</v>
      </c>
      <c r="Q177" s="44" t="s">
        <v>647</v>
      </c>
      <c r="R177" s="45" t="s">
        <v>517</v>
      </c>
      <c r="S177" s="46"/>
      <c r="T177" s="46"/>
      <c r="U177" s="46"/>
      <c r="V177" s="46"/>
      <c r="W177" s="43">
        <v>0</v>
      </c>
      <c r="X177" s="43">
        <v>0</v>
      </c>
      <c r="Y177" s="43">
        <v>540</v>
      </c>
      <c r="Z177" s="43">
        <v>540</v>
      </c>
    </row>
    <row r="178" spans="1:26" ht="15">
      <c r="A178" s="43" t="s">
        <v>786</v>
      </c>
      <c r="B178" s="44" t="s">
        <v>741</v>
      </c>
      <c r="C178" s="44" t="s">
        <v>489</v>
      </c>
      <c r="D178" s="45" t="s">
        <v>518</v>
      </c>
      <c r="E178" s="46" t="s">
        <v>586</v>
      </c>
      <c r="F178" s="46"/>
      <c r="G178" s="46"/>
      <c r="H178" s="46"/>
      <c r="I178" s="43">
        <v>0</v>
      </c>
      <c r="J178" s="43">
        <v>0</v>
      </c>
      <c r="K178" s="43">
        <v>540</v>
      </c>
      <c r="L178" s="43">
        <v>540</v>
      </c>
      <c r="O178" s="43" t="s">
        <v>785</v>
      </c>
      <c r="P178" s="44" t="s">
        <v>761</v>
      </c>
      <c r="Q178" s="44" t="s">
        <v>647</v>
      </c>
      <c r="R178" s="45" t="s">
        <v>518</v>
      </c>
      <c r="S178" s="46"/>
      <c r="T178" s="46"/>
      <c r="U178" s="46"/>
      <c r="V178" s="46"/>
      <c r="W178" s="43">
        <v>0</v>
      </c>
      <c r="X178" s="43">
        <v>0</v>
      </c>
      <c r="Y178" s="43">
        <v>540</v>
      </c>
      <c r="Z178" s="43">
        <v>540</v>
      </c>
    </row>
    <row r="179" spans="1:26" ht="30">
      <c r="A179" s="43" t="s">
        <v>787</v>
      </c>
      <c r="B179" s="44" t="s">
        <v>740</v>
      </c>
      <c r="C179" s="44" t="s">
        <v>489</v>
      </c>
      <c r="D179" s="45" t="s">
        <v>490</v>
      </c>
      <c r="E179" s="46"/>
      <c r="F179" s="46"/>
      <c r="G179" s="46"/>
      <c r="H179" s="46"/>
      <c r="I179" s="43">
        <v>0</v>
      </c>
      <c r="J179" s="43">
        <v>0</v>
      </c>
      <c r="K179" s="43">
        <v>540</v>
      </c>
      <c r="L179" s="43">
        <v>540</v>
      </c>
      <c r="O179" s="43" t="s">
        <v>788</v>
      </c>
      <c r="P179" s="44" t="s">
        <v>762</v>
      </c>
      <c r="Q179" s="44" t="s">
        <v>647</v>
      </c>
      <c r="R179" s="45" t="s">
        <v>490</v>
      </c>
      <c r="S179" s="46" t="s">
        <v>654</v>
      </c>
      <c r="T179" s="46" t="s">
        <v>659</v>
      </c>
      <c r="U179" s="46"/>
      <c r="V179" s="46"/>
      <c r="W179" s="43">
        <v>11</v>
      </c>
      <c r="X179" s="43">
        <v>0</v>
      </c>
      <c r="Y179" s="43">
        <v>0</v>
      </c>
      <c r="Z179" s="43">
        <v>11</v>
      </c>
    </row>
    <row r="180" spans="1:26" ht="30">
      <c r="A180" s="43" t="s">
        <v>787</v>
      </c>
      <c r="B180" s="44" t="s">
        <v>740</v>
      </c>
      <c r="C180" s="44" t="s">
        <v>489</v>
      </c>
      <c r="D180" s="45" t="s">
        <v>491</v>
      </c>
      <c r="E180" s="46" t="s">
        <v>587</v>
      </c>
      <c r="F180" s="46" t="s">
        <v>588</v>
      </c>
      <c r="G180" s="46"/>
      <c r="H180" s="46"/>
      <c r="I180" s="43">
        <v>243</v>
      </c>
      <c r="J180" s="43">
        <v>0</v>
      </c>
      <c r="K180" s="43">
        <v>0</v>
      </c>
      <c r="L180" s="43">
        <v>243</v>
      </c>
      <c r="O180" s="43" t="s">
        <v>788</v>
      </c>
      <c r="P180" s="44" t="s">
        <v>762</v>
      </c>
      <c r="Q180" s="44" t="s">
        <v>647</v>
      </c>
      <c r="R180" s="45" t="s">
        <v>491</v>
      </c>
      <c r="S180" s="46" t="s">
        <v>630</v>
      </c>
      <c r="T180" s="46" t="s">
        <v>672</v>
      </c>
      <c r="U180" s="46"/>
      <c r="V180" s="46"/>
      <c r="W180" s="43">
        <v>18</v>
      </c>
      <c r="X180" s="43">
        <v>0</v>
      </c>
      <c r="Y180" s="43">
        <v>0</v>
      </c>
      <c r="Z180" s="43">
        <v>18</v>
      </c>
    </row>
    <row r="181" spans="1:26" ht="30">
      <c r="A181" s="43" t="s">
        <v>787</v>
      </c>
      <c r="B181" s="44" t="s">
        <v>740</v>
      </c>
      <c r="C181" s="44" t="s">
        <v>489</v>
      </c>
      <c r="D181" s="45" t="s">
        <v>494</v>
      </c>
      <c r="E181" s="46"/>
      <c r="F181" s="46"/>
      <c r="G181" s="46"/>
      <c r="H181" s="46"/>
      <c r="I181" s="43">
        <v>0</v>
      </c>
      <c r="J181" s="43">
        <v>0</v>
      </c>
      <c r="K181" s="43">
        <v>540</v>
      </c>
      <c r="L181" s="43">
        <v>540</v>
      </c>
      <c r="O181" s="43" t="s">
        <v>788</v>
      </c>
      <c r="P181" s="44" t="s">
        <v>762</v>
      </c>
      <c r="Q181" s="44" t="s">
        <v>647</v>
      </c>
      <c r="R181" s="45" t="s">
        <v>498</v>
      </c>
      <c r="S181" s="46"/>
      <c r="T181" s="46" t="s">
        <v>650</v>
      </c>
      <c r="U181" s="46"/>
      <c r="V181" s="46"/>
      <c r="W181" s="43">
        <v>0</v>
      </c>
      <c r="X181" s="43">
        <v>0</v>
      </c>
      <c r="Y181" s="43">
        <v>540</v>
      </c>
      <c r="Z181" s="43">
        <v>540</v>
      </c>
    </row>
    <row r="182" spans="1:26" ht="30">
      <c r="A182" s="43" t="s">
        <v>787</v>
      </c>
      <c r="B182" s="44" t="s">
        <v>740</v>
      </c>
      <c r="C182" s="44" t="s">
        <v>489</v>
      </c>
      <c r="D182" s="45" t="s">
        <v>506</v>
      </c>
      <c r="E182" s="46"/>
      <c r="F182" s="46"/>
      <c r="G182" s="46"/>
      <c r="H182" s="46"/>
      <c r="I182" s="43">
        <v>0</v>
      </c>
      <c r="J182" s="43">
        <v>0</v>
      </c>
      <c r="K182" s="43">
        <v>540</v>
      </c>
      <c r="L182" s="43">
        <v>540</v>
      </c>
      <c r="O182" s="43" t="s">
        <v>788</v>
      </c>
      <c r="P182" s="44" t="s">
        <v>762</v>
      </c>
      <c r="Q182" s="44" t="s">
        <v>647</v>
      </c>
      <c r="R182" s="45" t="s">
        <v>500</v>
      </c>
      <c r="S182" s="46" t="s">
        <v>673</v>
      </c>
      <c r="T182" s="46" t="s">
        <v>693</v>
      </c>
      <c r="U182" s="46"/>
      <c r="V182" s="46"/>
      <c r="W182" s="43">
        <v>22</v>
      </c>
      <c r="X182" s="43">
        <v>0</v>
      </c>
      <c r="Y182" s="43">
        <v>0</v>
      </c>
      <c r="Z182" s="43">
        <v>22</v>
      </c>
    </row>
    <row r="183" spans="1:26" ht="30">
      <c r="A183" s="43" t="s">
        <v>787</v>
      </c>
      <c r="B183" s="44" t="s">
        <v>740</v>
      </c>
      <c r="C183" s="44" t="s">
        <v>489</v>
      </c>
      <c r="D183" s="45" t="s">
        <v>512</v>
      </c>
      <c r="E183" s="46"/>
      <c r="F183" s="46"/>
      <c r="G183" s="46"/>
      <c r="H183" s="46"/>
      <c r="I183" s="43">
        <v>0</v>
      </c>
      <c r="J183" s="43">
        <v>0</v>
      </c>
      <c r="K183" s="43">
        <v>540</v>
      </c>
      <c r="L183" s="43">
        <v>540</v>
      </c>
      <c r="O183" s="43" t="s">
        <v>788</v>
      </c>
      <c r="P183" s="44" t="s">
        <v>762</v>
      </c>
      <c r="Q183" s="44" t="s">
        <v>647</v>
      </c>
      <c r="R183" s="45" t="s">
        <v>506</v>
      </c>
      <c r="S183" s="46"/>
      <c r="T183" s="46"/>
      <c r="U183" s="46"/>
      <c r="V183" s="46"/>
      <c r="W183" s="43">
        <v>0</v>
      </c>
      <c r="X183" s="43">
        <v>0</v>
      </c>
      <c r="Y183" s="43">
        <v>540</v>
      </c>
      <c r="Z183" s="43">
        <v>540</v>
      </c>
    </row>
    <row r="184" spans="1:26" ht="30">
      <c r="A184" s="43" t="s">
        <v>787</v>
      </c>
      <c r="B184" s="44" t="s">
        <v>740</v>
      </c>
      <c r="C184" s="44" t="s">
        <v>489</v>
      </c>
      <c r="D184" s="45" t="s">
        <v>513</v>
      </c>
      <c r="E184" s="46" t="s">
        <v>589</v>
      </c>
      <c r="F184" s="46" t="s">
        <v>590</v>
      </c>
      <c r="G184" s="46"/>
      <c r="H184" s="46"/>
      <c r="I184" s="43">
        <v>0</v>
      </c>
      <c r="J184" s="43">
        <v>121</v>
      </c>
      <c r="K184" s="43">
        <v>0</v>
      </c>
      <c r="L184" s="43">
        <v>121</v>
      </c>
      <c r="O184" s="43" t="s">
        <v>788</v>
      </c>
      <c r="P184" s="44" t="s">
        <v>762</v>
      </c>
      <c r="Q184" s="44" t="s">
        <v>647</v>
      </c>
      <c r="R184" s="45" t="s">
        <v>507</v>
      </c>
      <c r="S184" s="46" t="s">
        <v>511</v>
      </c>
      <c r="T184" s="46"/>
      <c r="U184" s="46"/>
      <c r="V184" s="46"/>
      <c r="W184" s="43">
        <v>13</v>
      </c>
      <c r="X184" s="43">
        <v>0</v>
      </c>
      <c r="Y184" s="43">
        <v>527</v>
      </c>
      <c r="Z184" s="43">
        <v>540</v>
      </c>
    </row>
    <row r="185" spans="1:26" ht="30">
      <c r="A185" s="43" t="s">
        <v>787</v>
      </c>
      <c r="B185" s="44" t="s">
        <v>740</v>
      </c>
      <c r="C185" s="44" t="s">
        <v>489</v>
      </c>
      <c r="D185" s="45" t="s">
        <v>518</v>
      </c>
      <c r="E185" s="46" t="s">
        <v>504</v>
      </c>
      <c r="F185" s="46"/>
      <c r="G185" s="46"/>
      <c r="H185" s="46"/>
      <c r="I185" s="43">
        <v>0</v>
      </c>
      <c r="J185" s="43">
        <v>0</v>
      </c>
      <c r="K185" s="43">
        <v>540</v>
      </c>
      <c r="L185" s="43">
        <v>540</v>
      </c>
      <c r="O185" s="43" t="s">
        <v>788</v>
      </c>
      <c r="P185" s="44" t="s">
        <v>762</v>
      </c>
      <c r="Q185" s="44" t="s">
        <v>647</v>
      </c>
      <c r="R185" s="45" t="s">
        <v>508</v>
      </c>
      <c r="S185" s="46" t="s">
        <v>694</v>
      </c>
      <c r="T185" s="46"/>
      <c r="U185" s="46"/>
      <c r="V185" s="46"/>
      <c r="W185" s="43">
        <v>27</v>
      </c>
      <c r="X185" s="43">
        <v>0</v>
      </c>
      <c r="Y185" s="43">
        <v>513</v>
      </c>
      <c r="Z185" s="43">
        <v>540</v>
      </c>
    </row>
    <row r="186" spans="1:26" ht="30">
      <c r="A186" s="43" t="s">
        <v>789</v>
      </c>
      <c r="B186" s="44" t="s">
        <v>738</v>
      </c>
      <c r="C186" s="44" t="s">
        <v>489</v>
      </c>
      <c r="D186" s="45" t="s">
        <v>490</v>
      </c>
      <c r="E186" s="46"/>
      <c r="F186" s="46"/>
      <c r="G186" s="46"/>
      <c r="H186" s="46"/>
      <c r="I186" s="43">
        <v>0</v>
      </c>
      <c r="J186" s="43">
        <v>0</v>
      </c>
      <c r="K186" s="43">
        <v>540</v>
      </c>
      <c r="L186" s="43">
        <v>540</v>
      </c>
      <c r="O186" s="43" t="s">
        <v>788</v>
      </c>
      <c r="P186" s="44" t="s">
        <v>762</v>
      </c>
      <c r="Q186" s="44" t="s">
        <v>647</v>
      </c>
      <c r="R186" s="45" t="s">
        <v>534</v>
      </c>
      <c r="S186" s="46" t="s">
        <v>675</v>
      </c>
      <c r="T186" s="46"/>
      <c r="U186" s="46"/>
      <c r="V186" s="46"/>
      <c r="W186" s="43">
        <v>24</v>
      </c>
      <c r="X186" s="43">
        <v>0</v>
      </c>
      <c r="Y186" s="43">
        <v>516</v>
      </c>
      <c r="Z186" s="43">
        <v>540</v>
      </c>
    </row>
    <row r="187" spans="1:26" ht="30">
      <c r="A187" s="43" t="s">
        <v>789</v>
      </c>
      <c r="B187" s="44" t="s">
        <v>738</v>
      </c>
      <c r="C187" s="44" t="s">
        <v>489</v>
      </c>
      <c r="D187" s="45" t="s">
        <v>491</v>
      </c>
      <c r="E187" s="46"/>
      <c r="F187" s="46"/>
      <c r="G187" s="46"/>
      <c r="H187" s="46"/>
      <c r="I187" s="43">
        <v>0</v>
      </c>
      <c r="J187" s="43">
        <v>0</v>
      </c>
      <c r="K187" s="43">
        <v>540</v>
      </c>
      <c r="L187" s="43">
        <v>540</v>
      </c>
      <c r="O187" s="43" t="s">
        <v>788</v>
      </c>
      <c r="P187" s="44" t="s">
        <v>762</v>
      </c>
      <c r="Q187" s="44" t="s">
        <v>647</v>
      </c>
      <c r="R187" s="45" t="s">
        <v>535</v>
      </c>
      <c r="S187" s="46" t="s">
        <v>695</v>
      </c>
      <c r="T187" s="46"/>
      <c r="U187" s="46"/>
      <c r="V187" s="46"/>
      <c r="W187" s="43">
        <v>0</v>
      </c>
      <c r="X187" s="43">
        <v>0</v>
      </c>
      <c r="Y187" s="43">
        <v>540</v>
      </c>
      <c r="Z187" s="43">
        <v>540</v>
      </c>
    </row>
    <row r="188" spans="1:26" ht="30">
      <c r="A188" s="43" t="s">
        <v>789</v>
      </c>
      <c r="B188" s="44" t="s">
        <v>738</v>
      </c>
      <c r="C188" s="44" t="s">
        <v>489</v>
      </c>
      <c r="D188" s="45" t="s">
        <v>493</v>
      </c>
      <c r="E188" s="46"/>
      <c r="F188" s="46"/>
      <c r="G188" s="46"/>
      <c r="H188" s="46"/>
      <c r="I188" s="43">
        <v>0</v>
      </c>
      <c r="J188" s="43">
        <v>0</v>
      </c>
      <c r="K188" s="43">
        <v>540</v>
      </c>
      <c r="L188" s="43">
        <v>540</v>
      </c>
      <c r="O188" s="43" t="s">
        <v>788</v>
      </c>
      <c r="P188" s="44" t="s">
        <v>762</v>
      </c>
      <c r="Q188" s="44" t="s">
        <v>647</v>
      </c>
      <c r="R188" s="45" t="s">
        <v>510</v>
      </c>
      <c r="S188" s="46" t="s">
        <v>649</v>
      </c>
      <c r="T188" s="46"/>
      <c r="U188" s="46"/>
      <c r="V188" s="46"/>
      <c r="W188" s="43">
        <v>15</v>
      </c>
      <c r="X188" s="43">
        <v>0</v>
      </c>
      <c r="Y188" s="43">
        <v>525</v>
      </c>
      <c r="Z188" s="43">
        <v>540</v>
      </c>
    </row>
    <row r="189" spans="1:26" ht="30">
      <c r="A189" s="43" t="s">
        <v>789</v>
      </c>
      <c r="B189" s="44" t="s">
        <v>738</v>
      </c>
      <c r="C189" s="44" t="s">
        <v>489</v>
      </c>
      <c r="D189" s="45" t="s">
        <v>494</v>
      </c>
      <c r="E189" s="46"/>
      <c r="F189" s="46"/>
      <c r="G189" s="46"/>
      <c r="H189" s="46"/>
      <c r="I189" s="43">
        <v>0</v>
      </c>
      <c r="J189" s="43">
        <v>0</v>
      </c>
      <c r="K189" s="43">
        <v>540</v>
      </c>
      <c r="L189" s="43">
        <v>540</v>
      </c>
      <c r="O189" s="43" t="s">
        <v>788</v>
      </c>
      <c r="P189" s="44" t="s">
        <v>762</v>
      </c>
      <c r="Q189" s="44" t="s">
        <v>647</v>
      </c>
      <c r="R189" s="45" t="s">
        <v>538</v>
      </c>
      <c r="S189" s="46" t="s">
        <v>680</v>
      </c>
      <c r="T189" s="46"/>
      <c r="U189" s="46"/>
      <c r="V189" s="46"/>
      <c r="W189" s="43">
        <v>20</v>
      </c>
      <c r="X189" s="43">
        <v>0</v>
      </c>
      <c r="Y189" s="43">
        <v>520</v>
      </c>
      <c r="Z189" s="43">
        <v>540</v>
      </c>
    </row>
    <row r="190" spans="1:26" ht="30">
      <c r="A190" s="43" t="s">
        <v>789</v>
      </c>
      <c r="B190" s="44" t="s">
        <v>738</v>
      </c>
      <c r="C190" s="44" t="s">
        <v>489</v>
      </c>
      <c r="D190" s="45" t="s">
        <v>495</v>
      </c>
      <c r="E190" s="46"/>
      <c r="F190" s="46"/>
      <c r="G190" s="46"/>
      <c r="H190" s="46"/>
      <c r="I190" s="43">
        <v>0</v>
      </c>
      <c r="J190" s="43">
        <v>0</v>
      </c>
      <c r="K190" s="43">
        <v>540</v>
      </c>
      <c r="L190" s="43">
        <v>540</v>
      </c>
      <c r="O190" s="43" t="s">
        <v>788</v>
      </c>
      <c r="P190" s="44" t="s">
        <v>762</v>
      </c>
      <c r="Q190" s="44" t="s">
        <v>647</v>
      </c>
      <c r="R190" s="45" t="s">
        <v>540</v>
      </c>
      <c r="S190" s="46" t="s">
        <v>673</v>
      </c>
      <c r="T190" s="46"/>
      <c r="U190" s="46"/>
      <c r="V190" s="46"/>
      <c r="W190" s="43">
        <v>22</v>
      </c>
      <c r="X190" s="43">
        <v>0</v>
      </c>
      <c r="Y190" s="43">
        <v>518</v>
      </c>
      <c r="Z190" s="43">
        <v>540</v>
      </c>
    </row>
    <row r="191" spans="1:26" ht="30">
      <c r="A191" s="43" t="s">
        <v>789</v>
      </c>
      <c r="B191" s="44" t="s">
        <v>738</v>
      </c>
      <c r="C191" s="44" t="s">
        <v>489</v>
      </c>
      <c r="D191" s="45" t="s">
        <v>496</v>
      </c>
      <c r="E191" s="46"/>
      <c r="F191" s="46"/>
      <c r="G191" s="46"/>
      <c r="H191" s="46"/>
      <c r="I191" s="43">
        <v>0</v>
      </c>
      <c r="J191" s="43">
        <v>0</v>
      </c>
      <c r="K191" s="43">
        <v>540</v>
      </c>
      <c r="L191" s="43">
        <v>540</v>
      </c>
      <c r="O191" s="43" t="s">
        <v>788</v>
      </c>
      <c r="P191" s="44" t="s">
        <v>762</v>
      </c>
      <c r="Q191" s="44" t="s">
        <v>647</v>
      </c>
      <c r="R191" s="45" t="s">
        <v>543</v>
      </c>
      <c r="S191" s="46" t="s">
        <v>635</v>
      </c>
      <c r="T191" s="46"/>
      <c r="U191" s="46"/>
      <c r="V191" s="46"/>
      <c r="W191" s="43">
        <v>26</v>
      </c>
      <c r="X191" s="43">
        <v>0</v>
      </c>
      <c r="Y191" s="43">
        <v>514</v>
      </c>
      <c r="Z191" s="43">
        <v>540</v>
      </c>
    </row>
    <row r="192" spans="1:26" ht="30">
      <c r="A192" s="43" t="s">
        <v>789</v>
      </c>
      <c r="B192" s="44" t="s">
        <v>738</v>
      </c>
      <c r="C192" s="44" t="s">
        <v>489</v>
      </c>
      <c r="D192" s="45" t="s">
        <v>497</v>
      </c>
      <c r="E192" s="46"/>
      <c r="F192" s="46"/>
      <c r="G192" s="46"/>
      <c r="H192" s="46"/>
      <c r="I192" s="43">
        <v>0</v>
      </c>
      <c r="J192" s="43">
        <v>0</v>
      </c>
      <c r="K192" s="43">
        <v>540</v>
      </c>
      <c r="L192" s="43">
        <v>540</v>
      </c>
      <c r="O192" s="43" t="s">
        <v>788</v>
      </c>
      <c r="P192" s="44" t="s">
        <v>762</v>
      </c>
      <c r="Q192" s="44" t="s">
        <v>647</v>
      </c>
      <c r="R192" s="45" t="s">
        <v>512</v>
      </c>
      <c r="S192" s="46"/>
      <c r="T192" s="46"/>
      <c r="U192" s="46"/>
      <c r="V192" s="46"/>
      <c r="W192" s="43">
        <v>0</v>
      </c>
      <c r="X192" s="43">
        <v>0</v>
      </c>
      <c r="Y192" s="43">
        <v>540</v>
      </c>
      <c r="Z192" s="43">
        <v>540</v>
      </c>
    </row>
    <row r="193" spans="1:26" ht="30">
      <c r="A193" s="43" t="s">
        <v>789</v>
      </c>
      <c r="B193" s="44" t="s">
        <v>738</v>
      </c>
      <c r="C193" s="44" t="s">
        <v>489</v>
      </c>
      <c r="D193" s="45" t="s">
        <v>498</v>
      </c>
      <c r="E193" s="46"/>
      <c r="F193" s="46"/>
      <c r="G193" s="46"/>
      <c r="H193" s="46"/>
      <c r="I193" s="43">
        <v>0</v>
      </c>
      <c r="J193" s="43">
        <v>0</v>
      </c>
      <c r="K193" s="43">
        <v>540</v>
      </c>
      <c r="L193" s="43">
        <v>540</v>
      </c>
      <c r="O193" s="43" t="s">
        <v>788</v>
      </c>
      <c r="P193" s="44" t="s">
        <v>762</v>
      </c>
      <c r="Q193" s="44" t="s">
        <v>647</v>
      </c>
      <c r="R193" s="45" t="s">
        <v>515</v>
      </c>
      <c r="S193" s="46" t="s">
        <v>511</v>
      </c>
      <c r="T193" s="46"/>
      <c r="U193" s="46"/>
      <c r="V193" s="46"/>
      <c r="W193" s="43">
        <v>13</v>
      </c>
      <c r="X193" s="43">
        <v>0</v>
      </c>
      <c r="Y193" s="43">
        <v>527</v>
      </c>
      <c r="Z193" s="43">
        <v>540</v>
      </c>
    </row>
    <row r="194" spans="1:26" ht="30">
      <c r="A194" s="43" t="s">
        <v>789</v>
      </c>
      <c r="B194" s="44" t="s">
        <v>738</v>
      </c>
      <c r="C194" s="44" t="s">
        <v>489</v>
      </c>
      <c r="D194" s="45" t="s">
        <v>499</v>
      </c>
      <c r="E194" s="46"/>
      <c r="F194" s="46"/>
      <c r="G194" s="46"/>
      <c r="H194" s="46"/>
      <c r="I194" s="43">
        <v>0</v>
      </c>
      <c r="J194" s="43">
        <v>0</v>
      </c>
      <c r="K194" s="43">
        <v>540</v>
      </c>
      <c r="L194" s="43">
        <v>540</v>
      </c>
      <c r="O194" s="43" t="s">
        <v>788</v>
      </c>
      <c r="P194" s="44" t="s">
        <v>762</v>
      </c>
      <c r="Q194" s="44" t="s">
        <v>647</v>
      </c>
      <c r="R194" s="45" t="s">
        <v>517</v>
      </c>
      <c r="S194" s="46" t="s">
        <v>675</v>
      </c>
      <c r="T194" s="46"/>
      <c r="U194" s="46"/>
      <c r="V194" s="46"/>
      <c r="W194" s="43">
        <v>24</v>
      </c>
      <c r="X194" s="43">
        <v>0</v>
      </c>
      <c r="Y194" s="43">
        <v>516</v>
      </c>
      <c r="Z194" s="43">
        <v>540</v>
      </c>
    </row>
    <row r="195" spans="1:26" ht="30">
      <c r="A195" s="43" t="s">
        <v>789</v>
      </c>
      <c r="B195" s="44" t="s">
        <v>738</v>
      </c>
      <c r="C195" s="44" t="s">
        <v>489</v>
      </c>
      <c r="D195" s="45" t="s">
        <v>500</v>
      </c>
      <c r="E195" s="46"/>
      <c r="F195" s="46"/>
      <c r="G195" s="46"/>
      <c r="H195" s="46"/>
      <c r="I195" s="43">
        <v>0</v>
      </c>
      <c r="J195" s="43">
        <v>0</v>
      </c>
      <c r="K195" s="43">
        <v>540</v>
      </c>
      <c r="L195" s="43">
        <v>540</v>
      </c>
      <c r="O195" s="43" t="s">
        <v>788</v>
      </c>
      <c r="P195" s="44" t="s">
        <v>762</v>
      </c>
      <c r="Q195" s="44" t="s">
        <v>647</v>
      </c>
      <c r="R195" s="45" t="s">
        <v>518</v>
      </c>
      <c r="S195" s="46"/>
      <c r="T195" s="46"/>
      <c r="U195" s="46"/>
      <c r="V195" s="46"/>
      <c r="W195" s="43">
        <v>0</v>
      </c>
      <c r="X195" s="43">
        <v>0</v>
      </c>
      <c r="Y195" s="43">
        <v>540</v>
      </c>
      <c r="Z195" s="43">
        <v>540</v>
      </c>
    </row>
    <row r="196" spans="1:26" ht="15">
      <c r="A196" s="43" t="s">
        <v>789</v>
      </c>
      <c r="B196" s="44" t="s">
        <v>738</v>
      </c>
      <c r="C196" s="44" t="s">
        <v>489</v>
      </c>
      <c r="D196" s="45" t="s">
        <v>501</v>
      </c>
      <c r="E196" s="46"/>
      <c r="F196" s="46"/>
      <c r="G196" s="46"/>
      <c r="H196" s="46"/>
      <c r="I196" s="43">
        <v>0</v>
      </c>
      <c r="J196" s="43">
        <v>0</v>
      </c>
      <c r="K196" s="43">
        <v>540</v>
      </c>
      <c r="L196" s="43">
        <v>540</v>
      </c>
      <c r="O196" s="43" t="s">
        <v>790</v>
      </c>
      <c r="P196" s="44" t="s">
        <v>763</v>
      </c>
      <c r="Q196" s="44" t="s">
        <v>647</v>
      </c>
      <c r="R196" s="45" t="s">
        <v>490</v>
      </c>
      <c r="S196" s="46" t="s">
        <v>593</v>
      </c>
      <c r="T196" s="46" t="s">
        <v>588</v>
      </c>
      <c r="U196" s="46"/>
      <c r="V196" s="46"/>
      <c r="W196" s="43">
        <v>12</v>
      </c>
      <c r="X196" s="43">
        <v>0</v>
      </c>
      <c r="Y196" s="43">
        <v>0</v>
      </c>
      <c r="Z196" s="43">
        <v>12</v>
      </c>
    </row>
    <row r="197" spans="1:26" ht="15">
      <c r="A197" s="43" t="s">
        <v>789</v>
      </c>
      <c r="B197" s="44" t="s">
        <v>738</v>
      </c>
      <c r="C197" s="44" t="s">
        <v>489</v>
      </c>
      <c r="D197" s="45" t="s">
        <v>503</v>
      </c>
      <c r="E197" s="46"/>
      <c r="F197" s="46"/>
      <c r="G197" s="46"/>
      <c r="H197" s="46"/>
      <c r="I197" s="43">
        <v>0</v>
      </c>
      <c r="J197" s="43">
        <v>0</v>
      </c>
      <c r="K197" s="43">
        <v>540</v>
      </c>
      <c r="L197" s="43">
        <v>540</v>
      </c>
      <c r="O197" s="43" t="s">
        <v>790</v>
      </c>
      <c r="P197" s="44" t="s">
        <v>763</v>
      </c>
      <c r="Q197" s="44" t="s">
        <v>647</v>
      </c>
      <c r="R197" s="45" t="s">
        <v>491</v>
      </c>
      <c r="S197" s="46" t="s">
        <v>662</v>
      </c>
      <c r="T197" s="46" t="s">
        <v>588</v>
      </c>
      <c r="U197" s="46"/>
      <c r="V197" s="46"/>
      <c r="W197" s="43">
        <v>21</v>
      </c>
      <c r="X197" s="43">
        <v>0</v>
      </c>
      <c r="Y197" s="43">
        <v>0</v>
      </c>
      <c r="Z197" s="43">
        <v>21</v>
      </c>
    </row>
    <row r="198" spans="1:26" ht="15">
      <c r="A198" s="43" t="s">
        <v>789</v>
      </c>
      <c r="B198" s="44" t="s">
        <v>738</v>
      </c>
      <c r="C198" s="44" t="s">
        <v>489</v>
      </c>
      <c r="D198" s="45" t="s">
        <v>506</v>
      </c>
      <c r="E198" s="46"/>
      <c r="F198" s="46"/>
      <c r="G198" s="46"/>
      <c r="H198" s="46"/>
      <c r="I198" s="43">
        <v>0</v>
      </c>
      <c r="J198" s="43">
        <v>0</v>
      </c>
      <c r="K198" s="43">
        <v>540</v>
      </c>
      <c r="L198" s="43">
        <v>540</v>
      </c>
      <c r="O198" s="43" t="s">
        <v>790</v>
      </c>
      <c r="P198" s="44" t="s">
        <v>763</v>
      </c>
      <c r="Q198" s="44" t="s">
        <v>647</v>
      </c>
      <c r="R198" s="45" t="s">
        <v>497</v>
      </c>
      <c r="S198" s="46" t="s">
        <v>563</v>
      </c>
      <c r="T198" s="46" t="s">
        <v>584</v>
      </c>
      <c r="U198" s="46"/>
      <c r="V198" s="46"/>
      <c r="W198" s="43">
        <v>92</v>
      </c>
      <c r="X198" s="43">
        <v>0</v>
      </c>
      <c r="Y198" s="43">
        <v>0</v>
      </c>
      <c r="Z198" s="43">
        <v>92</v>
      </c>
    </row>
    <row r="199" spans="1:26" ht="15">
      <c r="A199" s="43" t="s">
        <v>789</v>
      </c>
      <c r="B199" s="44" t="s">
        <v>738</v>
      </c>
      <c r="C199" s="44" t="s">
        <v>489</v>
      </c>
      <c r="D199" s="45" t="s">
        <v>507</v>
      </c>
      <c r="E199" s="46"/>
      <c r="F199" s="46"/>
      <c r="G199" s="46"/>
      <c r="H199" s="46"/>
      <c r="I199" s="43">
        <v>0</v>
      </c>
      <c r="J199" s="43">
        <v>0</v>
      </c>
      <c r="K199" s="43">
        <v>540</v>
      </c>
      <c r="L199" s="43">
        <v>540</v>
      </c>
      <c r="O199" s="43" t="s">
        <v>790</v>
      </c>
      <c r="P199" s="44" t="s">
        <v>763</v>
      </c>
      <c r="Q199" s="44" t="s">
        <v>647</v>
      </c>
      <c r="R199" s="45" t="s">
        <v>498</v>
      </c>
      <c r="S199" s="46"/>
      <c r="T199" s="46"/>
      <c r="U199" s="46"/>
      <c r="V199" s="46"/>
      <c r="W199" s="43">
        <v>0</v>
      </c>
      <c r="X199" s="43">
        <v>0</v>
      </c>
      <c r="Y199" s="43">
        <v>540</v>
      </c>
      <c r="Z199" s="43">
        <v>540</v>
      </c>
    </row>
    <row r="200" spans="1:26" ht="15">
      <c r="A200" s="43" t="s">
        <v>789</v>
      </c>
      <c r="B200" s="44" t="s">
        <v>738</v>
      </c>
      <c r="C200" s="44" t="s">
        <v>489</v>
      </c>
      <c r="D200" s="45" t="s">
        <v>508</v>
      </c>
      <c r="E200" s="46"/>
      <c r="F200" s="46"/>
      <c r="G200" s="46"/>
      <c r="H200" s="46"/>
      <c r="I200" s="43">
        <v>0</v>
      </c>
      <c r="J200" s="43">
        <v>0</v>
      </c>
      <c r="K200" s="43">
        <v>540</v>
      </c>
      <c r="L200" s="43">
        <v>540</v>
      </c>
      <c r="O200" s="43" t="s">
        <v>790</v>
      </c>
      <c r="P200" s="44" t="s">
        <v>763</v>
      </c>
      <c r="Q200" s="44" t="s">
        <v>647</v>
      </c>
      <c r="R200" s="45" t="s">
        <v>506</v>
      </c>
      <c r="S200" s="46"/>
      <c r="T200" s="46"/>
      <c r="U200" s="46"/>
      <c r="V200" s="46"/>
      <c r="W200" s="43">
        <v>0</v>
      </c>
      <c r="X200" s="43">
        <v>0</v>
      </c>
      <c r="Y200" s="43">
        <v>540</v>
      </c>
      <c r="Z200" s="43">
        <v>540</v>
      </c>
    </row>
    <row r="201" spans="1:26" ht="15">
      <c r="A201" s="43" t="s">
        <v>789</v>
      </c>
      <c r="B201" s="44" t="s">
        <v>738</v>
      </c>
      <c r="C201" s="44" t="s">
        <v>489</v>
      </c>
      <c r="D201" s="45" t="s">
        <v>534</v>
      </c>
      <c r="E201" s="46"/>
      <c r="F201" s="46"/>
      <c r="G201" s="46"/>
      <c r="H201" s="46"/>
      <c r="I201" s="43">
        <v>0</v>
      </c>
      <c r="J201" s="43">
        <v>0</v>
      </c>
      <c r="K201" s="43">
        <v>540</v>
      </c>
      <c r="L201" s="43">
        <v>540</v>
      </c>
      <c r="O201" s="43" t="s">
        <v>790</v>
      </c>
      <c r="P201" s="44" t="s">
        <v>763</v>
      </c>
      <c r="Q201" s="44" t="s">
        <v>647</v>
      </c>
      <c r="R201" s="45" t="s">
        <v>507</v>
      </c>
      <c r="S201" s="46"/>
      <c r="T201" s="46"/>
      <c r="U201" s="46"/>
      <c r="V201" s="46"/>
      <c r="W201" s="43">
        <v>0</v>
      </c>
      <c r="X201" s="43">
        <v>0</v>
      </c>
      <c r="Y201" s="43">
        <v>540</v>
      </c>
      <c r="Z201" s="43">
        <v>540</v>
      </c>
    </row>
    <row r="202" spans="1:26" ht="15">
      <c r="A202" s="43" t="s">
        <v>789</v>
      </c>
      <c r="B202" s="44" t="s">
        <v>738</v>
      </c>
      <c r="C202" s="44" t="s">
        <v>489</v>
      </c>
      <c r="D202" s="45" t="s">
        <v>535</v>
      </c>
      <c r="E202" s="46"/>
      <c r="F202" s="46"/>
      <c r="G202" s="46"/>
      <c r="H202" s="46"/>
      <c r="I202" s="43">
        <v>0</v>
      </c>
      <c r="J202" s="43">
        <v>0</v>
      </c>
      <c r="K202" s="43">
        <v>540</v>
      </c>
      <c r="L202" s="43">
        <v>540</v>
      </c>
      <c r="O202" s="43" t="s">
        <v>790</v>
      </c>
      <c r="P202" s="44" t="s">
        <v>763</v>
      </c>
      <c r="Q202" s="44" t="s">
        <v>647</v>
      </c>
      <c r="R202" s="45" t="s">
        <v>534</v>
      </c>
      <c r="S202" s="46" t="s">
        <v>593</v>
      </c>
      <c r="T202" s="46" t="s">
        <v>584</v>
      </c>
      <c r="U202" s="46"/>
      <c r="V202" s="46"/>
      <c r="W202" s="43">
        <v>12</v>
      </c>
      <c r="X202" s="43">
        <v>0</v>
      </c>
      <c r="Y202" s="43">
        <v>0</v>
      </c>
      <c r="Z202" s="43">
        <v>12</v>
      </c>
    </row>
    <row r="203" spans="1:26" ht="15">
      <c r="A203" s="43" t="s">
        <v>789</v>
      </c>
      <c r="B203" s="44" t="s">
        <v>738</v>
      </c>
      <c r="C203" s="44" t="s">
        <v>489</v>
      </c>
      <c r="D203" s="45" t="s">
        <v>509</v>
      </c>
      <c r="E203" s="46"/>
      <c r="F203" s="46"/>
      <c r="G203" s="46"/>
      <c r="H203" s="46"/>
      <c r="I203" s="43">
        <v>0</v>
      </c>
      <c r="J203" s="43">
        <v>0</v>
      </c>
      <c r="K203" s="43">
        <v>540</v>
      </c>
      <c r="L203" s="43">
        <v>540</v>
      </c>
      <c r="O203" s="43" t="s">
        <v>790</v>
      </c>
      <c r="P203" s="44" t="s">
        <v>763</v>
      </c>
      <c r="Q203" s="44" t="s">
        <v>647</v>
      </c>
      <c r="R203" s="45" t="s">
        <v>538</v>
      </c>
      <c r="S203" s="46" t="s">
        <v>556</v>
      </c>
      <c r="T203" s="46" t="s">
        <v>696</v>
      </c>
      <c r="U203" s="46"/>
      <c r="V203" s="46"/>
      <c r="W203" s="43">
        <v>32</v>
      </c>
      <c r="X203" s="43">
        <v>0</v>
      </c>
      <c r="Y203" s="43">
        <v>0</v>
      </c>
      <c r="Z203" s="43">
        <v>32</v>
      </c>
    </row>
    <row r="204" spans="1:26" ht="15">
      <c r="A204" s="43" t="s">
        <v>789</v>
      </c>
      <c r="B204" s="44" t="s">
        <v>738</v>
      </c>
      <c r="C204" s="44" t="s">
        <v>489</v>
      </c>
      <c r="D204" s="45" t="s">
        <v>510</v>
      </c>
      <c r="E204" s="46"/>
      <c r="F204" s="46"/>
      <c r="G204" s="46"/>
      <c r="H204" s="46"/>
      <c r="I204" s="43">
        <v>0</v>
      </c>
      <c r="J204" s="43">
        <v>0</v>
      </c>
      <c r="K204" s="43">
        <v>540</v>
      </c>
      <c r="L204" s="43">
        <v>540</v>
      </c>
      <c r="O204" s="43" t="s">
        <v>790</v>
      </c>
      <c r="P204" s="44" t="s">
        <v>763</v>
      </c>
      <c r="Q204" s="44" t="s">
        <v>647</v>
      </c>
      <c r="R204" s="45" t="s">
        <v>512</v>
      </c>
      <c r="S204" s="46"/>
      <c r="T204" s="46"/>
      <c r="U204" s="46"/>
      <c r="V204" s="46"/>
      <c r="W204" s="43">
        <v>0</v>
      </c>
      <c r="X204" s="43">
        <v>0</v>
      </c>
      <c r="Y204" s="43">
        <v>540</v>
      </c>
      <c r="Z204" s="43">
        <v>540</v>
      </c>
    </row>
    <row r="205" spans="1:26" ht="15">
      <c r="A205" s="43" t="s">
        <v>789</v>
      </c>
      <c r="B205" s="44" t="s">
        <v>738</v>
      </c>
      <c r="C205" s="44" t="s">
        <v>489</v>
      </c>
      <c r="D205" s="45" t="s">
        <v>538</v>
      </c>
      <c r="E205" s="46"/>
      <c r="F205" s="46"/>
      <c r="G205" s="46"/>
      <c r="H205" s="46"/>
      <c r="I205" s="43">
        <v>0</v>
      </c>
      <c r="J205" s="43">
        <v>0</v>
      </c>
      <c r="K205" s="43">
        <v>540</v>
      </c>
      <c r="L205" s="43">
        <v>540</v>
      </c>
      <c r="O205" s="43" t="s">
        <v>790</v>
      </c>
      <c r="P205" s="44" t="s">
        <v>763</v>
      </c>
      <c r="Q205" s="44" t="s">
        <v>647</v>
      </c>
      <c r="R205" s="45" t="s">
        <v>515</v>
      </c>
      <c r="S205" s="46" t="s">
        <v>654</v>
      </c>
      <c r="T205" s="46" t="s">
        <v>584</v>
      </c>
      <c r="U205" s="46"/>
      <c r="V205" s="46"/>
      <c r="W205" s="43">
        <v>11</v>
      </c>
      <c r="X205" s="43">
        <v>0</v>
      </c>
      <c r="Y205" s="43">
        <v>0</v>
      </c>
      <c r="Z205" s="43">
        <v>11</v>
      </c>
    </row>
    <row r="206" spans="1:26" ht="15">
      <c r="A206" s="43" t="s">
        <v>789</v>
      </c>
      <c r="B206" s="44" t="s">
        <v>738</v>
      </c>
      <c r="C206" s="44" t="s">
        <v>489</v>
      </c>
      <c r="D206" s="45" t="s">
        <v>540</v>
      </c>
      <c r="E206" s="46"/>
      <c r="F206" s="46"/>
      <c r="G206" s="46"/>
      <c r="H206" s="46"/>
      <c r="I206" s="43">
        <v>0</v>
      </c>
      <c r="J206" s="43">
        <v>0</v>
      </c>
      <c r="K206" s="43">
        <v>540</v>
      </c>
      <c r="L206" s="43">
        <v>540</v>
      </c>
      <c r="O206" s="43" t="s">
        <v>790</v>
      </c>
      <c r="P206" s="44" t="s">
        <v>763</v>
      </c>
      <c r="Q206" s="44" t="s">
        <v>647</v>
      </c>
      <c r="R206" s="45" t="s">
        <v>518</v>
      </c>
      <c r="S206" s="46" t="s">
        <v>636</v>
      </c>
      <c r="T206" s="46"/>
      <c r="U206" s="46"/>
      <c r="V206" s="46"/>
      <c r="W206" s="43">
        <v>0</v>
      </c>
      <c r="X206" s="43">
        <v>0</v>
      </c>
      <c r="Y206" s="43">
        <v>540</v>
      </c>
      <c r="Z206" s="43">
        <v>540</v>
      </c>
    </row>
    <row r="207" spans="1:26" ht="15">
      <c r="A207" s="43" t="s">
        <v>789</v>
      </c>
      <c r="B207" s="44" t="s">
        <v>738</v>
      </c>
      <c r="C207" s="44" t="s">
        <v>489</v>
      </c>
      <c r="D207" s="45" t="s">
        <v>543</v>
      </c>
      <c r="E207" s="46"/>
      <c r="F207" s="46"/>
      <c r="G207" s="46"/>
      <c r="H207" s="46"/>
      <c r="I207" s="43">
        <v>0</v>
      </c>
      <c r="J207" s="43">
        <v>0</v>
      </c>
      <c r="K207" s="43">
        <v>540</v>
      </c>
      <c r="L207" s="43">
        <v>540</v>
      </c>
      <c r="O207" s="43" t="s">
        <v>791</v>
      </c>
      <c r="P207" s="44" t="s">
        <v>764</v>
      </c>
      <c r="Q207" s="44" t="s">
        <v>647</v>
      </c>
      <c r="R207" s="45" t="s">
        <v>490</v>
      </c>
      <c r="S207" s="46" t="s">
        <v>511</v>
      </c>
      <c r="T207" s="46" t="s">
        <v>588</v>
      </c>
      <c r="U207" s="46"/>
      <c r="V207" s="46"/>
      <c r="W207" s="43">
        <v>13</v>
      </c>
      <c r="X207" s="43">
        <v>0</v>
      </c>
      <c r="Y207" s="43">
        <v>0</v>
      </c>
      <c r="Z207" s="43">
        <v>13</v>
      </c>
    </row>
    <row r="208" spans="1:26" ht="15">
      <c r="A208" s="43" t="s">
        <v>789</v>
      </c>
      <c r="B208" s="44" t="s">
        <v>738</v>
      </c>
      <c r="C208" s="44" t="s">
        <v>489</v>
      </c>
      <c r="D208" s="45" t="s">
        <v>512</v>
      </c>
      <c r="E208" s="46"/>
      <c r="F208" s="46"/>
      <c r="G208" s="46"/>
      <c r="H208" s="46"/>
      <c r="I208" s="43">
        <v>0</v>
      </c>
      <c r="J208" s="43">
        <v>0</v>
      </c>
      <c r="K208" s="43">
        <v>540</v>
      </c>
      <c r="L208" s="43">
        <v>540</v>
      </c>
      <c r="O208" s="43" t="s">
        <v>791</v>
      </c>
      <c r="P208" s="44" t="s">
        <v>764</v>
      </c>
      <c r="Q208" s="44" t="s">
        <v>647</v>
      </c>
      <c r="R208" s="45" t="s">
        <v>491</v>
      </c>
      <c r="S208" s="46" t="s">
        <v>662</v>
      </c>
      <c r="T208" s="46" t="s">
        <v>584</v>
      </c>
      <c r="U208" s="46"/>
      <c r="V208" s="46"/>
      <c r="W208" s="43">
        <v>21</v>
      </c>
      <c r="X208" s="43">
        <v>0</v>
      </c>
      <c r="Y208" s="43">
        <v>0</v>
      </c>
      <c r="Z208" s="43">
        <v>21</v>
      </c>
    </row>
    <row r="209" spans="1:26" ht="15">
      <c r="A209" s="43" t="s">
        <v>789</v>
      </c>
      <c r="B209" s="44" t="s">
        <v>738</v>
      </c>
      <c r="C209" s="44" t="s">
        <v>489</v>
      </c>
      <c r="D209" s="45" t="s">
        <v>513</v>
      </c>
      <c r="E209" s="46"/>
      <c r="F209" s="46"/>
      <c r="G209" s="46"/>
      <c r="H209" s="46"/>
      <c r="I209" s="43">
        <v>0</v>
      </c>
      <c r="J209" s="43">
        <v>0</v>
      </c>
      <c r="K209" s="43">
        <v>540</v>
      </c>
      <c r="L209" s="43">
        <v>540</v>
      </c>
      <c r="O209" s="43" t="s">
        <v>791</v>
      </c>
      <c r="P209" s="44" t="s">
        <v>764</v>
      </c>
      <c r="Q209" s="44" t="s">
        <v>647</v>
      </c>
      <c r="R209" s="45" t="s">
        <v>494</v>
      </c>
      <c r="S209" s="46" t="s">
        <v>697</v>
      </c>
      <c r="T209" s="46" t="s">
        <v>588</v>
      </c>
      <c r="U209" s="46"/>
      <c r="V209" s="46"/>
      <c r="W209" s="43">
        <v>84</v>
      </c>
      <c r="X209" s="43">
        <v>0</v>
      </c>
      <c r="Y209" s="43">
        <v>0</v>
      </c>
      <c r="Z209" s="43">
        <v>84</v>
      </c>
    </row>
    <row r="210" spans="1:26" ht="15">
      <c r="A210" s="43" t="s">
        <v>789</v>
      </c>
      <c r="B210" s="44" t="s">
        <v>738</v>
      </c>
      <c r="C210" s="44" t="s">
        <v>489</v>
      </c>
      <c r="D210" s="45" t="s">
        <v>515</v>
      </c>
      <c r="E210" s="46"/>
      <c r="F210" s="46"/>
      <c r="G210" s="46"/>
      <c r="H210" s="46"/>
      <c r="I210" s="43">
        <v>0</v>
      </c>
      <c r="J210" s="43">
        <v>0</v>
      </c>
      <c r="K210" s="43">
        <v>540</v>
      </c>
      <c r="L210" s="43">
        <v>540</v>
      </c>
      <c r="O210" s="43" t="s">
        <v>791</v>
      </c>
      <c r="P210" s="44" t="s">
        <v>764</v>
      </c>
      <c r="Q210" s="44" t="s">
        <v>647</v>
      </c>
      <c r="R210" s="45" t="s">
        <v>498</v>
      </c>
      <c r="S210" s="46" t="s">
        <v>589</v>
      </c>
      <c r="T210" s="46"/>
      <c r="U210" s="46"/>
      <c r="V210" s="46"/>
      <c r="W210" s="43">
        <v>0</v>
      </c>
      <c r="X210" s="43">
        <v>0</v>
      </c>
      <c r="Y210" s="43">
        <v>540</v>
      </c>
      <c r="Z210" s="43">
        <v>540</v>
      </c>
    </row>
    <row r="211" spans="1:26" ht="15">
      <c r="A211" s="43" t="s">
        <v>789</v>
      </c>
      <c r="B211" s="44" t="s">
        <v>738</v>
      </c>
      <c r="C211" s="44" t="s">
        <v>489</v>
      </c>
      <c r="D211" s="45" t="s">
        <v>517</v>
      </c>
      <c r="E211" s="46"/>
      <c r="F211" s="46"/>
      <c r="G211" s="46"/>
      <c r="H211" s="46"/>
      <c r="I211" s="43">
        <v>0</v>
      </c>
      <c r="J211" s="43">
        <v>0</v>
      </c>
      <c r="K211" s="43">
        <v>540</v>
      </c>
      <c r="L211" s="43">
        <v>540</v>
      </c>
      <c r="O211" s="43" t="s">
        <v>791</v>
      </c>
      <c r="P211" s="44" t="s">
        <v>764</v>
      </c>
      <c r="Q211" s="44" t="s">
        <v>647</v>
      </c>
      <c r="R211" s="45" t="s">
        <v>506</v>
      </c>
      <c r="S211" s="46"/>
      <c r="T211" s="46"/>
      <c r="U211" s="46"/>
      <c r="V211" s="46"/>
      <c r="W211" s="43">
        <v>0</v>
      </c>
      <c r="X211" s="43">
        <v>0</v>
      </c>
      <c r="Y211" s="43">
        <v>540</v>
      </c>
      <c r="Z211" s="43">
        <v>540</v>
      </c>
    </row>
    <row r="212" spans="1:26" ht="15">
      <c r="A212" s="43" t="s">
        <v>789</v>
      </c>
      <c r="B212" s="44" t="s">
        <v>738</v>
      </c>
      <c r="C212" s="44" t="s">
        <v>489</v>
      </c>
      <c r="D212" s="45" t="s">
        <v>518</v>
      </c>
      <c r="E212" s="46"/>
      <c r="F212" s="46"/>
      <c r="G212" s="46"/>
      <c r="H212" s="46"/>
      <c r="I212" s="43">
        <v>0</v>
      </c>
      <c r="J212" s="43">
        <v>0</v>
      </c>
      <c r="K212" s="43">
        <v>540</v>
      </c>
      <c r="L212" s="43">
        <v>540</v>
      </c>
      <c r="O212" s="43" t="s">
        <v>791</v>
      </c>
      <c r="P212" s="44" t="s">
        <v>764</v>
      </c>
      <c r="Q212" s="44" t="s">
        <v>647</v>
      </c>
      <c r="R212" s="45" t="s">
        <v>507</v>
      </c>
      <c r="S212" s="46"/>
      <c r="T212" s="46"/>
      <c r="U212" s="46"/>
      <c r="V212" s="46"/>
      <c r="W212" s="43">
        <v>0</v>
      </c>
      <c r="X212" s="43">
        <v>0</v>
      </c>
      <c r="Y212" s="43">
        <v>540</v>
      </c>
      <c r="Z212" s="43">
        <v>540</v>
      </c>
    </row>
    <row r="213" spans="1:26" ht="15">
      <c r="A213" s="43" t="s">
        <v>775</v>
      </c>
      <c r="B213" s="44" t="s">
        <v>737</v>
      </c>
      <c r="C213" s="44" t="s">
        <v>489</v>
      </c>
      <c r="D213" s="45" t="s">
        <v>490</v>
      </c>
      <c r="E213" s="46"/>
      <c r="F213" s="46"/>
      <c r="G213" s="46"/>
      <c r="H213" s="46"/>
      <c r="I213" s="43">
        <v>0</v>
      </c>
      <c r="J213" s="43">
        <v>0</v>
      </c>
      <c r="K213" s="43">
        <v>540</v>
      </c>
      <c r="L213" s="43">
        <v>540</v>
      </c>
      <c r="O213" s="43" t="s">
        <v>791</v>
      </c>
      <c r="P213" s="44" t="s">
        <v>764</v>
      </c>
      <c r="Q213" s="44" t="s">
        <v>647</v>
      </c>
      <c r="R213" s="45" t="s">
        <v>534</v>
      </c>
      <c r="S213" s="46" t="s">
        <v>593</v>
      </c>
      <c r="T213" s="46" t="s">
        <v>584</v>
      </c>
      <c r="U213" s="46"/>
      <c r="V213" s="46"/>
      <c r="W213" s="43">
        <v>12</v>
      </c>
      <c r="X213" s="43">
        <v>0</v>
      </c>
      <c r="Y213" s="43">
        <v>0</v>
      </c>
      <c r="Z213" s="43">
        <v>12</v>
      </c>
    </row>
    <row r="214" spans="1:26" ht="15">
      <c r="A214" s="43" t="s">
        <v>775</v>
      </c>
      <c r="B214" s="44" t="s">
        <v>737</v>
      </c>
      <c r="C214" s="44" t="s">
        <v>489</v>
      </c>
      <c r="D214" s="45" t="s">
        <v>491</v>
      </c>
      <c r="E214" s="46" t="s">
        <v>591</v>
      </c>
      <c r="F214" s="46" t="s">
        <v>581</v>
      </c>
      <c r="G214" s="46"/>
      <c r="H214" s="46"/>
      <c r="I214" s="43">
        <v>260</v>
      </c>
      <c r="J214" s="43">
        <v>0</v>
      </c>
      <c r="K214" s="43">
        <v>0</v>
      </c>
      <c r="L214" s="43">
        <v>260</v>
      </c>
      <c r="O214" s="43" t="s">
        <v>791</v>
      </c>
      <c r="P214" s="44" t="s">
        <v>764</v>
      </c>
      <c r="Q214" s="44" t="s">
        <v>647</v>
      </c>
      <c r="R214" s="45" t="s">
        <v>538</v>
      </c>
      <c r="S214" s="46" t="s">
        <v>511</v>
      </c>
      <c r="T214" s="46" t="s">
        <v>696</v>
      </c>
      <c r="U214" s="46"/>
      <c r="V214" s="46"/>
      <c r="W214" s="43">
        <v>13</v>
      </c>
      <c r="X214" s="43">
        <v>0</v>
      </c>
      <c r="Y214" s="43">
        <v>0</v>
      </c>
      <c r="Z214" s="43">
        <v>13</v>
      </c>
    </row>
    <row r="215" spans="1:26" ht="15">
      <c r="A215" s="43" t="s">
        <v>775</v>
      </c>
      <c r="B215" s="44" t="s">
        <v>737</v>
      </c>
      <c r="C215" s="44" t="s">
        <v>489</v>
      </c>
      <c r="D215" s="45" t="s">
        <v>493</v>
      </c>
      <c r="E215" s="46" t="s">
        <v>592</v>
      </c>
      <c r="F215" s="46"/>
      <c r="G215" s="46"/>
      <c r="H215" s="46"/>
      <c r="I215" s="43">
        <v>0</v>
      </c>
      <c r="J215" s="43">
        <v>0</v>
      </c>
      <c r="K215" s="43">
        <v>540</v>
      </c>
      <c r="L215" s="43">
        <v>540</v>
      </c>
      <c r="O215" s="43" t="s">
        <v>791</v>
      </c>
      <c r="P215" s="44" t="s">
        <v>764</v>
      </c>
      <c r="Q215" s="44" t="s">
        <v>647</v>
      </c>
      <c r="R215" s="45" t="s">
        <v>512</v>
      </c>
      <c r="S215" s="46"/>
      <c r="T215" s="46"/>
      <c r="U215" s="46"/>
      <c r="V215" s="46"/>
      <c r="W215" s="43">
        <v>0</v>
      </c>
      <c r="X215" s="43">
        <v>0</v>
      </c>
      <c r="Y215" s="43">
        <v>540</v>
      </c>
      <c r="Z215" s="43">
        <v>540</v>
      </c>
    </row>
    <row r="216" spans="1:26" ht="15">
      <c r="A216" s="43" t="s">
        <v>775</v>
      </c>
      <c r="B216" s="44" t="s">
        <v>737</v>
      </c>
      <c r="C216" s="44" t="s">
        <v>489</v>
      </c>
      <c r="D216" s="45" t="s">
        <v>495</v>
      </c>
      <c r="E216" s="46"/>
      <c r="F216" s="46"/>
      <c r="G216" s="46"/>
      <c r="H216" s="46"/>
      <c r="I216" s="43">
        <v>0</v>
      </c>
      <c r="J216" s="43">
        <v>0</v>
      </c>
      <c r="K216" s="43">
        <v>540</v>
      </c>
      <c r="L216" s="43">
        <v>540</v>
      </c>
      <c r="O216" s="43" t="s">
        <v>791</v>
      </c>
      <c r="P216" s="44" t="s">
        <v>764</v>
      </c>
      <c r="Q216" s="44" t="s">
        <v>647</v>
      </c>
      <c r="R216" s="45" t="s">
        <v>515</v>
      </c>
      <c r="S216" s="46" t="s">
        <v>654</v>
      </c>
      <c r="T216" s="46" t="s">
        <v>584</v>
      </c>
      <c r="U216" s="46"/>
      <c r="V216" s="46"/>
      <c r="W216" s="43">
        <v>11</v>
      </c>
      <c r="X216" s="43">
        <v>0</v>
      </c>
      <c r="Y216" s="43">
        <v>0</v>
      </c>
      <c r="Z216" s="43">
        <v>11</v>
      </c>
    </row>
    <row r="217" spans="1:26" ht="15">
      <c r="A217" s="43" t="s">
        <v>775</v>
      </c>
      <c r="B217" s="44" t="s">
        <v>737</v>
      </c>
      <c r="C217" s="44" t="s">
        <v>489</v>
      </c>
      <c r="D217" s="45" t="s">
        <v>496</v>
      </c>
      <c r="E217" s="46" t="s">
        <v>593</v>
      </c>
      <c r="F217" s="46"/>
      <c r="G217" s="46"/>
      <c r="H217" s="46"/>
      <c r="I217" s="43">
        <v>0</v>
      </c>
      <c r="J217" s="43">
        <v>0</v>
      </c>
      <c r="K217" s="43">
        <v>540</v>
      </c>
      <c r="L217" s="43">
        <v>540</v>
      </c>
      <c r="O217" s="43" t="s">
        <v>791</v>
      </c>
      <c r="P217" s="44" t="s">
        <v>764</v>
      </c>
      <c r="Q217" s="44" t="s">
        <v>647</v>
      </c>
      <c r="R217" s="45" t="s">
        <v>518</v>
      </c>
      <c r="S217" s="46" t="s">
        <v>636</v>
      </c>
      <c r="T217" s="46"/>
      <c r="U217" s="46"/>
      <c r="V217" s="46"/>
      <c r="W217" s="43">
        <v>0</v>
      </c>
      <c r="X217" s="43">
        <v>0</v>
      </c>
      <c r="Y217" s="43">
        <v>540</v>
      </c>
      <c r="Z217" s="43">
        <v>540</v>
      </c>
    </row>
    <row r="218" spans="1:26" ht="15">
      <c r="A218" s="43" t="s">
        <v>775</v>
      </c>
      <c r="B218" s="44" t="s">
        <v>737</v>
      </c>
      <c r="C218" s="44" t="s">
        <v>489</v>
      </c>
      <c r="D218" s="45" t="s">
        <v>498</v>
      </c>
      <c r="E218" s="46" t="s">
        <v>593</v>
      </c>
      <c r="F218" s="46"/>
      <c r="G218" s="46"/>
      <c r="H218" s="46"/>
      <c r="I218" s="43">
        <v>0</v>
      </c>
      <c r="J218" s="43">
        <v>0</v>
      </c>
      <c r="K218" s="43">
        <v>540</v>
      </c>
      <c r="L218" s="43">
        <v>540</v>
      </c>
      <c r="O218" s="43" t="s">
        <v>792</v>
      </c>
      <c r="P218" s="44" t="s">
        <v>765</v>
      </c>
      <c r="Q218" s="44" t="s">
        <v>647</v>
      </c>
      <c r="R218" s="45" t="s">
        <v>490</v>
      </c>
      <c r="S218" s="46" t="s">
        <v>592</v>
      </c>
      <c r="T218" s="46" t="s">
        <v>584</v>
      </c>
      <c r="U218" s="46"/>
      <c r="V218" s="46"/>
      <c r="W218" s="43">
        <v>16</v>
      </c>
      <c r="X218" s="43">
        <v>0</v>
      </c>
      <c r="Y218" s="43">
        <v>0</v>
      </c>
      <c r="Z218" s="43">
        <v>16</v>
      </c>
    </row>
    <row r="219" spans="1:26" ht="15">
      <c r="A219" s="43" t="s">
        <v>775</v>
      </c>
      <c r="B219" s="44" t="s">
        <v>737</v>
      </c>
      <c r="C219" s="44" t="s">
        <v>489</v>
      </c>
      <c r="D219" s="45" t="s">
        <v>506</v>
      </c>
      <c r="E219" s="46"/>
      <c r="F219" s="46"/>
      <c r="G219" s="46"/>
      <c r="H219" s="46"/>
      <c r="I219" s="43">
        <v>0</v>
      </c>
      <c r="J219" s="43">
        <v>0</v>
      </c>
      <c r="K219" s="43">
        <v>540</v>
      </c>
      <c r="L219" s="43">
        <v>540</v>
      </c>
      <c r="O219" s="43" t="s">
        <v>792</v>
      </c>
      <c r="P219" s="44" t="s">
        <v>765</v>
      </c>
      <c r="Q219" s="44" t="s">
        <v>647</v>
      </c>
      <c r="R219" s="45" t="s">
        <v>491</v>
      </c>
      <c r="S219" s="46" t="s">
        <v>567</v>
      </c>
      <c r="T219" s="46"/>
      <c r="U219" s="46"/>
      <c r="V219" s="46"/>
      <c r="W219" s="43">
        <v>39</v>
      </c>
      <c r="X219" s="43">
        <v>0</v>
      </c>
      <c r="Y219" s="43">
        <v>501</v>
      </c>
      <c r="Z219" s="43">
        <v>540</v>
      </c>
    </row>
    <row r="220" spans="1:26" ht="15">
      <c r="A220" s="43" t="s">
        <v>775</v>
      </c>
      <c r="B220" s="44" t="s">
        <v>737</v>
      </c>
      <c r="C220" s="44" t="s">
        <v>489</v>
      </c>
      <c r="D220" s="45" t="s">
        <v>512</v>
      </c>
      <c r="E220" s="46"/>
      <c r="F220" s="46"/>
      <c r="G220" s="46"/>
      <c r="H220" s="46"/>
      <c r="I220" s="43">
        <v>0</v>
      </c>
      <c r="J220" s="43">
        <v>0</v>
      </c>
      <c r="K220" s="43">
        <v>540</v>
      </c>
      <c r="L220" s="43">
        <v>540</v>
      </c>
      <c r="O220" s="43" t="s">
        <v>792</v>
      </c>
      <c r="P220" s="44" t="s">
        <v>765</v>
      </c>
      <c r="Q220" s="44" t="s">
        <v>647</v>
      </c>
      <c r="R220" s="45" t="s">
        <v>498</v>
      </c>
      <c r="S220" s="46" t="s">
        <v>698</v>
      </c>
      <c r="T220" s="46"/>
      <c r="U220" s="46"/>
      <c r="V220" s="46"/>
      <c r="W220" s="43">
        <v>265</v>
      </c>
      <c r="X220" s="43">
        <v>0</v>
      </c>
      <c r="Y220" s="43">
        <v>275</v>
      </c>
      <c r="Z220" s="43">
        <v>540</v>
      </c>
    </row>
    <row r="221" spans="1:26" ht="15">
      <c r="A221" s="43" t="s">
        <v>775</v>
      </c>
      <c r="B221" s="44" t="s">
        <v>737</v>
      </c>
      <c r="C221" s="44" t="s">
        <v>489</v>
      </c>
      <c r="D221" s="45" t="s">
        <v>513</v>
      </c>
      <c r="E221" s="46"/>
      <c r="F221" s="46"/>
      <c r="G221" s="46"/>
      <c r="H221" s="46"/>
      <c r="I221" s="43">
        <v>0</v>
      </c>
      <c r="J221" s="43">
        <v>0</v>
      </c>
      <c r="K221" s="43">
        <v>540</v>
      </c>
      <c r="L221" s="43">
        <v>540</v>
      </c>
      <c r="O221" s="43" t="s">
        <v>792</v>
      </c>
      <c r="P221" s="44" t="s">
        <v>765</v>
      </c>
      <c r="Q221" s="44" t="s">
        <v>647</v>
      </c>
      <c r="R221" s="45" t="s">
        <v>506</v>
      </c>
      <c r="S221" s="46"/>
      <c r="T221" s="46"/>
      <c r="U221" s="46"/>
      <c r="V221" s="46"/>
      <c r="W221" s="43">
        <v>0</v>
      </c>
      <c r="X221" s="43">
        <v>0</v>
      </c>
      <c r="Y221" s="43">
        <v>540</v>
      </c>
      <c r="Z221" s="43">
        <v>540</v>
      </c>
    </row>
    <row r="222" spans="1:26" ht="15">
      <c r="A222" s="43" t="s">
        <v>775</v>
      </c>
      <c r="B222" s="44" t="s">
        <v>737</v>
      </c>
      <c r="C222" s="44" t="s">
        <v>489</v>
      </c>
      <c r="D222" s="45" t="s">
        <v>518</v>
      </c>
      <c r="E222" s="46" t="s">
        <v>594</v>
      </c>
      <c r="F222" s="46"/>
      <c r="G222" s="46"/>
      <c r="H222" s="46"/>
      <c r="I222" s="43">
        <v>0</v>
      </c>
      <c r="J222" s="43">
        <v>0</v>
      </c>
      <c r="K222" s="43">
        <v>540</v>
      </c>
      <c r="L222" s="43">
        <v>540</v>
      </c>
      <c r="O222" s="43" t="s">
        <v>792</v>
      </c>
      <c r="P222" s="44" t="s">
        <v>765</v>
      </c>
      <c r="Q222" s="44" t="s">
        <v>647</v>
      </c>
      <c r="R222" s="45" t="s">
        <v>507</v>
      </c>
      <c r="S222" s="46" t="s">
        <v>511</v>
      </c>
      <c r="T222" s="46" t="s">
        <v>560</v>
      </c>
      <c r="U222" s="46"/>
      <c r="V222" s="46"/>
      <c r="W222" s="43">
        <v>13</v>
      </c>
      <c r="X222" s="43">
        <v>1</v>
      </c>
      <c r="Y222" s="43">
        <v>0</v>
      </c>
      <c r="Z222" s="43">
        <v>14</v>
      </c>
    </row>
    <row r="223" spans="1:26" ht="15">
      <c r="A223" s="43" t="s">
        <v>793</v>
      </c>
      <c r="B223" s="44" t="s">
        <v>736</v>
      </c>
      <c r="C223" s="44" t="s">
        <v>489</v>
      </c>
      <c r="D223" s="45" t="s">
        <v>490</v>
      </c>
      <c r="E223" s="46"/>
      <c r="F223" s="46"/>
      <c r="G223" s="46"/>
      <c r="H223" s="46"/>
      <c r="I223" s="43">
        <v>0</v>
      </c>
      <c r="J223" s="43">
        <v>0</v>
      </c>
      <c r="K223" s="43">
        <v>540</v>
      </c>
      <c r="L223" s="43">
        <v>540</v>
      </c>
      <c r="O223" s="43" t="s">
        <v>792</v>
      </c>
      <c r="P223" s="44" t="s">
        <v>765</v>
      </c>
      <c r="Q223" s="44" t="s">
        <v>647</v>
      </c>
      <c r="R223" s="45" t="s">
        <v>534</v>
      </c>
      <c r="S223" s="46" t="s">
        <v>654</v>
      </c>
      <c r="T223" s="46" t="s">
        <v>584</v>
      </c>
      <c r="U223" s="46"/>
      <c r="V223" s="46"/>
      <c r="W223" s="43">
        <v>11</v>
      </c>
      <c r="X223" s="43">
        <v>0</v>
      </c>
      <c r="Y223" s="43">
        <v>0</v>
      </c>
      <c r="Z223" s="43">
        <v>11</v>
      </c>
    </row>
    <row r="224" spans="1:26" ht="15">
      <c r="A224" s="43" t="s">
        <v>793</v>
      </c>
      <c r="B224" s="44" t="s">
        <v>736</v>
      </c>
      <c r="C224" s="44" t="s">
        <v>489</v>
      </c>
      <c r="D224" s="45" t="s">
        <v>491</v>
      </c>
      <c r="E224" s="46" t="s">
        <v>595</v>
      </c>
      <c r="F224" s="46" t="s">
        <v>560</v>
      </c>
      <c r="G224" s="46"/>
      <c r="H224" s="46"/>
      <c r="I224" s="43">
        <v>259</v>
      </c>
      <c r="J224" s="43">
        <v>0</v>
      </c>
      <c r="K224" s="43">
        <v>0</v>
      </c>
      <c r="L224" s="43">
        <v>259</v>
      </c>
      <c r="O224" s="43" t="s">
        <v>792</v>
      </c>
      <c r="P224" s="44" t="s">
        <v>765</v>
      </c>
      <c r="Q224" s="44" t="s">
        <v>647</v>
      </c>
      <c r="R224" s="45" t="s">
        <v>535</v>
      </c>
      <c r="S224" s="46" t="s">
        <v>674</v>
      </c>
      <c r="T224" s="46" t="s">
        <v>560</v>
      </c>
      <c r="U224" s="46"/>
      <c r="V224" s="46"/>
      <c r="W224" s="43">
        <v>0</v>
      </c>
      <c r="X224" s="43">
        <v>1</v>
      </c>
      <c r="Y224" s="43">
        <v>0</v>
      </c>
      <c r="Z224" s="43">
        <v>1</v>
      </c>
    </row>
    <row r="225" spans="1:26" ht="15">
      <c r="A225" s="43" t="s">
        <v>793</v>
      </c>
      <c r="B225" s="44" t="s">
        <v>736</v>
      </c>
      <c r="C225" s="44" t="s">
        <v>489</v>
      </c>
      <c r="D225" s="45" t="s">
        <v>498</v>
      </c>
      <c r="E225" s="46" t="s">
        <v>596</v>
      </c>
      <c r="F225" s="46" t="s">
        <v>552</v>
      </c>
      <c r="G225" s="46"/>
      <c r="H225" s="46"/>
      <c r="I225" s="43">
        <v>218</v>
      </c>
      <c r="J225" s="43">
        <v>0</v>
      </c>
      <c r="K225" s="43">
        <v>0</v>
      </c>
      <c r="L225" s="43">
        <v>218</v>
      </c>
      <c r="O225" s="43" t="s">
        <v>792</v>
      </c>
      <c r="P225" s="44" t="s">
        <v>765</v>
      </c>
      <c r="Q225" s="44" t="s">
        <v>647</v>
      </c>
      <c r="R225" s="45" t="s">
        <v>510</v>
      </c>
      <c r="S225" s="46" t="s">
        <v>589</v>
      </c>
      <c r="T225" s="46" t="s">
        <v>699</v>
      </c>
      <c r="U225" s="46"/>
      <c r="V225" s="46"/>
      <c r="W225" s="43">
        <v>0</v>
      </c>
      <c r="X225" s="43">
        <v>321</v>
      </c>
      <c r="Y225" s="43">
        <v>0</v>
      </c>
      <c r="Z225" s="43">
        <v>321</v>
      </c>
    </row>
    <row r="226" spans="1:26" ht="15">
      <c r="A226" s="43" t="s">
        <v>793</v>
      </c>
      <c r="B226" s="44" t="s">
        <v>736</v>
      </c>
      <c r="C226" s="44" t="s">
        <v>489</v>
      </c>
      <c r="D226" s="45" t="s">
        <v>506</v>
      </c>
      <c r="E226" s="46"/>
      <c r="F226" s="46"/>
      <c r="G226" s="46"/>
      <c r="H226" s="46"/>
      <c r="I226" s="43">
        <v>0</v>
      </c>
      <c r="J226" s="43">
        <v>0</v>
      </c>
      <c r="K226" s="43">
        <v>540</v>
      </c>
      <c r="L226" s="43">
        <v>540</v>
      </c>
      <c r="O226" s="43" t="s">
        <v>792</v>
      </c>
      <c r="P226" s="44" t="s">
        <v>765</v>
      </c>
      <c r="Q226" s="44" t="s">
        <v>647</v>
      </c>
      <c r="R226" s="45" t="s">
        <v>512</v>
      </c>
      <c r="S226" s="46"/>
      <c r="T226" s="46"/>
      <c r="U226" s="46"/>
      <c r="V226" s="46"/>
      <c r="W226" s="43">
        <v>0</v>
      </c>
      <c r="X226" s="43">
        <v>0</v>
      </c>
      <c r="Y226" s="43">
        <v>540</v>
      </c>
      <c r="Z226" s="43">
        <v>540</v>
      </c>
    </row>
    <row r="227" spans="1:26" ht="15">
      <c r="A227" s="43" t="s">
        <v>793</v>
      </c>
      <c r="B227" s="44" t="s">
        <v>736</v>
      </c>
      <c r="C227" s="44" t="s">
        <v>489</v>
      </c>
      <c r="D227" s="45" t="s">
        <v>543</v>
      </c>
      <c r="E227" s="46"/>
      <c r="F227" s="46"/>
      <c r="G227" s="46"/>
      <c r="H227" s="46"/>
      <c r="I227" s="43">
        <v>0</v>
      </c>
      <c r="J227" s="43">
        <v>0</v>
      </c>
      <c r="K227" s="43">
        <v>540</v>
      </c>
      <c r="L227" s="43">
        <v>540</v>
      </c>
      <c r="O227" s="43" t="s">
        <v>792</v>
      </c>
      <c r="P227" s="44" t="s">
        <v>765</v>
      </c>
      <c r="Q227" s="44" t="s">
        <v>647</v>
      </c>
      <c r="R227" s="45" t="s">
        <v>515</v>
      </c>
      <c r="S227" s="46" t="s">
        <v>654</v>
      </c>
      <c r="T227" s="46" t="s">
        <v>584</v>
      </c>
      <c r="U227" s="46"/>
      <c r="V227" s="46"/>
      <c r="W227" s="43">
        <v>11</v>
      </c>
      <c r="X227" s="43">
        <v>0</v>
      </c>
      <c r="Y227" s="43">
        <v>0</v>
      </c>
      <c r="Z227" s="43">
        <v>11</v>
      </c>
    </row>
    <row r="228" spans="1:26" ht="15">
      <c r="A228" s="43" t="s">
        <v>793</v>
      </c>
      <c r="B228" s="44" t="s">
        <v>736</v>
      </c>
      <c r="C228" s="44" t="s">
        <v>489</v>
      </c>
      <c r="D228" s="45" t="s">
        <v>512</v>
      </c>
      <c r="E228" s="46"/>
      <c r="F228" s="46"/>
      <c r="G228" s="46"/>
      <c r="H228" s="46"/>
      <c r="I228" s="43">
        <v>0</v>
      </c>
      <c r="J228" s="43">
        <v>0</v>
      </c>
      <c r="K228" s="43">
        <v>540</v>
      </c>
      <c r="L228" s="43">
        <v>540</v>
      </c>
      <c r="O228" s="43" t="s">
        <v>792</v>
      </c>
      <c r="P228" s="44" t="s">
        <v>765</v>
      </c>
      <c r="Q228" s="44" t="s">
        <v>647</v>
      </c>
      <c r="R228" s="45" t="s">
        <v>518</v>
      </c>
      <c r="S228" s="46" t="s">
        <v>634</v>
      </c>
      <c r="T228" s="46"/>
      <c r="U228" s="46"/>
      <c r="V228" s="46"/>
      <c r="W228" s="43">
        <v>0</v>
      </c>
      <c r="X228" s="43">
        <v>0</v>
      </c>
      <c r="Y228" s="43">
        <v>540</v>
      </c>
      <c r="Z228" s="43">
        <v>540</v>
      </c>
    </row>
    <row r="229" spans="1:26" ht="15">
      <c r="A229" s="43" t="s">
        <v>793</v>
      </c>
      <c r="B229" s="44" t="s">
        <v>736</v>
      </c>
      <c r="C229" s="44" t="s">
        <v>489</v>
      </c>
      <c r="D229" s="45" t="s">
        <v>513</v>
      </c>
      <c r="E229" s="46" t="s">
        <v>589</v>
      </c>
      <c r="F229" s="46" t="s">
        <v>597</v>
      </c>
      <c r="G229" s="46"/>
      <c r="H229" s="46"/>
      <c r="I229" s="43">
        <v>0</v>
      </c>
      <c r="J229" s="43">
        <v>122</v>
      </c>
      <c r="K229" s="43">
        <v>0</v>
      </c>
      <c r="L229" s="43">
        <v>122</v>
      </c>
      <c r="O229" s="43" t="s">
        <v>794</v>
      </c>
      <c r="P229" s="44" t="s">
        <v>767</v>
      </c>
      <c r="Q229" s="44" t="s">
        <v>647</v>
      </c>
      <c r="R229" s="45" t="s">
        <v>490</v>
      </c>
      <c r="S229" s="46" t="s">
        <v>567</v>
      </c>
      <c r="T229" s="46" t="s">
        <v>663</v>
      </c>
      <c r="U229" s="46"/>
      <c r="V229" s="46"/>
      <c r="W229" s="43">
        <v>39</v>
      </c>
      <c r="X229" s="43">
        <v>0</v>
      </c>
      <c r="Y229" s="43">
        <v>0</v>
      </c>
      <c r="Z229" s="43">
        <v>39</v>
      </c>
    </row>
    <row r="230" spans="1:26" ht="15">
      <c r="A230" s="43" t="s">
        <v>793</v>
      </c>
      <c r="B230" s="44" t="s">
        <v>736</v>
      </c>
      <c r="C230" s="44" t="s">
        <v>489</v>
      </c>
      <c r="D230" s="45" t="s">
        <v>518</v>
      </c>
      <c r="E230" s="46" t="s">
        <v>598</v>
      </c>
      <c r="F230" s="46"/>
      <c r="G230" s="46"/>
      <c r="H230" s="46"/>
      <c r="I230" s="43">
        <v>0</v>
      </c>
      <c r="J230" s="43">
        <v>0</v>
      </c>
      <c r="K230" s="43">
        <v>540</v>
      </c>
      <c r="L230" s="43">
        <v>540</v>
      </c>
      <c r="O230" s="43" t="s">
        <v>794</v>
      </c>
      <c r="P230" s="44" t="s">
        <v>767</v>
      </c>
      <c r="Q230" s="44" t="s">
        <v>647</v>
      </c>
      <c r="R230" s="45" t="s">
        <v>491</v>
      </c>
      <c r="S230" s="46" t="s">
        <v>679</v>
      </c>
      <c r="T230" s="46"/>
      <c r="U230" s="46"/>
      <c r="V230" s="46"/>
      <c r="W230" s="43">
        <v>19</v>
      </c>
      <c r="X230" s="43">
        <v>0</v>
      </c>
      <c r="Y230" s="43">
        <v>521</v>
      </c>
      <c r="Z230" s="43">
        <v>540</v>
      </c>
    </row>
    <row r="231" spans="1:26" ht="15">
      <c r="A231" s="43" t="s">
        <v>795</v>
      </c>
      <c r="B231" s="44" t="s">
        <v>735</v>
      </c>
      <c r="C231" s="44" t="s">
        <v>489</v>
      </c>
      <c r="D231" s="45" t="s">
        <v>490</v>
      </c>
      <c r="E231" s="46"/>
      <c r="F231" s="46"/>
      <c r="G231" s="46"/>
      <c r="H231" s="46"/>
      <c r="I231" s="43">
        <v>0</v>
      </c>
      <c r="J231" s="43">
        <v>0</v>
      </c>
      <c r="K231" s="43">
        <v>540</v>
      </c>
      <c r="L231" s="43">
        <v>540</v>
      </c>
      <c r="O231" s="43" t="s">
        <v>794</v>
      </c>
      <c r="P231" s="44" t="s">
        <v>767</v>
      </c>
      <c r="Q231" s="44" t="s">
        <v>647</v>
      </c>
      <c r="R231" s="45" t="s">
        <v>493</v>
      </c>
      <c r="S231" s="46" t="s">
        <v>675</v>
      </c>
      <c r="T231" s="46" t="s">
        <v>661</v>
      </c>
      <c r="U231" s="46"/>
      <c r="V231" s="46"/>
      <c r="W231" s="43">
        <v>24</v>
      </c>
      <c r="X231" s="43">
        <v>0</v>
      </c>
      <c r="Y231" s="43">
        <v>0</v>
      </c>
      <c r="Z231" s="43">
        <v>24</v>
      </c>
    </row>
    <row r="232" spans="1:26" ht="15">
      <c r="A232" s="43" t="s">
        <v>795</v>
      </c>
      <c r="B232" s="44" t="s">
        <v>735</v>
      </c>
      <c r="C232" s="44" t="s">
        <v>489</v>
      </c>
      <c r="D232" s="45" t="s">
        <v>491</v>
      </c>
      <c r="E232" s="46" t="s">
        <v>599</v>
      </c>
      <c r="F232" s="46" t="s">
        <v>600</v>
      </c>
      <c r="G232" s="46"/>
      <c r="H232" s="46"/>
      <c r="I232" s="43">
        <v>258</v>
      </c>
      <c r="J232" s="43">
        <v>131</v>
      </c>
      <c r="K232" s="43">
        <v>0</v>
      </c>
      <c r="L232" s="43">
        <v>389</v>
      </c>
      <c r="O232" s="43" t="s">
        <v>794</v>
      </c>
      <c r="P232" s="44" t="s">
        <v>767</v>
      </c>
      <c r="Q232" s="44" t="s">
        <v>647</v>
      </c>
      <c r="R232" s="45" t="s">
        <v>494</v>
      </c>
      <c r="S232" s="46" t="s">
        <v>514</v>
      </c>
      <c r="T232" s="46" t="s">
        <v>552</v>
      </c>
      <c r="U232" s="46"/>
      <c r="V232" s="46"/>
      <c r="W232" s="43">
        <v>14</v>
      </c>
      <c r="X232" s="43">
        <v>0</v>
      </c>
      <c r="Y232" s="43">
        <v>0</v>
      </c>
      <c r="Z232" s="43">
        <v>14</v>
      </c>
    </row>
    <row r="233" spans="1:26" ht="15">
      <c r="A233" s="43" t="s">
        <v>795</v>
      </c>
      <c r="B233" s="44" t="s">
        <v>735</v>
      </c>
      <c r="C233" s="44" t="s">
        <v>489</v>
      </c>
      <c r="D233" s="45" t="s">
        <v>493</v>
      </c>
      <c r="E233" s="46"/>
      <c r="F233" s="46"/>
      <c r="G233" s="46"/>
      <c r="H233" s="46"/>
      <c r="I233" s="43">
        <v>0</v>
      </c>
      <c r="J233" s="43">
        <v>0</v>
      </c>
      <c r="K233" s="43">
        <v>540</v>
      </c>
      <c r="L233" s="43">
        <v>540</v>
      </c>
      <c r="O233" s="43" t="s">
        <v>794</v>
      </c>
      <c r="P233" s="44" t="s">
        <v>767</v>
      </c>
      <c r="Q233" s="44" t="s">
        <v>647</v>
      </c>
      <c r="R233" s="45" t="s">
        <v>506</v>
      </c>
      <c r="S233" s="46"/>
      <c r="T233" s="46"/>
      <c r="U233" s="46"/>
      <c r="V233" s="46"/>
      <c r="W233" s="43">
        <v>0</v>
      </c>
      <c r="X233" s="43">
        <v>0</v>
      </c>
      <c r="Y233" s="43">
        <v>540</v>
      </c>
      <c r="Z233" s="43">
        <v>540</v>
      </c>
    </row>
    <row r="234" spans="1:26" ht="15">
      <c r="A234" s="43" t="s">
        <v>795</v>
      </c>
      <c r="B234" s="44" t="s">
        <v>735</v>
      </c>
      <c r="C234" s="44" t="s">
        <v>489</v>
      </c>
      <c r="D234" s="45" t="s">
        <v>494</v>
      </c>
      <c r="E234" s="46"/>
      <c r="F234" s="46"/>
      <c r="G234" s="46"/>
      <c r="H234" s="46"/>
      <c r="I234" s="43">
        <v>0</v>
      </c>
      <c r="J234" s="43">
        <v>0</v>
      </c>
      <c r="K234" s="43">
        <v>540</v>
      </c>
      <c r="L234" s="43">
        <v>540</v>
      </c>
      <c r="O234" s="43" t="s">
        <v>794</v>
      </c>
      <c r="P234" s="44" t="s">
        <v>767</v>
      </c>
      <c r="Q234" s="44" t="s">
        <v>647</v>
      </c>
      <c r="R234" s="45" t="s">
        <v>507</v>
      </c>
      <c r="S234" s="46" t="s">
        <v>511</v>
      </c>
      <c r="T234" s="46" t="s">
        <v>700</v>
      </c>
      <c r="U234" s="46"/>
      <c r="V234" s="46"/>
      <c r="W234" s="43">
        <v>13</v>
      </c>
      <c r="X234" s="43">
        <v>78</v>
      </c>
      <c r="Y234" s="43">
        <v>0</v>
      </c>
      <c r="Z234" s="43">
        <v>91</v>
      </c>
    </row>
    <row r="235" spans="1:26" ht="15">
      <c r="A235" s="43" t="s">
        <v>795</v>
      </c>
      <c r="B235" s="44" t="s">
        <v>735</v>
      </c>
      <c r="C235" s="44" t="s">
        <v>489</v>
      </c>
      <c r="D235" s="45" t="s">
        <v>495</v>
      </c>
      <c r="E235" s="46"/>
      <c r="F235" s="46"/>
      <c r="G235" s="46"/>
      <c r="H235" s="46"/>
      <c r="I235" s="43">
        <v>0</v>
      </c>
      <c r="J235" s="43">
        <v>0</v>
      </c>
      <c r="K235" s="43">
        <v>540</v>
      </c>
      <c r="L235" s="43">
        <v>540</v>
      </c>
      <c r="O235" s="43" t="s">
        <v>794</v>
      </c>
      <c r="P235" s="44" t="s">
        <v>767</v>
      </c>
      <c r="Q235" s="44" t="s">
        <v>647</v>
      </c>
      <c r="R235" s="45" t="s">
        <v>534</v>
      </c>
      <c r="S235" s="46" t="s">
        <v>593</v>
      </c>
      <c r="T235" s="46" t="s">
        <v>568</v>
      </c>
      <c r="U235" s="46"/>
      <c r="V235" s="46"/>
      <c r="W235" s="43">
        <v>12</v>
      </c>
      <c r="X235" s="43">
        <v>0</v>
      </c>
      <c r="Y235" s="43">
        <v>0</v>
      </c>
      <c r="Z235" s="43">
        <v>12</v>
      </c>
    </row>
    <row r="236" spans="1:26" ht="15">
      <c r="A236" s="43" t="s">
        <v>795</v>
      </c>
      <c r="B236" s="44" t="s">
        <v>735</v>
      </c>
      <c r="C236" s="44" t="s">
        <v>489</v>
      </c>
      <c r="D236" s="45" t="s">
        <v>496</v>
      </c>
      <c r="E236" s="46"/>
      <c r="F236" s="46"/>
      <c r="G236" s="46"/>
      <c r="H236" s="46"/>
      <c r="I236" s="43">
        <v>0</v>
      </c>
      <c r="J236" s="43">
        <v>0</v>
      </c>
      <c r="K236" s="43">
        <v>540</v>
      </c>
      <c r="L236" s="43">
        <v>540</v>
      </c>
      <c r="O236" s="43" t="s">
        <v>794</v>
      </c>
      <c r="P236" s="44" t="s">
        <v>767</v>
      </c>
      <c r="Q236" s="44" t="s">
        <v>647</v>
      </c>
      <c r="R236" s="45" t="s">
        <v>535</v>
      </c>
      <c r="S236" s="46" t="s">
        <v>679</v>
      </c>
      <c r="T236" s="46" t="s">
        <v>681</v>
      </c>
      <c r="U236" s="46"/>
      <c r="V236" s="46"/>
      <c r="W236" s="43">
        <v>19</v>
      </c>
      <c r="X236" s="43">
        <v>0</v>
      </c>
      <c r="Y236" s="43">
        <v>0</v>
      </c>
      <c r="Z236" s="43">
        <v>19</v>
      </c>
    </row>
    <row r="237" spans="1:26" ht="15">
      <c r="A237" s="43" t="s">
        <v>795</v>
      </c>
      <c r="B237" s="44" t="s">
        <v>735</v>
      </c>
      <c r="C237" s="44" t="s">
        <v>489</v>
      </c>
      <c r="D237" s="45" t="s">
        <v>497</v>
      </c>
      <c r="E237" s="46" t="s">
        <v>511</v>
      </c>
      <c r="F237" s="46"/>
      <c r="G237" s="46"/>
      <c r="H237" s="46"/>
      <c r="I237" s="43">
        <v>0</v>
      </c>
      <c r="J237" s="43">
        <v>0</v>
      </c>
      <c r="K237" s="43">
        <v>540</v>
      </c>
      <c r="L237" s="43">
        <v>540</v>
      </c>
      <c r="O237" s="43" t="s">
        <v>794</v>
      </c>
      <c r="P237" s="44" t="s">
        <v>767</v>
      </c>
      <c r="Q237" s="44" t="s">
        <v>647</v>
      </c>
      <c r="R237" s="45" t="s">
        <v>512</v>
      </c>
      <c r="S237" s="46"/>
      <c r="T237" s="46"/>
      <c r="U237" s="46"/>
      <c r="V237" s="46"/>
      <c r="W237" s="43">
        <v>0</v>
      </c>
      <c r="X237" s="43">
        <v>0</v>
      </c>
      <c r="Y237" s="43">
        <v>540</v>
      </c>
      <c r="Z237" s="43">
        <v>540</v>
      </c>
    </row>
    <row r="238" spans="1:26" ht="15">
      <c r="A238" s="43" t="s">
        <v>795</v>
      </c>
      <c r="B238" s="44" t="s">
        <v>735</v>
      </c>
      <c r="C238" s="44" t="s">
        <v>489</v>
      </c>
      <c r="D238" s="45" t="s">
        <v>506</v>
      </c>
      <c r="E238" s="46"/>
      <c r="F238" s="46"/>
      <c r="G238" s="46"/>
      <c r="H238" s="46"/>
      <c r="I238" s="43">
        <v>0</v>
      </c>
      <c r="J238" s="43">
        <v>0</v>
      </c>
      <c r="K238" s="43">
        <v>540</v>
      </c>
      <c r="L238" s="43">
        <v>540</v>
      </c>
      <c r="O238" s="43" t="s">
        <v>794</v>
      </c>
      <c r="P238" s="44" t="s">
        <v>767</v>
      </c>
      <c r="Q238" s="44" t="s">
        <v>647</v>
      </c>
      <c r="R238" s="45" t="s">
        <v>515</v>
      </c>
      <c r="S238" s="46" t="s">
        <v>593</v>
      </c>
      <c r="T238" s="46" t="s">
        <v>661</v>
      </c>
      <c r="U238" s="46"/>
      <c r="V238" s="46"/>
      <c r="W238" s="43">
        <v>12</v>
      </c>
      <c r="X238" s="43">
        <v>0</v>
      </c>
      <c r="Y238" s="43">
        <v>0</v>
      </c>
      <c r="Z238" s="43">
        <v>12</v>
      </c>
    </row>
    <row r="239" spans="1:26" ht="15">
      <c r="A239" s="43" t="s">
        <v>795</v>
      </c>
      <c r="B239" s="44" t="s">
        <v>735</v>
      </c>
      <c r="C239" s="44" t="s">
        <v>489</v>
      </c>
      <c r="D239" s="45" t="s">
        <v>507</v>
      </c>
      <c r="E239" s="46"/>
      <c r="F239" s="46"/>
      <c r="G239" s="46"/>
      <c r="H239" s="46"/>
      <c r="I239" s="43">
        <v>0</v>
      </c>
      <c r="J239" s="43">
        <v>0</v>
      </c>
      <c r="K239" s="43">
        <v>540</v>
      </c>
      <c r="L239" s="43">
        <v>540</v>
      </c>
      <c r="O239" s="43" t="s">
        <v>794</v>
      </c>
      <c r="P239" s="44" t="s">
        <v>767</v>
      </c>
      <c r="Q239" s="44" t="s">
        <v>647</v>
      </c>
      <c r="R239" s="45" t="s">
        <v>517</v>
      </c>
      <c r="S239" s="46" t="s">
        <v>701</v>
      </c>
      <c r="T239" s="46" t="s">
        <v>702</v>
      </c>
      <c r="U239" s="46"/>
      <c r="V239" s="46"/>
      <c r="W239" s="43">
        <v>113</v>
      </c>
      <c r="X239" s="43">
        <v>210</v>
      </c>
      <c r="Y239" s="43">
        <v>0</v>
      </c>
      <c r="Z239" s="43">
        <v>323</v>
      </c>
    </row>
    <row r="240" spans="1:26" ht="15">
      <c r="A240" s="43" t="s">
        <v>795</v>
      </c>
      <c r="B240" s="44" t="s">
        <v>735</v>
      </c>
      <c r="C240" s="44" t="s">
        <v>489</v>
      </c>
      <c r="D240" s="45" t="s">
        <v>508</v>
      </c>
      <c r="E240" s="46"/>
      <c r="F240" s="46" t="s">
        <v>601</v>
      </c>
      <c r="G240" s="46"/>
      <c r="H240" s="46"/>
      <c r="I240" s="43">
        <v>0</v>
      </c>
      <c r="J240" s="43">
        <v>0</v>
      </c>
      <c r="K240" s="43">
        <v>540</v>
      </c>
      <c r="L240" s="43">
        <v>540</v>
      </c>
      <c r="O240" s="43" t="s">
        <v>794</v>
      </c>
      <c r="P240" s="44" t="s">
        <v>767</v>
      </c>
      <c r="Q240" s="44" t="s">
        <v>647</v>
      </c>
      <c r="R240" s="45" t="s">
        <v>518</v>
      </c>
      <c r="S240" s="46" t="s">
        <v>687</v>
      </c>
      <c r="T240" s="46"/>
      <c r="U240" s="46"/>
      <c r="V240" s="46"/>
      <c r="W240" s="43">
        <v>0</v>
      </c>
      <c r="X240" s="43">
        <v>0</v>
      </c>
      <c r="Y240" s="43">
        <v>540</v>
      </c>
      <c r="Z240" s="43">
        <v>540</v>
      </c>
    </row>
    <row r="241" spans="1:26" ht="15">
      <c r="A241" s="43" t="s">
        <v>795</v>
      </c>
      <c r="B241" s="44" t="s">
        <v>735</v>
      </c>
      <c r="C241" s="44" t="s">
        <v>489</v>
      </c>
      <c r="D241" s="45" t="s">
        <v>509</v>
      </c>
      <c r="E241" s="46" t="s">
        <v>504</v>
      </c>
      <c r="F241" s="46"/>
      <c r="G241" s="46"/>
      <c r="H241" s="46"/>
      <c r="I241" s="43">
        <v>0</v>
      </c>
      <c r="J241" s="43">
        <v>0</v>
      </c>
      <c r="K241" s="43">
        <v>540</v>
      </c>
      <c r="L241" s="43">
        <v>540</v>
      </c>
      <c r="O241" s="43" t="s">
        <v>796</v>
      </c>
      <c r="P241" s="44" t="s">
        <v>769</v>
      </c>
      <c r="Q241" s="44" t="s">
        <v>647</v>
      </c>
      <c r="R241" s="45" t="s">
        <v>490</v>
      </c>
      <c r="S241" s="46" t="s">
        <v>557</v>
      </c>
      <c r="T241" s="46" t="s">
        <v>663</v>
      </c>
      <c r="U241" s="46"/>
      <c r="V241" s="46"/>
      <c r="W241" s="43">
        <v>46</v>
      </c>
      <c r="X241" s="43">
        <v>0</v>
      </c>
      <c r="Y241" s="43">
        <v>0</v>
      </c>
      <c r="Z241" s="43">
        <v>46</v>
      </c>
    </row>
    <row r="242" spans="1:26" ht="15">
      <c r="A242" s="43" t="s">
        <v>795</v>
      </c>
      <c r="B242" s="44" t="s">
        <v>735</v>
      </c>
      <c r="C242" s="44" t="s">
        <v>489</v>
      </c>
      <c r="D242" s="45" t="s">
        <v>512</v>
      </c>
      <c r="E242" s="46"/>
      <c r="F242" s="46"/>
      <c r="G242" s="46"/>
      <c r="H242" s="46"/>
      <c r="I242" s="43">
        <v>0</v>
      </c>
      <c r="J242" s="43">
        <v>0</v>
      </c>
      <c r="K242" s="43">
        <v>540</v>
      </c>
      <c r="L242" s="43">
        <v>540</v>
      </c>
      <c r="O242" s="43" t="s">
        <v>796</v>
      </c>
      <c r="P242" s="44" t="s">
        <v>769</v>
      </c>
      <c r="Q242" s="44" t="s">
        <v>647</v>
      </c>
      <c r="R242" s="45" t="s">
        <v>491</v>
      </c>
      <c r="S242" s="46" t="s">
        <v>567</v>
      </c>
      <c r="T242" s="46" t="s">
        <v>565</v>
      </c>
      <c r="U242" s="46"/>
      <c r="V242" s="46"/>
      <c r="W242" s="43">
        <v>39</v>
      </c>
      <c r="X242" s="43">
        <v>0</v>
      </c>
      <c r="Y242" s="43">
        <v>0</v>
      </c>
      <c r="Z242" s="43">
        <v>39</v>
      </c>
    </row>
    <row r="243" spans="1:26" ht="15">
      <c r="A243" s="43" t="s">
        <v>795</v>
      </c>
      <c r="B243" s="44" t="s">
        <v>735</v>
      </c>
      <c r="C243" s="44" t="s">
        <v>489</v>
      </c>
      <c r="D243" s="45" t="s">
        <v>513</v>
      </c>
      <c r="E243" s="46"/>
      <c r="F243" s="46"/>
      <c r="G243" s="46"/>
      <c r="H243" s="46"/>
      <c r="I243" s="43">
        <v>0</v>
      </c>
      <c r="J243" s="43">
        <v>0</v>
      </c>
      <c r="K243" s="43">
        <v>540</v>
      </c>
      <c r="L243" s="43">
        <v>540</v>
      </c>
      <c r="O243" s="43" t="s">
        <v>796</v>
      </c>
      <c r="P243" s="44" t="s">
        <v>769</v>
      </c>
      <c r="Q243" s="44" t="s">
        <v>647</v>
      </c>
      <c r="R243" s="45" t="s">
        <v>493</v>
      </c>
      <c r="S243" s="46" t="s">
        <v>652</v>
      </c>
      <c r="T243" s="46" t="s">
        <v>660</v>
      </c>
      <c r="U243" s="46"/>
      <c r="V243" s="46"/>
      <c r="W243" s="43">
        <v>68</v>
      </c>
      <c r="X243" s="43">
        <v>0</v>
      </c>
      <c r="Y243" s="43">
        <v>0</v>
      </c>
      <c r="Z243" s="43">
        <v>68</v>
      </c>
    </row>
    <row r="244" spans="1:26" ht="15">
      <c r="A244" s="43" t="s">
        <v>795</v>
      </c>
      <c r="B244" s="44" t="s">
        <v>735</v>
      </c>
      <c r="C244" s="44" t="s">
        <v>489</v>
      </c>
      <c r="D244" s="45" t="s">
        <v>518</v>
      </c>
      <c r="E244" s="46" t="s">
        <v>602</v>
      </c>
      <c r="F244" s="46"/>
      <c r="G244" s="46"/>
      <c r="H244" s="46"/>
      <c r="I244" s="43">
        <v>0</v>
      </c>
      <c r="J244" s="43">
        <v>0</v>
      </c>
      <c r="K244" s="43">
        <v>540</v>
      </c>
      <c r="L244" s="43">
        <v>540</v>
      </c>
      <c r="O244" s="43" t="s">
        <v>796</v>
      </c>
      <c r="P244" s="44" t="s">
        <v>769</v>
      </c>
      <c r="Q244" s="44" t="s">
        <v>647</v>
      </c>
      <c r="R244" s="45" t="s">
        <v>494</v>
      </c>
      <c r="S244" s="46"/>
      <c r="T244" s="46"/>
      <c r="U244" s="46"/>
      <c r="V244" s="46"/>
      <c r="W244" s="43">
        <v>0</v>
      </c>
      <c r="X244" s="43">
        <v>0</v>
      </c>
      <c r="Y244" s="43">
        <v>540</v>
      </c>
      <c r="Z244" s="43">
        <v>540</v>
      </c>
    </row>
    <row r="245" spans="1:26" ht="15">
      <c r="A245" s="43" t="s">
        <v>797</v>
      </c>
      <c r="B245" s="44" t="s">
        <v>734</v>
      </c>
      <c r="C245" s="44" t="s">
        <v>489</v>
      </c>
      <c r="D245" s="45" t="s">
        <v>493</v>
      </c>
      <c r="E245" s="46" t="s">
        <v>603</v>
      </c>
      <c r="F245" s="46" t="s">
        <v>562</v>
      </c>
      <c r="G245" s="46"/>
      <c r="H245" s="46"/>
      <c r="I245" s="43">
        <v>45</v>
      </c>
      <c r="J245" s="43">
        <v>0</v>
      </c>
      <c r="K245" s="43">
        <v>0</v>
      </c>
      <c r="L245" s="43">
        <v>45</v>
      </c>
      <c r="O245" s="43" t="s">
        <v>796</v>
      </c>
      <c r="P245" s="44" t="s">
        <v>769</v>
      </c>
      <c r="Q245" s="44" t="s">
        <v>647</v>
      </c>
      <c r="R245" s="45" t="s">
        <v>495</v>
      </c>
      <c r="S245" s="46" t="s">
        <v>586</v>
      </c>
      <c r="T245" s="46" t="s">
        <v>552</v>
      </c>
      <c r="U245" s="46"/>
      <c r="V245" s="46"/>
      <c r="W245" s="43">
        <v>25</v>
      </c>
      <c r="X245" s="43">
        <v>0</v>
      </c>
      <c r="Y245" s="43">
        <v>0</v>
      </c>
      <c r="Z245" s="43">
        <v>25</v>
      </c>
    </row>
    <row r="246" spans="1:26" ht="15">
      <c r="A246" s="43" t="s">
        <v>797</v>
      </c>
      <c r="B246" s="44" t="s">
        <v>734</v>
      </c>
      <c r="C246" s="44" t="s">
        <v>489</v>
      </c>
      <c r="D246" s="45" t="s">
        <v>494</v>
      </c>
      <c r="E246" s="46" t="s">
        <v>527</v>
      </c>
      <c r="F246" s="46" t="s">
        <v>604</v>
      </c>
      <c r="G246" s="46"/>
      <c r="H246" s="46"/>
      <c r="I246" s="43">
        <v>53</v>
      </c>
      <c r="J246" s="43">
        <v>0</v>
      </c>
      <c r="K246" s="43">
        <v>0</v>
      </c>
      <c r="L246" s="43">
        <v>53</v>
      </c>
      <c r="O246" s="43" t="s">
        <v>796</v>
      </c>
      <c r="P246" s="44" t="s">
        <v>769</v>
      </c>
      <c r="Q246" s="44" t="s">
        <v>647</v>
      </c>
      <c r="R246" s="45" t="s">
        <v>497</v>
      </c>
      <c r="S246" s="46" t="s">
        <v>664</v>
      </c>
      <c r="T246" s="46" t="s">
        <v>552</v>
      </c>
      <c r="U246" s="46"/>
      <c r="V246" s="46"/>
      <c r="W246" s="43">
        <v>47</v>
      </c>
      <c r="X246" s="43">
        <v>0</v>
      </c>
      <c r="Y246" s="43">
        <v>0</v>
      </c>
      <c r="Z246" s="43">
        <v>47</v>
      </c>
    </row>
    <row r="247" spans="1:26" ht="15">
      <c r="A247" s="43" t="s">
        <v>797</v>
      </c>
      <c r="B247" s="44" t="s">
        <v>734</v>
      </c>
      <c r="C247" s="44" t="s">
        <v>489</v>
      </c>
      <c r="D247" s="45" t="s">
        <v>495</v>
      </c>
      <c r="E247" s="46" t="s">
        <v>558</v>
      </c>
      <c r="F247" s="46" t="s">
        <v>533</v>
      </c>
      <c r="G247" s="46"/>
      <c r="H247" s="46"/>
      <c r="I247" s="43">
        <v>57</v>
      </c>
      <c r="J247" s="43">
        <v>0</v>
      </c>
      <c r="K247" s="43">
        <v>0</v>
      </c>
      <c r="L247" s="43">
        <v>57</v>
      </c>
      <c r="O247" s="43" t="s">
        <v>796</v>
      </c>
      <c r="P247" s="44" t="s">
        <v>769</v>
      </c>
      <c r="Q247" s="44" t="s">
        <v>647</v>
      </c>
      <c r="R247" s="45" t="s">
        <v>498</v>
      </c>
      <c r="S247" s="46" t="s">
        <v>667</v>
      </c>
      <c r="T247" s="46" t="s">
        <v>676</v>
      </c>
      <c r="U247" s="46"/>
      <c r="V247" s="46"/>
      <c r="W247" s="43">
        <v>35</v>
      </c>
      <c r="X247" s="43">
        <v>0</v>
      </c>
      <c r="Y247" s="43">
        <v>0</v>
      </c>
      <c r="Z247" s="43">
        <v>35</v>
      </c>
    </row>
    <row r="248" spans="1:26" ht="15">
      <c r="A248" s="43" t="s">
        <v>797</v>
      </c>
      <c r="B248" s="44" t="s">
        <v>734</v>
      </c>
      <c r="C248" s="44" t="s">
        <v>489</v>
      </c>
      <c r="D248" s="45" t="s">
        <v>496</v>
      </c>
      <c r="E248" s="46" t="s">
        <v>569</v>
      </c>
      <c r="F248" s="46" t="s">
        <v>605</v>
      </c>
      <c r="G248" s="46"/>
      <c r="H248" s="46"/>
      <c r="I248" s="43">
        <v>67</v>
      </c>
      <c r="J248" s="43">
        <v>0</v>
      </c>
      <c r="K248" s="43">
        <v>0</v>
      </c>
      <c r="L248" s="43">
        <v>67</v>
      </c>
      <c r="O248" s="43" t="s">
        <v>796</v>
      </c>
      <c r="P248" s="44" t="s">
        <v>769</v>
      </c>
      <c r="Q248" s="44" t="s">
        <v>647</v>
      </c>
      <c r="R248" s="45" t="s">
        <v>499</v>
      </c>
      <c r="S248" s="46"/>
      <c r="T248" s="46"/>
      <c r="U248" s="46"/>
      <c r="V248" s="46"/>
      <c r="W248" s="43">
        <v>0</v>
      </c>
      <c r="X248" s="43">
        <v>0</v>
      </c>
      <c r="Y248" s="43">
        <v>540</v>
      </c>
      <c r="Z248" s="43">
        <v>540</v>
      </c>
    </row>
    <row r="249" spans="1:26" ht="15">
      <c r="A249" s="43" t="s">
        <v>797</v>
      </c>
      <c r="B249" s="44" t="s">
        <v>734</v>
      </c>
      <c r="C249" s="44" t="s">
        <v>489</v>
      </c>
      <c r="D249" s="45" t="s">
        <v>497</v>
      </c>
      <c r="E249" s="46" t="s">
        <v>571</v>
      </c>
      <c r="F249" s="46" t="s">
        <v>554</v>
      </c>
      <c r="G249" s="46"/>
      <c r="H249" s="46"/>
      <c r="I249" s="43">
        <v>64</v>
      </c>
      <c r="J249" s="43">
        <v>0</v>
      </c>
      <c r="K249" s="43">
        <v>0</v>
      </c>
      <c r="L249" s="43">
        <v>64</v>
      </c>
      <c r="O249" s="43" t="s">
        <v>796</v>
      </c>
      <c r="P249" s="44" t="s">
        <v>769</v>
      </c>
      <c r="Q249" s="44" t="s">
        <v>647</v>
      </c>
      <c r="R249" s="45" t="s">
        <v>500</v>
      </c>
      <c r="S249" s="46" t="s">
        <v>641</v>
      </c>
      <c r="T249" s="46" t="s">
        <v>703</v>
      </c>
      <c r="U249" s="46"/>
      <c r="V249" s="46"/>
      <c r="W249" s="43">
        <v>74</v>
      </c>
      <c r="X249" s="43">
        <v>0</v>
      </c>
      <c r="Y249" s="43">
        <v>0</v>
      </c>
      <c r="Z249" s="43">
        <v>74</v>
      </c>
    </row>
    <row r="250" spans="1:26" ht="15">
      <c r="A250" s="43" t="s">
        <v>797</v>
      </c>
      <c r="B250" s="44" t="s">
        <v>734</v>
      </c>
      <c r="C250" s="44" t="s">
        <v>489</v>
      </c>
      <c r="D250" s="45" t="s">
        <v>498</v>
      </c>
      <c r="E250" s="46" t="s">
        <v>606</v>
      </c>
      <c r="F250" s="46" t="s">
        <v>607</v>
      </c>
      <c r="G250" s="46"/>
      <c r="H250" s="46"/>
      <c r="I250" s="43">
        <v>48</v>
      </c>
      <c r="J250" s="43">
        <v>0</v>
      </c>
      <c r="K250" s="43">
        <v>0</v>
      </c>
      <c r="L250" s="43">
        <v>48</v>
      </c>
      <c r="O250" s="43" t="s">
        <v>796</v>
      </c>
      <c r="P250" s="44" t="s">
        <v>769</v>
      </c>
      <c r="Q250" s="44" t="s">
        <v>647</v>
      </c>
      <c r="R250" s="45" t="s">
        <v>501</v>
      </c>
      <c r="S250" s="46" t="s">
        <v>525</v>
      </c>
      <c r="T250" s="46" t="s">
        <v>704</v>
      </c>
      <c r="U250" s="46"/>
      <c r="V250" s="46"/>
      <c r="W250" s="43">
        <v>40</v>
      </c>
      <c r="X250" s="43">
        <v>0</v>
      </c>
      <c r="Y250" s="43">
        <v>0</v>
      </c>
      <c r="Z250" s="43">
        <v>40</v>
      </c>
    </row>
    <row r="251" spans="1:26" ht="15">
      <c r="A251" s="43" t="s">
        <v>797</v>
      </c>
      <c r="B251" s="44" t="s">
        <v>734</v>
      </c>
      <c r="C251" s="44" t="s">
        <v>489</v>
      </c>
      <c r="D251" s="45" t="s">
        <v>499</v>
      </c>
      <c r="E251" s="46" t="s">
        <v>580</v>
      </c>
      <c r="F251" s="46" t="s">
        <v>608</v>
      </c>
      <c r="G251" s="46"/>
      <c r="H251" s="46"/>
      <c r="I251" s="43">
        <v>44</v>
      </c>
      <c r="J251" s="43">
        <v>0</v>
      </c>
      <c r="K251" s="43">
        <v>0</v>
      </c>
      <c r="L251" s="43">
        <v>44</v>
      </c>
      <c r="O251" s="43" t="s">
        <v>796</v>
      </c>
      <c r="P251" s="44" t="s">
        <v>769</v>
      </c>
      <c r="Q251" s="44" t="s">
        <v>647</v>
      </c>
      <c r="R251" s="45" t="s">
        <v>506</v>
      </c>
      <c r="S251" s="46"/>
      <c r="T251" s="46"/>
      <c r="U251" s="46"/>
      <c r="V251" s="46"/>
      <c r="W251" s="43">
        <v>0</v>
      </c>
      <c r="X251" s="43">
        <v>0</v>
      </c>
      <c r="Y251" s="43">
        <v>540</v>
      </c>
      <c r="Z251" s="43">
        <v>540</v>
      </c>
    </row>
    <row r="252" spans="1:26" ht="15">
      <c r="A252" s="43" t="s">
        <v>797</v>
      </c>
      <c r="B252" s="44" t="s">
        <v>734</v>
      </c>
      <c r="C252" s="44" t="s">
        <v>489</v>
      </c>
      <c r="D252" s="45" t="s">
        <v>500</v>
      </c>
      <c r="E252" s="46" t="s">
        <v>556</v>
      </c>
      <c r="F252" s="46" t="s">
        <v>604</v>
      </c>
      <c r="G252" s="46"/>
      <c r="H252" s="46"/>
      <c r="I252" s="43">
        <v>32</v>
      </c>
      <c r="J252" s="43">
        <v>0</v>
      </c>
      <c r="K252" s="43">
        <v>0</v>
      </c>
      <c r="L252" s="43">
        <v>32</v>
      </c>
      <c r="O252" s="43" t="s">
        <v>796</v>
      </c>
      <c r="P252" s="44" t="s">
        <v>769</v>
      </c>
      <c r="Q252" s="44" t="s">
        <v>647</v>
      </c>
      <c r="R252" s="45" t="s">
        <v>507</v>
      </c>
      <c r="S252" s="46" t="s">
        <v>523</v>
      </c>
      <c r="T252" s="46"/>
      <c r="U252" s="46"/>
      <c r="V252" s="46"/>
      <c r="W252" s="43">
        <v>29</v>
      </c>
      <c r="X252" s="43">
        <v>0</v>
      </c>
      <c r="Y252" s="43">
        <v>511</v>
      </c>
      <c r="Z252" s="43">
        <v>540</v>
      </c>
    </row>
    <row r="253" spans="1:26" ht="15">
      <c r="A253" s="43" t="s">
        <v>797</v>
      </c>
      <c r="B253" s="44" t="s">
        <v>734</v>
      </c>
      <c r="C253" s="44" t="s">
        <v>489</v>
      </c>
      <c r="D253" s="45" t="s">
        <v>501</v>
      </c>
      <c r="E253" s="46" t="s">
        <v>609</v>
      </c>
      <c r="F253" s="46" t="s">
        <v>568</v>
      </c>
      <c r="G253" s="46"/>
      <c r="H253" s="46"/>
      <c r="I253" s="43">
        <v>217</v>
      </c>
      <c r="J253" s="43">
        <v>0</v>
      </c>
      <c r="K253" s="43">
        <v>0</v>
      </c>
      <c r="L253" s="43">
        <v>217</v>
      </c>
      <c r="O253" s="43" t="s">
        <v>796</v>
      </c>
      <c r="P253" s="44" t="s">
        <v>769</v>
      </c>
      <c r="Q253" s="44" t="s">
        <v>647</v>
      </c>
      <c r="R253" s="45" t="s">
        <v>508</v>
      </c>
      <c r="S253" s="46"/>
      <c r="T253" s="46"/>
      <c r="U253" s="46"/>
      <c r="V253" s="46"/>
      <c r="W253" s="43">
        <v>0</v>
      </c>
      <c r="X253" s="43">
        <v>0</v>
      </c>
      <c r="Y253" s="43">
        <v>540</v>
      </c>
      <c r="Z253" s="43">
        <v>540</v>
      </c>
    </row>
    <row r="254" spans="1:26" ht="15">
      <c r="A254" s="43" t="s">
        <v>797</v>
      </c>
      <c r="B254" s="44" t="s">
        <v>734</v>
      </c>
      <c r="C254" s="44" t="s">
        <v>489</v>
      </c>
      <c r="D254" s="45" t="s">
        <v>503</v>
      </c>
      <c r="E254" s="46" t="s">
        <v>610</v>
      </c>
      <c r="F254" s="46" t="s">
        <v>533</v>
      </c>
      <c r="G254" s="46"/>
      <c r="H254" s="46"/>
      <c r="I254" s="43">
        <v>56</v>
      </c>
      <c r="J254" s="43">
        <v>0</v>
      </c>
      <c r="K254" s="43">
        <v>0</v>
      </c>
      <c r="L254" s="43">
        <v>56</v>
      </c>
      <c r="O254" s="43" t="s">
        <v>796</v>
      </c>
      <c r="P254" s="44" t="s">
        <v>769</v>
      </c>
      <c r="Q254" s="44" t="s">
        <v>647</v>
      </c>
      <c r="R254" s="45" t="s">
        <v>534</v>
      </c>
      <c r="S254" s="46"/>
      <c r="T254" s="46"/>
      <c r="U254" s="46"/>
      <c r="V254" s="46"/>
      <c r="W254" s="43">
        <v>0</v>
      </c>
      <c r="X254" s="43">
        <v>0</v>
      </c>
      <c r="Y254" s="43">
        <v>540</v>
      </c>
      <c r="Z254" s="43">
        <v>540</v>
      </c>
    </row>
    <row r="255" spans="1:26" ht="15">
      <c r="A255" s="43" t="s">
        <v>797</v>
      </c>
      <c r="B255" s="44" t="s">
        <v>734</v>
      </c>
      <c r="C255" s="44" t="s">
        <v>489</v>
      </c>
      <c r="D255" s="45" t="s">
        <v>506</v>
      </c>
      <c r="E255" s="46"/>
      <c r="F255" s="46"/>
      <c r="G255" s="46"/>
      <c r="H255" s="46"/>
      <c r="I255" s="43">
        <v>0</v>
      </c>
      <c r="J255" s="43">
        <v>0</v>
      </c>
      <c r="K255" s="43">
        <v>540</v>
      </c>
      <c r="L255" s="43">
        <v>540</v>
      </c>
      <c r="O255" s="43" t="s">
        <v>796</v>
      </c>
      <c r="P255" s="44" t="s">
        <v>769</v>
      </c>
      <c r="Q255" s="44" t="s">
        <v>647</v>
      </c>
      <c r="R255" s="45" t="s">
        <v>535</v>
      </c>
      <c r="S255" s="46"/>
      <c r="T255" s="46"/>
      <c r="U255" s="46"/>
      <c r="V255" s="46"/>
      <c r="W255" s="43">
        <v>0</v>
      </c>
      <c r="X255" s="43">
        <v>0</v>
      </c>
      <c r="Y255" s="43">
        <v>540</v>
      </c>
      <c r="Z255" s="43">
        <v>540</v>
      </c>
    </row>
    <row r="256" spans="1:26" ht="15">
      <c r="A256" s="43" t="s">
        <v>797</v>
      </c>
      <c r="B256" s="44" t="s">
        <v>734</v>
      </c>
      <c r="C256" s="44" t="s">
        <v>489</v>
      </c>
      <c r="D256" s="45" t="s">
        <v>507</v>
      </c>
      <c r="E256" s="46" t="s">
        <v>558</v>
      </c>
      <c r="F256" s="46" t="s">
        <v>611</v>
      </c>
      <c r="G256" s="46"/>
      <c r="H256" s="46"/>
      <c r="I256" s="43">
        <v>57</v>
      </c>
      <c r="J256" s="43">
        <v>0</v>
      </c>
      <c r="K256" s="43">
        <v>0</v>
      </c>
      <c r="L256" s="43">
        <v>57</v>
      </c>
      <c r="O256" s="43" t="s">
        <v>796</v>
      </c>
      <c r="P256" s="44" t="s">
        <v>769</v>
      </c>
      <c r="Q256" s="44" t="s">
        <v>647</v>
      </c>
      <c r="R256" s="45" t="s">
        <v>510</v>
      </c>
      <c r="S256" s="46" t="s">
        <v>558</v>
      </c>
      <c r="T256" s="46" t="s">
        <v>629</v>
      </c>
      <c r="U256" s="46"/>
      <c r="V256" s="46"/>
      <c r="W256" s="43">
        <v>57</v>
      </c>
      <c r="X256" s="43">
        <v>0</v>
      </c>
      <c r="Y256" s="43">
        <v>0</v>
      </c>
      <c r="Z256" s="43">
        <v>57</v>
      </c>
    </row>
    <row r="257" spans="1:26" ht="15">
      <c r="A257" s="43" t="s">
        <v>797</v>
      </c>
      <c r="B257" s="44" t="s">
        <v>734</v>
      </c>
      <c r="C257" s="44" t="s">
        <v>489</v>
      </c>
      <c r="D257" s="45" t="s">
        <v>508</v>
      </c>
      <c r="E257" s="46" t="s">
        <v>612</v>
      </c>
      <c r="F257" s="46" t="s">
        <v>613</v>
      </c>
      <c r="G257" s="46"/>
      <c r="H257" s="46"/>
      <c r="I257" s="43">
        <v>79</v>
      </c>
      <c r="J257" s="43">
        <v>0</v>
      </c>
      <c r="K257" s="43">
        <v>0</v>
      </c>
      <c r="L257" s="43">
        <v>79</v>
      </c>
      <c r="O257" s="43" t="s">
        <v>796</v>
      </c>
      <c r="P257" s="44" t="s">
        <v>769</v>
      </c>
      <c r="Q257" s="44" t="s">
        <v>647</v>
      </c>
      <c r="R257" s="45" t="s">
        <v>538</v>
      </c>
      <c r="S257" s="46"/>
      <c r="T257" s="46"/>
      <c r="U257" s="46"/>
      <c r="V257" s="46"/>
      <c r="W257" s="43">
        <v>0</v>
      </c>
      <c r="X257" s="43">
        <v>0</v>
      </c>
      <c r="Y257" s="43">
        <v>540</v>
      </c>
      <c r="Z257" s="43">
        <v>540</v>
      </c>
    </row>
    <row r="258" spans="1:26" ht="15">
      <c r="A258" s="43" t="s">
        <v>797</v>
      </c>
      <c r="B258" s="44" t="s">
        <v>734</v>
      </c>
      <c r="C258" s="44" t="s">
        <v>489</v>
      </c>
      <c r="D258" s="45" t="s">
        <v>534</v>
      </c>
      <c r="E258" s="46" t="s">
        <v>558</v>
      </c>
      <c r="F258" s="46"/>
      <c r="G258" s="46"/>
      <c r="H258" s="46"/>
      <c r="I258" s="43">
        <v>57</v>
      </c>
      <c r="J258" s="43">
        <v>0</v>
      </c>
      <c r="K258" s="43">
        <v>483</v>
      </c>
      <c r="L258" s="43">
        <v>540</v>
      </c>
      <c r="O258" s="43" t="s">
        <v>796</v>
      </c>
      <c r="P258" s="44" t="s">
        <v>769</v>
      </c>
      <c r="Q258" s="44" t="s">
        <v>647</v>
      </c>
      <c r="R258" s="45" t="s">
        <v>540</v>
      </c>
      <c r="S258" s="46"/>
      <c r="T258" s="46"/>
      <c r="U258" s="46"/>
      <c r="V258" s="46"/>
      <c r="W258" s="43">
        <v>0</v>
      </c>
      <c r="X258" s="43">
        <v>0</v>
      </c>
      <c r="Y258" s="43">
        <v>540</v>
      </c>
      <c r="Z258" s="43">
        <v>540</v>
      </c>
    </row>
    <row r="259" spans="1:26" ht="15">
      <c r="A259" s="43" t="s">
        <v>797</v>
      </c>
      <c r="B259" s="44" t="s">
        <v>734</v>
      </c>
      <c r="C259" s="44" t="s">
        <v>489</v>
      </c>
      <c r="D259" s="45" t="s">
        <v>535</v>
      </c>
      <c r="E259" s="46" t="s">
        <v>558</v>
      </c>
      <c r="F259" s="46" t="s">
        <v>614</v>
      </c>
      <c r="G259" s="46"/>
      <c r="H259" s="46"/>
      <c r="I259" s="43">
        <v>57</v>
      </c>
      <c r="J259" s="43">
        <v>0</v>
      </c>
      <c r="K259" s="43">
        <v>0</v>
      </c>
      <c r="L259" s="43">
        <v>57</v>
      </c>
      <c r="O259" s="43" t="s">
        <v>796</v>
      </c>
      <c r="P259" s="44" t="s">
        <v>769</v>
      </c>
      <c r="Q259" s="44" t="s">
        <v>647</v>
      </c>
      <c r="R259" s="45" t="s">
        <v>543</v>
      </c>
      <c r="S259" s="46"/>
      <c r="T259" s="46"/>
      <c r="U259" s="46"/>
      <c r="V259" s="46"/>
      <c r="W259" s="43">
        <v>0</v>
      </c>
      <c r="X259" s="43">
        <v>0</v>
      </c>
      <c r="Y259" s="43">
        <v>540</v>
      </c>
      <c r="Z259" s="43">
        <v>540</v>
      </c>
    </row>
    <row r="260" spans="1:26" ht="15">
      <c r="A260" s="43" t="s">
        <v>797</v>
      </c>
      <c r="B260" s="44" t="s">
        <v>734</v>
      </c>
      <c r="C260" s="44" t="s">
        <v>489</v>
      </c>
      <c r="D260" s="45" t="s">
        <v>509</v>
      </c>
      <c r="E260" s="46" t="s">
        <v>558</v>
      </c>
      <c r="F260" s="46" t="s">
        <v>615</v>
      </c>
      <c r="G260" s="46"/>
      <c r="H260" s="46"/>
      <c r="I260" s="43">
        <v>57</v>
      </c>
      <c r="J260" s="43">
        <v>0</v>
      </c>
      <c r="K260" s="43">
        <v>0</v>
      </c>
      <c r="L260" s="43">
        <v>57</v>
      </c>
      <c r="O260" s="43" t="s">
        <v>796</v>
      </c>
      <c r="P260" s="44" t="s">
        <v>769</v>
      </c>
      <c r="Q260" s="44" t="s">
        <v>647</v>
      </c>
      <c r="R260" s="45" t="s">
        <v>512</v>
      </c>
      <c r="S260" s="46"/>
      <c r="T260" s="46"/>
      <c r="U260" s="46"/>
      <c r="V260" s="46"/>
      <c r="W260" s="43">
        <v>0</v>
      </c>
      <c r="X260" s="43">
        <v>0</v>
      </c>
      <c r="Y260" s="43">
        <v>540</v>
      </c>
      <c r="Z260" s="43">
        <v>540</v>
      </c>
    </row>
    <row r="261" spans="1:26" ht="15">
      <c r="A261" s="43" t="s">
        <v>797</v>
      </c>
      <c r="B261" s="44" t="s">
        <v>734</v>
      </c>
      <c r="C261" s="44" t="s">
        <v>489</v>
      </c>
      <c r="D261" s="45" t="s">
        <v>510</v>
      </c>
      <c r="E261" s="46"/>
      <c r="F261" s="46"/>
      <c r="G261" s="46"/>
      <c r="H261" s="46"/>
      <c r="I261" s="43">
        <v>0</v>
      </c>
      <c r="J261" s="43">
        <v>0</v>
      </c>
      <c r="K261" s="43">
        <v>540</v>
      </c>
      <c r="L261" s="43">
        <v>540</v>
      </c>
      <c r="O261" s="43" t="s">
        <v>796</v>
      </c>
      <c r="P261" s="44" t="s">
        <v>769</v>
      </c>
      <c r="Q261" s="44" t="s">
        <v>647</v>
      </c>
      <c r="R261" s="45" t="s">
        <v>515</v>
      </c>
      <c r="S261" s="46"/>
      <c r="T261" s="46"/>
      <c r="U261" s="46"/>
      <c r="V261" s="46"/>
      <c r="W261" s="43">
        <v>0</v>
      </c>
      <c r="X261" s="43">
        <v>0</v>
      </c>
      <c r="Y261" s="43">
        <v>540</v>
      </c>
      <c r="Z261" s="43">
        <v>540</v>
      </c>
    </row>
    <row r="262" spans="1:26" ht="15">
      <c r="A262" s="43" t="s">
        <v>797</v>
      </c>
      <c r="B262" s="44" t="s">
        <v>734</v>
      </c>
      <c r="C262" s="44" t="s">
        <v>489</v>
      </c>
      <c r="D262" s="45" t="s">
        <v>538</v>
      </c>
      <c r="E262" s="46" t="s">
        <v>616</v>
      </c>
      <c r="F262" s="46" t="s">
        <v>539</v>
      </c>
      <c r="G262" s="46"/>
      <c r="H262" s="46"/>
      <c r="I262" s="43">
        <v>59</v>
      </c>
      <c r="J262" s="43">
        <v>0</v>
      </c>
      <c r="K262" s="43">
        <v>0</v>
      </c>
      <c r="L262" s="43">
        <v>59</v>
      </c>
      <c r="O262" s="43" t="s">
        <v>796</v>
      </c>
      <c r="P262" s="44" t="s">
        <v>769</v>
      </c>
      <c r="Q262" s="44" t="s">
        <v>647</v>
      </c>
      <c r="R262" s="45" t="s">
        <v>517</v>
      </c>
      <c r="S262" s="46"/>
      <c r="T262" s="46"/>
      <c r="U262" s="46"/>
      <c r="V262" s="46"/>
      <c r="W262" s="43">
        <v>0</v>
      </c>
      <c r="X262" s="43">
        <v>0</v>
      </c>
      <c r="Y262" s="43">
        <v>540</v>
      </c>
      <c r="Z262" s="43">
        <v>540</v>
      </c>
    </row>
    <row r="263" spans="1:26" ht="15">
      <c r="A263" s="43" t="s">
        <v>797</v>
      </c>
      <c r="B263" s="44" t="s">
        <v>734</v>
      </c>
      <c r="C263" s="44" t="s">
        <v>489</v>
      </c>
      <c r="D263" s="45" t="s">
        <v>540</v>
      </c>
      <c r="E263" s="46" t="s">
        <v>617</v>
      </c>
      <c r="F263" s="46" t="s">
        <v>542</v>
      </c>
      <c r="G263" s="46"/>
      <c r="H263" s="46"/>
      <c r="I263" s="43">
        <v>80</v>
      </c>
      <c r="J263" s="43">
        <v>0</v>
      </c>
      <c r="K263" s="43">
        <v>0</v>
      </c>
      <c r="L263" s="43">
        <v>80</v>
      </c>
      <c r="O263" s="43" t="s">
        <v>796</v>
      </c>
      <c r="P263" s="44" t="s">
        <v>769</v>
      </c>
      <c r="Q263" s="44" t="s">
        <v>647</v>
      </c>
      <c r="R263" s="45" t="s">
        <v>518</v>
      </c>
      <c r="S263" s="46"/>
      <c r="T263" s="46"/>
      <c r="U263" s="46"/>
      <c r="V263" s="46"/>
      <c r="W263" s="43">
        <v>0</v>
      </c>
      <c r="X263" s="43">
        <v>0</v>
      </c>
      <c r="Y263" s="43">
        <v>540</v>
      </c>
      <c r="Z263" s="43">
        <v>540</v>
      </c>
    </row>
    <row r="264" spans="1:26" ht="15">
      <c r="A264" s="43" t="s">
        <v>797</v>
      </c>
      <c r="B264" s="44" t="s">
        <v>734</v>
      </c>
      <c r="C264" s="44" t="s">
        <v>489</v>
      </c>
      <c r="D264" s="45" t="s">
        <v>543</v>
      </c>
      <c r="E264" s="46" t="s">
        <v>573</v>
      </c>
      <c r="F264" s="46"/>
      <c r="G264" s="46"/>
      <c r="H264" s="46"/>
      <c r="I264" s="43">
        <v>82</v>
      </c>
      <c r="J264" s="43">
        <v>0</v>
      </c>
      <c r="K264" s="43">
        <v>458</v>
      </c>
      <c r="L264" s="43">
        <v>540</v>
      </c>
      <c r="O264" s="43" t="s">
        <v>798</v>
      </c>
      <c r="P264" s="44" t="s">
        <v>770</v>
      </c>
      <c r="Q264" s="44" t="s">
        <v>647</v>
      </c>
      <c r="R264" s="45" t="s">
        <v>490</v>
      </c>
      <c r="S264" s="46" t="s">
        <v>606</v>
      </c>
      <c r="T264" s="46" t="s">
        <v>653</v>
      </c>
      <c r="U264" s="46"/>
      <c r="V264" s="46"/>
      <c r="W264" s="43">
        <v>48</v>
      </c>
      <c r="X264" s="43">
        <v>0</v>
      </c>
      <c r="Y264" s="43">
        <v>0</v>
      </c>
      <c r="Z264" s="43">
        <v>48</v>
      </c>
    </row>
    <row r="265" spans="1:26" ht="15">
      <c r="A265" s="43" t="s">
        <v>797</v>
      </c>
      <c r="B265" s="44" t="s">
        <v>734</v>
      </c>
      <c r="C265" s="44" t="s">
        <v>489</v>
      </c>
      <c r="D265" s="45" t="s">
        <v>512</v>
      </c>
      <c r="E265" s="46"/>
      <c r="F265" s="46"/>
      <c r="G265" s="46"/>
      <c r="H265" s="46"/>
      <c r="I265" s="43">
        <v>0</v>
      </c>
      <c r="J265" s="43">
        <v>0</v>
      </c>
      <c r="K265" s="43">
        <v>540</v>
      </c>
      <c r="L265" s="43">
        <v>540</v>
      </c>
      <c r="O265" s="43" t="s">
        <v>798</v>
      </c>
      <c r="P265" s="44" t="s">
        <v>770</v>
      </c>
      <c r="Q265" s="44" t="s">
        <v>647</v>
      </c>
      <c r="R265" s="45" t="s">
        <v>491</v>
      </c>
      <c r="S265" s="46" t="s">
        <v>662</v>
      </c>
      <c r="T265" s="46" t="s">
        <v>648</v>
      </c>
      <c r="U265" s="46"/>
      <c r="V265" s="46"/>
      <c r="W265" s="43">
        <v>21</v>
      </c>
      <c r="X265" s="43">
        <v>0</v>
      </c>
      <c r="Y265" s="43">
        <v>0</v>
      </c>
      <c r="Z265" s="43">
        <v>21</v>
      </c>
    </row>
    <row r="266" spans="1:26" ht="15">
      <c r="A266" s="43" t="s">
        <v>797</v>
      </c>
      <c r="B266" s="44" t="s">
        <v>734</v>
      </c>
      <c r="C266" s="44" t="s">
        <v>489</v>
      </c>
      <c r="D266" s="45" t="s">
        <v>513</v>
      </c>
      <c r="E266" s="46" t="s">
        <v>618</v>
      </c>
      <c r="F266" s="46" t="s">
        <v>619</v>
      </c>
      <c r="G266" s="46"/>
      <c r="H266" s="46"/>
      <c r="I266" s="43">
        <v>75</v>
      </c>
      <c r="J266" s="43">
        <v>116</v>
      </c>
      <c r="K266" s="43">
        <v>0</v>
      </c>
      <c r="L266" s="43">
        <v>191</v>
      </c>
      <c r="O266" s="43" t="s">
        <v>798</v>
      </c>
      <c r="P266" s="44" t="s">
        <v>770</v>
      </c>
      <c r="Q266" s="44" t="s">
        <v>647</v>
      </c>
      <c r="R266" s="45" t="s">
        <v>493</v>
      </c>
      <c r="S266" s="46" t="s">
        <v>563</v>
      </c>
      <c r="T266" s="46" t="s">
        <v>659</v>
      </c>
      <c r="U266" s="46"/>
      <c r="V266" s="46"/>
      <c r="W266" s="43">
        <v>92</v>
      </c>
      <c r="X266" s="43">
        <v>0</v>
      </c>
      <c r="Y266" s="43">
        <v>0</v>
      </c>
      <c r="Z266" s="43">
        <v>92</v>
      </c>
    </row>
    <row r="267" spans="1:26" ht="15">
      <c r="A267" s="43" t="s">
        <v>797</v>
      </c>
      <c r="B267" s="44" t="s">
        <v>734</v>
      </c>
      <c r="C267" s="44" t="s">
        <v>489</v>
      </c>
      <c r="D267" s="45" t="s">
        <v>515</v>
      </c>
      <c r="E267" s="46" t="s">
        <v>549</v>
      </c>
      <c r="F267" s="46" t="s">
        <v>620</v>
      </c>
      <c r="G267" s="46"/>
      <c r="H267" s="46"/>
      <c r="I267" s="43">
        <v>66</v>
      </c>
      <c r="J267" s="43">
        <v>0</v>
      </c>
      <c r="K267" s="43">
        <v>0</v>
      </c>
      <c r="L267" s="43">
        <v>66</v>
      </c>
      <c r="O267" s="43" t="s">
        <v>798</v>
      </c>
      <c r="P267" s="44" t="s">
        <v>770</v>
      </c>
      <c r="Q267" s="44" t="s">
        <v>647</v>
      </c>
      <c r="R267" s="45" t="s">
        <v>494</v>
      </c>
      <c r="S267" s="46" t="s">
        <v>593</v>
      </c>
      <c r="T267" s="46" t="s">
        <v>530</v>
      </c>
      <c r="U267" s="46"/>
      <c r="V267" s="46"/>
      <c r="W267" s="43">
        <v>12</v>
      </c>
      <c r="X267" s="43">
        <v>0</v>
      </c>
      <c r="Y267" s="43">
        <v>0</v>
      </c>
      <c r="Z267" s="43">
        <v>12</v>
      </c>
    </row>
    <row r="268" spans="1:26" ht="15">
      <c r="A268" s="43" t="s">
        <v>797</v>
      </c>
      <c r="B268" s="44" t="s">
        <v>734</v>
      </c>
      <c r="C268" s="44" t="s">
        <v>489</v>
      </c>
      <c r="D268" s="45" t="s">
        <v>517</v>
      </c>
      <c r="E268" s="46" t="s">
        <v>569</v>
      </c>
      <c r="F268" s="46" t="s">
        <v>621</v>
      </c>
      <c r="G268" s="46"/>
      <c r="H268" s="46"/>
      <c r="I268" s="43">
        <v>67</v>
      </c>
      <c r="J268" s="43">
        <v>65</v>
      </c>
      <c r="K268" s="43">
        <v>0</v>
      </c>
      <c r="L268" s="43">
        <v>132</v>
      </c>
      <c r="O268" s="43" t="s">
        <v>798</v>
      </c>
      <c r="P268" s="44" t="s">
        <v>770</v>
      </c>
      <c r="Q268" s="44" t="s">
        <v>647</v>
      </c>
      <c r="R268" s="45" t="s">
        <v>495</v>
      </c>
      <c r="S268" s="46" t="s">
        <v>630</v>
      </c>
      <c r="T268" s="46"/>
      <c r="U268" s="46"/>
      <c r="V268" s="46"/>
      <c r="W268" s="43">
        <v>18</v>
      </c>
      <c r="X268" s="43">
        <v>0</v>
      </c>
      <c r="Y268" s="43">
        <v>522</v>
      </c>
      <c r="Z268" s="43">
        <v>540</v>
      </c>
    </row>
    <row r="269" spans="1:26" ht="15">
      <c r="A269" s="43" t="s">
        <v>797</v>
      </c>
      <c r="B269" s="44" t="s">
        <v>734</v>
      </c>
      <c r="C269" s="44" t="s">
        <v>489</v>
      </c>
      <c r="D269" s="45" t="s">
        <v>518</v>
      </c>
      <c r="E269" s="46" t="s">
        <v>622</v>
      </c>
      <c r="F269" s="46"/>
      <c r="G269" s="46"/>
      <c r="H269" s="46"/>
      <c r="I269" s="43">
        <v>96</v>
      </c>
      <c r="J269" s="43">
        <v>0</v>
      </c>
      <c r="K269" s="43">
        <v>444</v>
      </c>
      <c r="L269" s="43">
        <v>540</v>
      </c>
      <c r="O269" s="43" t="s">
        <v>798</v>
      </c>
      <c r="P269" s="44" t="s">
        <v>770</v>
      </c>
      <c r="Q269" s="44" t="s">
        <v>647</v>
      </c>
      <c r="R269" s="45" t="s">
        <v>497</v>
      </c>
      <c r="S269" s="46" t="s">
        <v>630</v>
      </c>
      <c r="T269" s="46" t="s">
        <v>703</v>
      </c>
      <c r="U269" s="46"/>
      <c r="V269" s="46"/>
      <c r="W269" s="43">
        <v>18</v>
      </c>
      <c r="X269" s="43">
        <v>0</v>
      </c>
      <c r="Y269" s="43">
        <v>0</v>
      </c>
      <c r="Z269" s="43">
        <v>18</v>
      </c>
    </row>
    <row r="270" spans="1:26" ht="15">
      <c r="A270" s="43" t="s">
        <v>773</v>
      </c>
      <c r="B270" s="44" t="s">
        <v>733</v>
      </c>
      <c r="C270" s="44" t="s">
        <v>489</v>
      </c>
      <c r="D270" s="45" t="s">
        <v>490</v>
      </c>
      <c r="E270" s="46"/>
      <c r="F270" s="46"/>
      <c r="G270" s="46"/>
      <c r="H270" s="46"/>
      <c r="I270" s="43">
        <v>0</v>
      </c>
      <c r="J270" s="43">
        <v>0</v>
      </c>
      <c r="K270" s="43">
        <v>540</v>
      </c>
      <c r="L270" s="43">
        <v>540</v>
      </c>
      <c r="O270" s="43" t="s">
        <v>798</v>
      </c>
      <c r="P270" s="44" t="s">
        <v>770</v>
      </c>
      <c r="Q270" s="44" t="s">
        <v>647</v>
      </c>
      <c r="R270" s="45" t="s">
        <v>499</v>
      </c>
      <c r="S270" s="46" t="s">
        <v>586</v>
      </c>
      <c r="T270" s="46" t="s">
        <v>576</v>
      </c>
      <c r="U270" s="46"/>
      <c r="V270" s="46"/>
      <c r="W270" s="43">
        <v>25</v>
      </c>
      <c r="X270" s="43">
        <v>0</v>
      </c>
      <c r="Y270" s="43">
        <v>0</v>
      </c>
      <c r="Z270" s="43">
        <v>25</v>
      </c>
    </row>
    <row r="271" spans="1:26" ht="15">
      <c r="A271" s="43" t="s">
        <v>773</v>
      </c>
      <c r="B271" s="44" t="s">
        <v>733</v>
      </c>
      <c r="C271" s="44" t="s">
        <v>489</v>
      </c>
      <c r="D271" s="45" t="s">
        <v>491</v>
      </c>
      <c r="E271" s="46" t="s">
        <v>623</v>
      </c>
      <c r="F271" s="46" t="s">
        <v>560</v>
      </c>
      <c r="G271" s="46"/>
      <c r="H271" s="46"/>
      <c r="I271" s="43">
        <v>255</v>
      </c>
      <c r="J271" s="43">
        <v>0</v>
      </c>
      <c r="K271" s="43">
        <v>0</v>
      </c>
      <c r="L271" s="43">
        <v>255</v>
      </c>
      <c r="O271" s="43" t="s">
        <v>798</v>
      </c>
      <c r="P271" s="44" t="s">
        <v>770</v>
      </c>
      <c r="Q271" s="44" t="s">
        <v>647</v>
      </c>
      <c r="R271" s="45" t="s">
        <v>500</v>
      </c>
      <c r="S271" s="46" t="s">
        <v>593</v>
      </c>
      <c r="T271" s="46" t="s">
        <v>693</v>
      </c>
      <c r="U271" s="46"/>
      <c r="V271" s="46"/>
      <c r="W271" s="43">
        <v>12</v>
      </c>
      <c r="X271" s="43">
        <v>0</v>
      </c>
      <c r="Y271" s="43">
        <v>0</v>
      </c>
      <c r="Z271" s="43">
        <v>12</v>
      </c>
    </row>
    <row r="272" spans="1:26" ht="15">
      <c r="A272" s="43" t="s">
        <v>773</v>
      </c>
      <c r="B272" s="44" t="s">
        <v>733</v>
      </c>
      <c r="C272" s="44" t="s">
        <v>489</v>
      </c>
      <c r="D272" s="45" t="s">
        <v>495</v>
      </c>
      <c r="E272" s="46" t="s">
        <v>551</v>
      </c>
      <c r="F272" s="46" t="s">
        <v>588</v>
      </c>
      <c r="G272" s="46"/>
      <c r="H272" s="46"/>
      <c r="I272" s="43">
        <v>51</v>
      </c>
      <c r="J272" s="43">
        <v>0</v>
      </c>
      <c r="K272" s="43">
        <v>0</v>
      </c>
      <c r="L272" s="43">
        <v>51</v>
      </c>
      <c r="O272" s="43" t="s">
        <v>798</v>
      </c>
      <c r="P272" s="44" t="s">
        <v>770</v>
      </c>
      <c r="Q272" s="44" t="s">
        <v>647</v>
      </c>
      <c r="R272" s="45" t="s">
        <v>501</v>
      </c>
      <c r="S272" s="46" t="s">
        <v>679</v>
      </c>
      <c r="T272" s="46" t="s">
        <v>681</v>
      </c>
      <c r="U272" s="46"/>
      <c r="V272" s="46"/>
      <c r="W272" s="43">
        <v>19</v>
      </c>
      <c r="X272" s="43">
        <v>0</v>
      </c>
      <c r="Y272" s="43">
        <v>0</v>
      </c>
      <c r="Z272" s="43">
        <v>19</v>
      </c>
    </row>
    <row r="273" spans="1:26" ht="15">
      <c r="A273" s="43" t="s">
        <v>773</v>
      </c>
      <c r="B273" s="44" t="s">
        <v>733</v>
      </c>
      <c r="C273" s="44" t="s">
        <v>489</v>
      </c>
      <c r="D273" s="45" t="s">
        <v>497</v>
      </c>
      <c r="E273" s="46"/>
      <c r="F273" s="46"/>
      <c r="G273" s="46"/>
      <c r="H273" s="46"/>
      <c r="I273" s="43">
        <v>0</v>
      </c>
      <c r="J273" s="43">
        <v>0</v>
      </c>
      <c r="K273" s="43">
        <v>540</v>
      </c>
      <c r="L273" s="43">
        <v>540</v>
      </c>
      <c r="O273" s="43" t="s">
        <v>798</v>
      </c>
      <c r="P273" s="44" t="s">
        <v>770</v>
      </c>
      <c r="Q273" s="44" t="s">
        <v>647</v>
      </c>
      <c r="R273" s="45" t="s">
        <v>506</v>
      </c>
      <c r="S273" s="46"/>
      <c r="T273" s="46"/>
      <c r="U273" s="46"/>
      <c r="V273" s="46"/>
      <c r="W273" s="43">
        <v>0</v>
      </c>
      <c r="X273" s="43">
        <v>0</v>
      </c>
      <c r="Y273" s="43">
        <v>540</v>
      </c>
      <c r="Z273" s="43">
        <v>540</v>
      </c>
    </row>
    <row r="274" spans="1:26" ht="15">
      <c r="A274" s="43" t="s">
        <v>773</v>
      </c>
      <c r="B274" s="44" t="s">
        <v>733</v>
      </c>
      <c r="C274" s="44" t="s">
        <v>489</v>
      </c>
      <c r="D274" s="45" t="s">
        <v>498</v>
      </c>
      <c r="E274" s="46" t="s">
        <v>624</v>
      </c>
      <c r="F274" s="46"/>
      <c r="G274" s="46"/>
      <c r="H274" s="46"/>
      <c r="I274" s="43">
        <v>0</v>
      </c>
      <c r="J274" s="43">
        <v>0</v>
      </c>
      <c r="K274" s="43">
        <v>540</v>
      </c>
      <c r="L274" s="43">
        <v>540</v>
      </c>
      <c r="O274" s="43" t="s">
        <v>798</v>
      </c>
      <c r="P274" s="44" t="s">
        <v>770</v>
      </c>
      <c r="Q274" s="44" t="s">
        <v>647</v>
      </c>
      <c r="R274" s="45" t="s">
        <v>507</v>
      </c>
      <c r="S274" s="46"/>
      <c r="T274" s="46"/>
      <c r="U274" s="46"/>
      <c r="V274" s="46"/>
      <c r="W274" s="43">
        <v>0</v>
      </c>
      <c r="X274" s="43">
        <v>0</v>
      </c>
      <c r="Y274" s="43">
        <v>540</v>
      </c>
      <c r="Z274" s="43">
        <v>540</v>
      </c>
    </row>
    <row r="275" spans="1:26" ht="15">
      <c r="A275" s="43" t="s">
        <v>773</v>
      </c>
      <c r="B275" s="44" t="s">
        <v>733</v>
      </c>
      <c r="C275" s="44" t="s">
        <v>489</v>
      </c>
      <c r="D275" s="45" t="s">
        <v>499</v>
      </c>
      <c r="E275" s="46" t="s">
        <v>625</v>
      </c>
      <c r="F275" s="46" t="s">
        <v>584</v>
      </c>
      <c r="G275" s="46"/>
      <c r="H275" s="46"/>
      <c r="I275" s="43">
        <v>102</v>
      </c>
      <c r="J275" s="43">
        <v>0</v>
      </c>
      <c r="K275" s="43">
        <v>0</v>
      </c>
      <c r="L275" s="43">
        <v>102</v>
      </c>
      <c r="O275" s="43" t="s">
        <v>798</v>
      </c>
      <c r="P275" s="44" t="s">
        <v>770</v>
      </c>
      <c r="Q275" s="44" t="s">
        <v>647</v>
      </c>
      <c r="R275" s="45" t="s">
        <v>508</v>
      </c>
      <c r="S275" s="46" t="s">
        <v>514</v>
      </c>
      <c r="T275" s="46" t="s">
        <v>670</v>
      </c>
      <c r="U275" s="46"/>
      <c r="V275" s="46"/>
      <c r="W275" s="43">
        <v>14</v>
      </c>
      <c r="X275" s="43">
        <v>0</v>
      </c>
      <c r="Y275" s="43">
        <v>0</v>
      </c>
      <c r="Z275" s="43">
        <v>14</v>
      </c>
    </row>
    <row r="276" spans="1:26" ht="15">
      <c r="A276" s="43" t="s">
        <v>773</v>
      </c>
      <c r="B276" s="44" t="s">
        <v>733</v>
      </c>
      <c r="C276" s="44" t="s">
        <v>489</v>
      </c>
      <c r="D276" s="45" t="s">
        <v>506</v>
      </c>
      <c r="E276" s="46"/>
      <c r="F276" s="46"/>
      <c r="G276" s="46"/>
      <c r="H276" s="46"/>
      <c r="I276" s="43">
        <v>0</v>
      </c>
      <c r="J276" s="43">
        <v>0</v>
      </c>
      <c r="K276" s="43">
        <v>540</v>
      </c>
      <c r="L276" s="43">
        <v>540</v>
      </c>
      <c r="O276" s="43" t="s">
        <v>798</v>
      </c>
      <c r="P276" s="44" t="s">
        <v>770</v>
      </c>
      <c r="Q276" s="44" t="s">
        <v>647</v>
      </c>
      <c r="R276" s="45" t="s">
        <v>534</v>
      </c>
      <c r="S276" s="46" t="s">
        <v>675</v>
      </c>
      <c r="T276" s="46" t="s">
        <v>568</v>
      </c>
      <c r="U276" s="46"/>
      <c r="V276" s="46"/>
      <c r="W276" s="43">
        <v>24</v>
      </c>
      <c r="X276" s="43">
        <v>0</v>
      </c>
      <c r="Y276" s="43">
        <v>0</v>
      </c>
      <c r="Z276" s="43">
        <v>24</v>
      </c>
    </row>
    <row r="277" spans="1:26" ht="15">
      <c r="A277" s="43" t="s">
        <v>773</v>
      </c>
      <c r="B277" s="44" t="s">
        <v>733</v>
      </c>
      <c r="C277" s="44" t="s">
        <v>489</v>
      </c>
      <c r="D277" s="45" t="s">
        <v>510</v>
      </c>
      <c r="E277" s="46"/>
      <c r="F277" s="46"/>
      <c r="G277" s="46"/>
      <c r="H277" s="46"/>
      <c r="I277" s="43">
        <v>0</v>
      </c>
      <c r="J277" s="43">
        <v>0</v>
      </c>
      <c r="K277" s="43">
        <v>540</v>
      </c>
      <c r="L277" s="43">
        <v>540</v>
      </c>
      <c r="O277" s="43" t="s">
        <v>798</v>
      </c>
      <c r="P277" s="44" t="s">
        <v>770</v>
      </c>
      <c r="Q277" s="44" t="s">
        <v>647</v>
      </c>
      <c r="R277" s="45" t="s">
        <v>535</v>
      </c>
      <c r="S277" s="46" t="s">
        <v>679</v>
      </c>
      <c r="T277" s="46" t="s">
        <v>530</v>
      </c>
      <c r="U277" s="46"/>
      <c r="V277" s="46"/>
      <c r="W277" s="43">
        <v>19</v>
      </c>
      <c r="X277" s="43">
        <v>0</v>
      </c>
      <c r="Y277" s="43">
        <v>0</v>
      </c>
      <c r="Z277" s="43">
        <v>19</v>
      </c>
    </row>
    <row r="278" spans="1:26" ht="15">
      <c r="A278" s="43" t="s">
        <v>773</v>
      </c>
      <c r="B278" s="44" t="s">
        <v>733</v>
      </c>
      <c r="C278" s="44" t="s">
        <v>489</v>
      </c>
      <c r="D278" s="45" t="s">
        <v>512</v>
      </c>
      <c r="E278" s="46"/>
      <c r="F278" s="46"/>
      <c r="G278" s="46"/>
      <c r="H278" s="46"/>
      <c r="I278" s="43">
        <v>0</v>
      </c>
      <c r="J278" s="43">
        <v>0</v>
      </c>
      <c r="K278" s="43">
        <v>540</v>
      </c>
      <c r="L278" s="43">
        <v>540</v>
      </c>
      <c r="O278" s="43" t="s">
        <v>798</v>
      </c>
      <c r="P278" s="44" t="s">
        <v>770</v>
      </c>
      <c r="Q278" s="44" t="s">
        <v>647</v>
      </c>
      <c r="R278" s="45" t="s">
        <v>510</v>
      </c>
      <c r="S278" s="46" t="s">
        <v>680</v>
      </c>
      <c r="T278" s="46"/>
      <c r="U278" s="46"/>
      <c r="V278" s="46"/>
      <c r="W278" s="43">
        <v>20</v>
      </c>
      <c r="X278" s="43">
        <v>0</v>
      </c>
      <c r="Y278" s="43">
        <v>520</v>
      </c>
      <c r="Z278" s="43">
        <v>540</v>
      </c>
    </row>
    <row r="279" spans="1:26" ht="15">
      <c r="A279" s="43" t="s">
        <v>773</v>
      </c>
      <c r="B279" s="44" t="s">
        <v>733</v>
      </c>
      <c r="C279" s="44" t="s">
        <v>489</v>
      </c>
      <c r="D279" s="45" t="s">
        <v>513</v>
      </c>
      <c r="E279" s="46" t="s">
        <v>589</v>
      </c>
      <c r="F279" s="46" t="s">
        <v>590</v>
      </c>
      <c r="G279" s="46"/>
      <c r="H279" s="46"/>
      <c r="I279" s="43">
        <v>0</v>
      </c>
      <c r="J279" s="43">
        <v>121</v>
      </c>
      <c r="K279" s="43">
        <v>0</v>
      </c>
      <c r="L279" s="43">
        <v>121</v>
      </c>
      <c r="O279" s="43" t="s">
        <v>798</v>
      </c>
      <c r="P279" s="44" t="s">
        <v>770</v>
      </c>
      <c r="Q279" s="44" t="s">
        <v>647</v>
      </c>
      <c r="R279" s="45" t="s">
        <v>538</v>
      </c>
      <c r="S279" s="46" t="s">
        <v>705</v>
      </c>
      <c r="T279" s="46" t="s">
        <v>565</v>
      </c>
      <c r="U279" s="46"/>
      <c r="V279" s="46"/>
      <c r="W279" s="43">
        <v>23</v>
      </c>
      <c r="X279" s="43">
        <v>0</v>
      </c>
      <c r="Y279" s="43">
        <v>0</v>
      </c>
      <c r="Z279" s="43">
        <v>23</v>
      </c>
    </row>
    <row r="280" spans="1:26" ht="15">
      <c r="A280" s="43" t="s">
        <v>773</v>
      </c>
      <c r="B280" s="44" t="s">
        <v>733</v>
      </c>
      <c r="C280" s="44" t="s">
        <v>489</v>
      </c>
      <c r="D280" s="45" t="s">
        <v>518</v>
      </c>
      <c r="E280" s="46" t="s">
        <v>504</v>
      </c>
      <c r="F280" s="46"/>
      <c r="G280" s="46"/>
      <c r="H280" s="46"/>
      <c r="I280" s="43">
        <v>0</v>
      </c>
      <c r="J280" s="43">
        <v>0</v>
      </c>
      <c r="K280" s="43">
        <v>540</v>
      </c>
      <c r="L280" s="43">
        <v>540</v>
      </c>
      <c r="O280" s="43" t="s">
        <v>798</v>
      </c>
      <c r="P280" s="44" t="s">
        <v>770</v>
      </c>
      <c r="Q280" s="44" t="s">
        <v>647</v>
      </c>
      <c r="R280" s="45" t="s">
        <v>540</v>
      </c>
      <c r="S280" s="46"/>
      <c r="T280" s="46" t="s">
        <v>706</v>
      </c>
      <c r="U280" s="46"/>
      <c r="V280" s="46"/>
      <c r="W280" s="43">
        <v>0</v>
      </c>
      <c r="X280" s="43">
        <v>0</v>
      </c>
      <c r="Y280" s="43">
        <v>540</v>
      </c>
      <c r="Z280" s="43">
        <v>540</v>
      </c>
    </row>
    <row r="281" spans="1:26" ht="15">
      <c r="A281" s="43" t="s">
        <v>766</v>
      </c>
      <c r="B281" s="44" t="s">
        <v>732</v>
      </c>
      <c r="C281" s="44" t="s">
        <v>489</v>
      </c>
      <c r="D281" s="45" t="s">
        <v>490</v>
      </c>
      <c r="E281" s="46" t="s">
        <v>626</v>
      </c>
      <c r="F281" s="46" t="s">
        <v>627</v>
      </c>
      <c r="G281" s="46"/>
      <c r="H281" s="46"/>
      <c r="I281" s="43">
        <v>38</v>
      </c>
      <c r="J281" s="43">
        <v>0</v>
      </c>
      <c r="K281" s="43">
        <v>0</v>
      </c>
      <c r="L281" s="43">
        <v>38</v>
      </c>
      <c r="O281" s="43" t="s">
        <v>798</v>
      </c>
      <c r="P281" s="44" t="s">
        <v>770</v>
      </c>
      <c r="Q281" s="44" t="s">
        <v>647</v>
      </c>
      <c r="R281" s="45" t="s">
        <v>543</v>
      </c>
      <c r="S281" s="46" t="s">
        <v>511</v>
      </c>
      <c r="T281" s="46" t="s">
        <v>663</v>
      </c>
      <c r="U281" s="46"/>
      <c r="V281" s="46"/>
      <c r="W281" s="43">
        <v>13</v>
      </c>
      <c r="X281" s="43">
        <v>0</v>
      </c>
      <c r="Y281" s="43">
        <v>0</v>
      </c>
      <c r="Z281" s="43">
        <v>13</v>
      </c>
    </row>
    <row r="282" spans="1:26" ht="15">
      <c r="A282" s="43" t="s">
        <v>766</v>
      </c>
      <c r="B282" s="44" t="s">
        <v>732</v>
      </c>
      <c r="C282" s="44" t="s">
        <v>489</v>
      </c>
      <c r="D282" s="45" t="s">
        <v>491</v>
      </c>
      <c r="E282" s="46" t="s">
        <v>603</v>
      </c>
      <c r="F282" s="46" t="s">
        <v>560</v>
      </c>
      <c r="G282" s="46"/>
      <c r="H282" s="46"/>
      <c r="I282" s="43">
        <v>45</v>
      </c>
      <c r="J282" s="43">
        <v>0</v>
      </c>
      <c r="K282" s="43">
        <v>0</v>
      </c>
      <c r="L282" s="43">
        <v>45</v>
      </c>
      <c r="O282" s="43" t="s">
        <v>798</v>
      </c>
      <c r="P282" s="44" t="s">
        <v>770</v>
      </c>
      <c r="Q282" s="44" t="s">
        <v>647</v>
      </c>
      <c r="R282" s="45" t="s">
        <v>512</v>
      </c>
      <c r="S282" s="46"/>
      <c r="T282" s="46"/>
      <c r="U282" s="46"/>
      <c r="V282" s="46"/>
      <c r="W282" s="43">
        <v>0</v>
      </c>
      <c r="X282" s="43">
        <v>0</v>
      </c>
      <c r="Y282" s="43">
        <v>540</v>
      </c>
      <c r="Z282" s="43">
        <v>540</v>
      </c>
    </row>
    <row r="283" spans="1:26" ht="15">
      <c r="A283" s="43" t="s">
        <v>766</v>
      </c>
      <c r="B283" s="44" t="s">
        <v>732</v>
      </c>
      <c r="C283" s="44" t="s">
        <v>489</v>
      </c>
      <c r="D283" s="45" t="s">
        <v>495</v>
      </c>
      <c r="E283" s="46" t="s">
        <v>628</v>
      </c>
      <c r="F283" s="46" t="s">
        <v>629</v>
      </c>
      <c r="G283" s="46"/>
      <c r="H283" s="46"/>
      <c r="I283" s="43">
        <v>33</v>
      </c>
      <c r="J283" s="43">
        <v>0</v>
      </c>
      <c r="K283" s="43">
        <v>0</v>
      </c>
      <c r="L283" s="43">
        <v>33</v>
      </c>
      <c r="O283" s="43" t="s">
        <v>798</v>
      </c>
      <c r="P283" s="44" t="s">
        <v>770</v>
      </c>
      <c r="Q283" s="44" t="s">
        <v>647</v>
      </c>
      <c r="R283" s="45" t="s">
        <v>515</v>
      </c>
      <c r="S283" s="46" t="s">
        <v>689</v>
      </c>
      <c r="T283" s="46" t="s">
        <v>672</v>
      </c>
      <c r="U283" s="46"/>
      <c r="V283" s="46"/>
      <c r="W283" s="43">
        <v>28</v>
      </c>
      <c r="X283" s="43">
        <v>0</v>
      </c>
      <c r="Y283" s="43">
        <v>0</v>
      </c>
      <c r="Z283" s="43">
        <v>28</v>
      </c>
    </row>
    <row r="284" spans="1:26" ht="15">
      <c r="A284" s="43" t="s">
        <v>766</v>
      </c>
      <c r="B284" s="44" t="s">
        <v>732</v>
      </c>
      <c r="C284" s="44" t="s">
        <v>489</v>
      </c>
      <c r="D284" s="45" t="s">
        <v>498</v>
      </c>
      <c r="E284" s="46" t="s">
        <v>630</v>
      </c>
      <c r="F284" s="46" t="s">
        <v>631</v>
      </c>
      <c r="G284" s="46"/>
      <c r="H284" s="46"/>
      <c r="I284" s="43">
        <v>0</v>
      </c>
      <c r="J284" s="43">
        <v>330</v>
      </c>
      <c r="K284" s="43">
        <v>0</v>
      </c>
      <c r="L284" s="43">
        <v>330</v>
      </c>
      <c r="O284" s="43" t="s">
        <v>798</v>
      </c>
      <c r="P284" s="44" t="s">
        <v>770</v>
      </c>
      <c r="Q284" s="44" t="s">
        <v>647</v>
      </c>
      <c r="R284" s="45" t="s">
        <v>517</v>
      </c>
      <c r="S284" s="46" t="s">
        <v>630</v>
      </c>
      <c r="T284" s="46" t="s">
        <v>648</v>
      </c>
      <c r="U284" s="46"/>
      <c r="V284" s="46"/>
      <c r="W284" s="43">
        <v>18</v>
      </c>
      <c r="X284" s="43">
        <v>0</v>
      </c>
      <c r="Y284" s="43">
        <v>0</v>
      </c>
      <c r="Z284" s="43">
        <v>18</v>
      </c>
    </row>
    <row r="285" spans="1:26" ht="15">
      <c r="A285" s="43" t="s">
        <v>766</v>
      </c>
      <c r="B285" s="44" t="s">
        <v>732</v>
      </c>
      <c r="C285" s="44" t="s">
        <v>489</v>
      </c>
      <c r="D285" s="45" t="s">
        <v>499</v>
      </c>
      <c r="E285" s="46"/>
      <c r="F285" s="46"/>
      <c r="G285" s="46"/>
      <c r="H285" s="46"/>
      <c r="I285" s="43">
        <v>0</v>
      </c>
      <c r="J285" s="43">
        <v>0</v>
      </c>
      <c r="K285" s="43">
        <v>540</v>
      </c>
      <c r="L285" s="43">
        <v>540</v>
      </c>
      <c r="O285" s="43" t="s">
        <v>798</v>
      </c>
      <c r="P285" s="44" t="s">
        <v>770</v>
      </c>
      <c r="Q285" s="44" t="s">
        <v>647</v>
      </c>
      <c r="R285" s="45" t="s">
        <v>518</v>
      </c>
      <c r="S285" s="46" t="s">
        <v>635</v>
      </c>
      <c r="T285" s="46"/>
      <c r="U285" s="46"/>
      <c r="V285" s="46"/>
      <c r="W285" s="43">
        <v>26</v>
      </c>
      <c r="X285" s="43">
        <v>0</v>
      </c>
      <c r="Y285" s="43">
        <v>514</v>
      </c>
      <c r="Z285" s="43">
        <v>540</v>
      </c>
    </row>
    <row r="286" spans="1:26" ht="30">
      <c r="A286" s="43" t="s">
        <v>766</v>
      </c>
      <c r="B286" s="44" t="s">
        <v>732</v>
      </c>
      <c r="C286" s="44" t="s">
        <v>489</v>
      </c>
      <c r="D286" s="45" t="s">
        <v>506</v>
      </c>
      <c r="E286" s="46"/>
      <c r="F286" s="46"/>
      <c r="G286" s="46"/>
      <c r="H286" s="46"/>
      <c r="I286" s="43">
        <v>0</v>
      </c>
      <c r="J286" s="43">
        <v>0</v>
      </c>
      <c r="K286" s="43">
        <v>540</v>
      </c>
      <c r="L286" s="43">
        <v>540</v>
      </c>
      <c r="O286" s="43" t="s">
        <v>799</v>
      </c>
      <c r="P286" s="44" t="s">
        <v>771</v>
      </c>
      <c r="Q286" s="44" t="s">
        <v>647</v>
      </c>
      <c r="R286" s="45" t="s">
        <v>490</v>
      </c>
      <c r="S286" s="46" t="s">
        <v>707</v>
      </c>
      <c r="T286" s="46" t="s">
        <v>672</v>
      </c>
      <c r="U286" s="46"/>
      <c r="V286" s="46"/>
      <c r="W286" s="43">
        <v>49</v>
      </c>
      <c r="X286" s="43">
        <v>0</v>
      </c>
      <c r="Y286" s="43">
        <v>0</v>
      </c>
      <c r="Z286" s="43">
        <v>49</v>
      </c>
    </row>
    <row r="287" spans="1:26" ht="30">
      <c r="A287" s="43" t="s">
        <v>766</v>
      </c>
      <c r="B287" s="44" t="s">
        <v>732</v>
      </c>
      <c r="C287" s="44" t="s">
        <v>489</v>
      </c>
      <c r="D287" s="45" t="s">
        <v>534</v>
      </c>
      <c r="E287" s="46"/>
      <c r="F287" s="46"/>
      <c r="G287" s="46"/>
      <c r="H287" s="46"/>
      <c r="I287" s="43">
        <v>0</v>
      </c>
      <c r="J287" s="43">
        <v>0</v>
      </c>
      <c r="K287" s="43">
        <v>540</v>
      </c>
      <c r="L287" s="43">
        <v>540</v>
      </c>
      <c r="O287" s="43" t="s">
        <v>799</v>
      </c>
      <c r="P287" s="44" t="s">
        <v>771</v>
      </c>
      <c r="Q287" s="44" t="s">
        <v>647</v>
      </c>
      <c r="R287" s="45" t="s">
        <v>491</v>
      </c>
      <c r="S287" s="46" t="s">
        <v>547</v>
      </c>
      <c r="T287" s="46" t="s">
        <v>648</v>
      </c>
      <c r="U287" s="46"/>
      <c r="V287" s="46"/>
      <c r="W287" s="43">
        <v>41</v>
      </c>
      <c r="X287" s="43">
        <v>0</v>
      </c>
      <c r="Y287" s="43">
        <v>0</v>
      </c>
      <c r="Z287" s="43">
        <v>41</v>
      </c>
    </row>
    <row r="288" spans="1:26" ht="30">
      <c r="A288" s="43" t="s">
        <v>766</v>
      </c>
      <c r="B288" s="44" t="s">
        <v>732</v>
      </c>
      <c r="C288" s="44" t="s">
        <v>489</v>
      </c>
      <c r="D288" s="45" t="s">
        <v>535</v>
      </c>
      <c r="E288" s="46"/>
      <c r="F288" s="46"/>
      <c r="G288" s="46"/>
      <c r="H288" s="46"/>
      <c r="I288" s="43">
        <v>0</v>
      </c>
      <c r="J288" s="43">
        <v>0</v>
      </c>
      <c r="K288" s="43">
        <v>540</v>
      </c>
      <c r="L288" s="43">
        <v>540</v>
      </c>
      <c r="O288" s="43" t="s">
        <v>799</v>
      </c>
      <c r="P288" s="44" t="s">
        <v>771</v>
      </c>
      <c r="Q288" s="44" t="s">
        <v>647</v>
      </c>
      <c r="R288" s="45" t="s">
        <v>493</v>
      </c>
      <c r="S288" s="46" t="s">
        <v>669</v>
      </c>
      <c r="T288" s="46" t="s">
        <v>696</v>
      </c>
      <c r="U288" s="46"/>
      <c r="V288" s="46"/>
      <c r="W288" s="43">
        <v>36</v>
      </c>
      <c r="X288" s="43">
        <v>0</v>
      </c>
      <c r="Y288" s="43">
        <v>0</v>
      </c>
      <c r="Z288" s="43">
        <v>36</v>
      </c>
    </row>
    <row r="289" spans="1:26" ht="30">
      <c r="A289" s="43" t="s">
        <v>766</v>
      </c>
      <c r="B289" s="44" t="s">
        <v>732</v>
      </c>
      <c r="C289" s="44" t="s">
        <v>489</v>
      </c>
      <c r="D289" s="45" t="s">
        <v>509</v>
      </c>
      <c r="E289" s="46"/>
      <c r="F289" s="46"/>
      <c r="G289" s="46"/>
      <c r="H289" s="46"/>
      <c r="I289" s="43">
        <v>0</v>
      </c>
      <c r="J289" s="43">
        <v>0</v>
      </c>
      <c r="K289" s="43">
        <v>540</v>
      </c>
      <c r="L289" s="43">
        <v>540</v>
      </c>
      <c r="O289" s="43" t="s">
        <v>799</v>
      </c>
      <c r="P289" s="44" t="s">
        <v>771</v>
      </c>
      <c r="Q289" s="44" t="s">
        <v>647</v>
      </c>
      <c r="R289" s="45" t="s">
        <v>494</v>
      </c>
      <c r="S289" s="46" t="s">
        <v>626</v>
      </c>
      <c r="T289" s="46" t="s">
        <v>670</v>
      </c>
      <c r="U289" s="46"/>
      <c r="V289" s="46"/>
      <c r="W289" s="43">
        <v>38</v>
      </c>
      <c r="X289" s="43">
        <v>0</v>
      </c>
      <c r="Y289" s="43">
        <v>0</v>
      </c>
      <c r="Z289" s="43">
        <v>38</v>
      </c>
    </row>
    <row r="290" spans="1:26" ht="30">
      <c r="A290" s="43" t="s">
        <v>766</v>
      </c>
      <c r="B290" s="44" t="s">
        <v>732</v>
      </c>
      <c r="C290" s="44" t="s">
        <v>489</v>
      </c>
      <c r="D290" s="45" t="s">
        <v>510</v>
      </c>
      <c r="E290" s="46"/>
      <c r="F290" s="46"/>
      <c r="G290" s="46"/>
      <c r="H290" s="46"/>
      <c r="I290" s="43">
        <v>0</v>
      </c>
      <c r="J290" s="43">
        <v>0</v>
      </c>
      <c r="K290" s="43">
        <v>540</v>
      </c>
      <c r="L290" s="43">
        <v>540</v>
      </c>
      <c r="O290" s="43" t="s">
        <v>799</v>
      </c>
      <c r="P290" s="44" t="s">
        <v>771</v>
      </c>
      <c r="Q290" s="44" t="s">
        <v>647</v>
      </c>
      <c r="R290" s="45" t="s">
        <v>495</v>
      </c>
      <c r="S290" s="46"/>
      <c r="T290" s="46"/>
      <c r="U290" s="46"/>
      <c r="V290" s="46"/>
      <c r="W290" s="43">
        <v>0</v>
      </c>
      <c r="X290" s="43">
        <v>0</v>
      </c>
      <c r="Y290" s="43">
        <v>540</v>
      </c>
      <c r="Z290" s="43">
        <v>540</v>
      </c>
    </row>
    <row r="291" spans="1:26" ht="30">
      <c r="A291" s="43" t="s">
        <v>766</v>
      </c>
      <c r="B291" s="44" t="s">
        <v>732</v>
      </c>
      <c r="C291" s="44" t="s">
        <v>489</v>
      </c>
      <c r="D291" s="45" t="s">
        <v>538</v>
      </c>
      <c r="E291" s="46"/>
      <c r="F291" s="46"/>
      <c r="G291" s="46"/>
      <c r="H291" s="46"/>
      <c r="I291" s="43">
        <v>0</v>
      </c>
      <c r="J291" s="43">
        <v>0</v>
      </c>
      <c r="K291" s="43">
        <v>540</v>
      </c>
      <c r="L291" s="43">
        <v>540</v>
      </c>
      <c r="O291" s="43" t="s">
        <v>799</v>
      </c>
      <c r="P291" s="44" t="s">
        <v>771</v>
      </c>
      <c r="Q291" s="44" t="s">
        <v>647</v>
      </c>
      <c r="R291" s="45" t="s">
        <v>497</v>
      </c>
      <c r="S291" s="46"/>
      <c r="T291" s="46"/>
      <c r="U291" s="46"/>
      <c r="V291" s="46"/>
      <c r="W291" s="43">
        <v>0</v>
      </c>
      <c r="X291" s="43">
        <v>0</v>
      </c>
      <c r="Y291" s="43">
        <v>540</v>
      </c>
      <c r="Z291" s="43">
        <v>540</v>
      </c>
    </row>
    <row r="292" spans="1:26" ht="30">
      <c r="A292" s="43" t="s">
        <v>766</v>
      </c>
      <c r="B292" s="44" t="s">
        <v>732</v>
      </c>
      <c r="C292" s="44" t="s">
        <v>489</v>
      </c>
      <c r="D292" s="45" t="s">
        <v>540</v>
      </c>
      <c r="E292" s="46"/>
      <c r="F292" s="46"/>
      <c r="G292" s="46"/>
      <c r="H292" s="46"/>
      <c r="I292" s="43">
        <v>0</v>
      </c>
      <c r="J292" s="43">
        <v>0</v>
      </c>
      <c r="K292" s="43">
        <v>540</v>
      </c>
      <c r="L292" s="43">
        <v>540</v>
      </c>
      <c r="O292" s="43" t="s">
        <v>799</v>
      </c>
      <c r="P292" s="44" t="s">
        <v>771</v>
      </c>
      <c r="Q292" s="44" t="s">
        <v>647</v>
      </c>
      <c r="R292" s="45" t="s">
        <v>498</v>
      </c>
      <c r="S292" s="46" t="s">
        <v>606</v>
      </c>
      <c r="T292" s="46" t="s">
        <v>708</v>
      </c>
      <c r="U292" s="46"/>
      <c r="V292" s="46"/>
      <c r="W292" s="43">
        <v>48</v>
      </c>
      <c r="X292" s="43">
        <v>0</v>
      </c>
      <c r="Y292" s="43">
        <v>0</v>
      </c>
      <c r="Z292" s="43">
        <v>48</v>
      </c>
    </row>
    <row r="293" spans="1:26" ht="30">
      <c r="A293" s="43" t="s">
        <v>766</v>
      </c>
      <c r="B293" s="44" t="s">
        <v>732</v>
      </c>
      <c r="C293" s="44" t="s">
        <v>489</v>
      </c>
      <c r="D293" s="45" t="s">
        <v>543</v>
      </c>
      <c r="E293" s="46"/>
      <c r="F293" s="46"/>
      <c r="G293" s="46"/>
      <c r="H293" s="46"/>
      <c r="I293" s="43">
        <v>0</v>
      </c>
      <c r="J293" s="43">
        <v>0</v>
      </c>
      <c r="K293" s="43">
        <v>540</v>
      </c>
      <c r="L293" s="43">
        <v>540</v>
      </c>
      <c r="O293" s="43" t="s">
        <v>799</v>
      </c>
      <c r="P293" s="44" t="s">
        <v>771</v>
      </c>
      <c r="Q293" s="44" t="s">
        <v>647</v>
      </c>
      <c r="R293" s="45" t="s">
        <v>499</v>
      </c>
      <c r="S293" s="46" t="s">
        <v>557</v>
      </c>
      <c r="T293" s="46" t="s">
        <v>576</v>
      </c>
      <c r="U293" s="46"/>
      <c r="V293" s="46"/>
      <c r="W293" s="43">
        <v>46</v>
      </c>
      <c r="X293" s="43">
        <v>0</v>
      </c>
      <c r="Y293" s="43">
        <v>0</v>
      </c>
      <c r="Z293" s="43">
        <v>46</v>
      </c>
    </row>
    <row r="294" spans="1:26" ht="30">
      <c r="A294" s="43" t="s">
        <v>766</v>
      </c>
      <c r="B294" s="44" t="s">
        <v>732</v>
      </c>
      <c r="C294" s="44" t="s">
        <v>489</v>
      </c>
      <c r="D294" s="45" t="s">
        <v>512</v>
      </c>
      <c r="E294" s="46"/>
      <c r="F294" s="46"/>
      <c r="G294" s="46"/>
      <c r="H294" s="46"/>
      <c r="I294" s="43">
        <v>0</v>
      </c>
      <c r="J294" s="43">
        <v>0</v>
      </c>
      <c r="K294" s="43">
        <v>540</v>
      </c>
      <c r="L294" s="43">
        <v>540</v>
      </c>
      <c r="O294" s="43" t="s">
        <v>799</v>
      </c>
      <c r="P294" s="44" t="s">
        <v>771</v>
      </c>
      <c r="Q294" s="44" t="s">
        <v>647</v>
      </c>
      <c r="R294" s="45" t="s">
        <v>500</v>
      </c>
      <c r="S294" s="46"/>
      <c r="T294" s="46"/>
      <c r="U294" s="46"/>
      <c r="V294" s="46"/>
      <c r="W294" s="43">
        <v>0</v>
      </c>
      <c r="X294" s="43">
        <v>0</v>
      </c>
      <c r="Y294" s="43">
        <v>540</v>
      </c>
      <c r="Z294" s="43">
        <v>540</v>
      </c>
    </row>
    <row r="295" spans="1:26" ht="30">
      <c r="A295" s="43" t="s">
        <v>766</v>
      </c>
      <c r="B295" s="44" t="s">
        <v>732</v>
      </c>
      <c r="C295" s="44" t="s">
        <v>489</v>
      </c>
      <c r="D295" s="45" t="s">
        <v>513</v>
      </c>
      <c r="E295" s="46"/>
      <c r="F295" s="46" t="s">
        <v>632</v>
      </c>
      <c r="G295" s="46"/>
      <c r="H295" s="46"/>
      <c r="I295" s="43">
        <v>0</v>
      </c>
      <c r="J295" s="43">
        <v>123</v>
      </c>
      <c r="K295" s="43">
        <v>417</v>
      </c>
      <c r="L295" s="43">
        <v>540</v>
      </c>
      <c r="O295" s="43" t="s">
        <v>799</v>
      </c>
      <c r="P295" s="44" t="s">
        <v>771</v>
      </c>
      <c r="Q295" s="44" t="s">
        <v>647</v>
      </c>
      <c r="R295" s="45" t="s">
        <v>501</v>
      </c>
      <c r="S295" s="46" t="s">
        <v>525</v>
      </c>
      <c r="T295" s="46" t="s">
        <v>659</v>
      </c>
      <c r="U295" s="46"/>
      <c r="V295" s="46"/>
      <c r="W295" s="43">
        <v>40</v>
      </c>
      <c r="X295" s="43">
        <v>0</v>
      </c>
      <c r="Y295" s="43">
        <v>0</v>
      </c>
      <c r="Z295" s="43">
        <v>40</v>
      </c>
    </row>
    <row r="296" spans="1:26" ht="30">
      <c r="A296" s="43" t="s">
        <v>766</v>
      </c>
      <c r="B296" s="44" t="s">
        <v>732</v>
      </c>
      <c r="C296" s="44" t="s">
        <v>489</v>
      </c>
      <c r="D296" s="45" t="s">
        <v>515</v>
      </c>
      <c r="E296" s="46"/>
      <c r="F296" s="46"/>
      <c r="G296" s="46"/>
      <c r="H296" s="46"/>
      <c r="I296" s="43">
        <v>0</v>
      </c>
      <c r="J296" s="43">
        <v>0</v>
      </c>
      <c r="K296" s="43">
        <v>540</v>
      </c>
      <c r="L296" s="43">
        <v>540</v>
      </c>
      <c r="O296" s="43" t="s">
        <v>799</v>
      </c>
      <c r="P296" s="44" t="s">
        <v>771</v>
      </c>
      <c r="Q296" s="44" t="s">
        <v>647</v>
      </c>
      <c r="R296" s="45" t="s">
        <v>506</v>
      </c>
      <c r="S296" s="46"/>
      <c r="T296" s="46"/>
      <c r="U296" s="46"/>
      <c r="V296" s="46"/>
      <c r="W296" s="43">
        <v>0</v>
      </c>
      <c r="X296" s="43">
        <v>0</v>
      </c>
      <c r="Y296" s="43">
        <v>540</v>
      </c>
      <c r="Z296" s="43">
        <v>540</v>
      </c>
    </row>
    <row r="297" spans="1:26" ht="30">
      <c r="A297" s="43" t="s">
        <v>766</v>
      </c>
      <c r="B297" s="44" t="s">
        <v>732</v>
      </c>
      <c r="C297" s="44" t="s">
        <v>489</v>
      </c>
      <c r="D297" s="45" t="s">
        <v>517</v>
      </c>
      <c r="E297" s="46"/>
      <c r="F297" s="46"/>
      <c r="G297" s="46"/>
      <c r="H297" s="46"/>
      <c r="I297" s="43">
        <v>0</v>
      </c>
      <c r="J297" s="43">
        <v>0</v>
      </c>
      <c r="K297" s="43">
        <v>540</v>
      </c>
      <c r="L297" s="43">
        <v>540</v>
      </c>
      <c r="O297" s="43" t="s">
        <v>799</v>
      </c>
      <c r="P297" s="44" t="s">
        <v>771</v>
      </c>
      <c r="Q297" s="44" t="s">
        <v>647</v>
      </c>
      <c r="R297" s="45" t="s">
        <v>507</v>
      </c>
      <c r="S297" s="46" t="s">
        <v>709</v>
      </c>
      <c r="T297" s="46" t="s">
        <v>584</v>
      </c>
      <c r="U297" s="46"/>
      <c r="V297" s="46"/>
      <c r="W297" s="43">
        <v>42</v>
      </c>
      <c r="X297" s="43">
        <v>0</v>
      </c>
      <c r="Y297" s="43">
        <v>0</v>
      </c>
      <c r="Z297" s="43">
        <v>42</v>
      </c>
    </row>
    <row r="298" spans="1:26" ht="30">
      <c r="A298" s="43" t="s">
        <v>766</v>
      </c>
      <c r="B298" s="44" t="s">
        <v>732</v>
      </c>
      <c r="C298" s="44" t="s">
        <v>489</v>
      </c>
      <c r="D298" s="45" t="s">
        <v>518</v>
      </c>
      <c r="E298" s="46"/>
      <c r="F298" s="46"/>
      <c r="G298" s="46"/>
      <c r="H298" s="46"/>
      <c r="I298" s="43">
        <v>0</v>
      </c>
      <c r="J298" s="43">
        <v>0</v>
      </c>
      <c r="K298" s="43">
        <v>540</v>
      </c>
      <c r="L298" s="43">
        <v>540</v>
      </c>
      <c r="O298" s="43" t="s">
        <v>799</v>
      </c>
      <c r="P298" s="44" t="s">
        <v>771</v>
      </c>
      <c r="Q298" s="44" t="s">
        <v>647</v>
      </c>
      <c r="R298" s="45" t="s">
        <v>508</v>
      </c>
      <c r="S298" s="46"/>
      <c r="T298" s="46"/>
      <c r="U298" s="46"/>
      <c r="V298" s="46"/>
      <c r="W298" s="43">
        <v>0</v>
      </c>
      <c r="X298" s="43">
        <v>0</v>
      </c>
      <c r="Y298" s="43">
        <v>540</v>
      </c>
      <c r="Z298" s="43">
        <v>540</v>
      </c>
    </row>
    <row r="299" spans="1:26" ht="30">
      <c r="A299" s="43" t="s">
        <v>742</v>
      </c>
      <c r="B299" s="44" t="s">
        <v>731</v>
      </c>
      <c r="C299" s="44" t="s">
        <v>489</v>
      </c>
      <c r="D299" s="45" t="s">
        <v>490</v>
      </c>
      <c r="E299" s="46"/>
      <c r="F299" s="46"/>
      <c r="G299" s="46"/>
      <c r="H299" s="46"/>
      <c r="I299" s="43">
        <v>0</v>
      </c>
      <c r="J299" s="43">
        <v>0</v>
      </c>
      <c r="K299" s="43">
        <v>540</v>
      </c>
      <c r="L299" s="43">
        <v>540</v>
      </c>
      <c r="O299" s="43" t="s">
        <v>799</v>
      </c>
      <c r="P299" s="44" t="s">
        <v>771</v>
      </c>
      <c r="Q299" s="44" t="s">
        <v>647</v>
      </c>
      <c r="R299" s="45" t="s">
        <v>534</v>
      </c>
      <c r="S299" s="46"/>
      <c r="T299" s="46"/>
      <c r="U299" s="46"/>
      <c r="V299" s="46"/>
      <c r="W299" s="43">
        <v>0</v>
      </c>
      <c r="X299" s="43">
        <v>0</v>
      </c>
      <c r="Y299" s="43">
        <v>540</v>
      </c>
      <c r="Z299" s="43">
        <v>540</v>
      </c>
    </row>
    <row r="300" spans="1:26" ht="30">
      <c r="A300" s="43" t="s">
        <v>742</v>
      </c>
      <c r="B300" s="44" t="s">
        <v>731</v>
      </c>
      <c r="C300" s="44" t="s">
        <v>489</v>
      </c>
      <c r="D300" s="45" t="s">
        <v>491</v>
      </c>
      <c r="E300" s="46" t="s">
        <v>633</v>
      </c>
      <c r="F300" s="46" t="s">
        <v>584</v>
      </c>
      <c r="G300" s="46"/>
      <c r="H300" s="46"/>
      <c r="I300" s="43">
        <v>251</v>
      </c>
      <c r="J300" s="43">
        <v>0</v>
      </c>
      <c r="K300" s="43">
        <v>0</v>
      </c>
      <c r="L300" s="43">
        <v>251</v>
      </c>
      <c r="O300" s="43" t="s">
        <v>799</v>
      </c>
      <c r="P300" s="44" t="s">
        <v>771</v>
      </c>
      <c r="Q300" s="44" t="s">
        <v>647</v>
      </c>
      <c r="R300" s="45" t="s">
        <v>535</v>
      </c>
      <c r="S300" s="46"/>
      <c r="T300" s="46"/>
      <c r="U300" s="46"/>
      <c r="V300" s="46"/>
      <c r="W300" s="43">
        <v>0</v>
      </c>
      <c r="X300" s="43">
        <v>0</v>
      </c>
      <c r="Y300" s="43">
        <v>540</v>
      </c>
      <c r="Z300" s="43">
        <v>540</v>
      </c>
    </row>
    <row r="301" spans="1:26" ht="30">
      <c r="A301" s="43" t="s">
        <v>742</v>
      </c>
      <c r="B301" s="44" t="s">
        <v>731</v>
      </c>
      <c r="C301" s="44" t="s">
        <v>489</v>
      </c>
      <c r="D301" s="45" t="s">
        <v>495</v>
      </c>
      <c r="E301" s="46" t="s">
        <v>634</v>
      </c>
      <c r="F301" s="46"/>
      <c r="G301" s="46"/>
      <c r="H301" s="46"/>
      <c r="I301" s="43">
        <v>0</v>
      </c>
      <c r="J301" s="43">
        <v>0</v>
      </c>
      <c r="K301" s="43">
        <v>540</v>
      </c>
      <c r="L301" s="43">
        <v>540</v>
      </c>
      <c r="O301" s="43" t="s">
        <v>799</v>
      </c>
      <c r="P301" s="44" t="s">
        <v>771</v>
      </c>
      <c r="Q301" s="44" t="s">
        <v>647</v>
      </c>
      <c r="R301" s="45" t="s">
        <v>510</v>
      </c>
      <c r="S301" s="46" t="s">
        <v>557</v>
      </c>
      <c r="T301" s="46" t="s">
        <v>584</v>
      </c>
      <c r="U301" s="46"/>
      <c r="V301" s="46"/>
      <c r="W301" s="43">
        <v>46</v>
      </c>
      <c r="X301" s="43">
        <v>0</v>
      </c>
      <c r="Y301" s="43">
        <v>0</v>
      </c>
      <c r="Z301" s="43">
        <v>46</v>
      </c>
    </row>
    <row r="302" spans="1:26" ht="30">
      <c r="A302" s="43" t="s">
        <v>742</v>
      </c>
      <c r="B302" s="44" t="s">
        <v>731</v>
      </c>
      <c r="C302" s="44" t="s">
        <v>489</v>
      </c>
      <c r="D302" s="45" t="s">
        <v>499</v>
      </c>
      <c r="E302" s="46" t="s">
        <v>635</v>
      </c>
      <c r="F302" s="46" t="s">
        <v>528</v>
      </c>
      <c r="G302" s="46"/>
      <c r="H302" s="46"/>
      <c r="I302" s="43">
        <v>26</v>
      </c>
      <c r="J302" s="43">
        <v>0</v>
      </c>
      <c r="K302" s="43">
        <v>0</v>
      </c>
      <c r="L302" s="43">
        <v>26</v>
      </c>
      <c r="O302" s="43" t="s">
        <v>799</v>
      </c>
      <c r="P302" s="44" t="s">
        <v>771</v>
      </c>
      <c r="Q302" s="44" t="s">
        <v>647</v>
      </c>
      <c r="R302" s="45" t="s">
        <v>538</v>
      </c>
      <c r="S302" s="46"/>
      <c r="T302" s="46"/>
      <c r="U302" s="46"/>
      <c r="V302" s="46"/>
      <c r="W302" s="43">
        <v>0</v>
      </c>
      <c r="X302" s="43">
        <v>0</v>
      </c>
      <c r="Y302" s="43">
        <v>540</v>
      </c>
      <c r="Z302" s="43">
        <v>540</v>
      </c>
    </row>
    <row r="303" spans="1:26" ht="30">
      <c r="A303" s="43" t="s">
        <v>742</v>
      </c>
      <c r="B303" s="44" t="s">
        <v>731</v>
      </c>
      <c r="C303" s="44" t="s">
        <v>489</v>
      </c>
      <c r="D303" s="45" t="s">
        <v>506</v>
      </c>
      <c r="E303" s="46"/>
      <c r="F303" s="46"/>
      <c r="G303" s="46"/>
      <c r="H303" s="46"/>
      <c r="I303" s="43">
        <v>0</v>
      </c>
      <c r="J303" s="43">
        <v>0</v>
      </c>
      <c r="K303" s="43">
        <v>540</v>
      </c>
      <c r="L303" s="43">
        <v>540</v>
      </c>
      <c r="O303" s="43" t="s">
        <v>799</v>
      </c>
      <c r="P303" s="44" t="s">
        <v>771</v>
      </c>
      <c r="Q303" s="44" t="s">
        <v>647</v>
      </c>
      <c r="R303" s="45" t="s">
        <v>540</v>
      </c>
      <c r="S303" s="46"/>
      <c r="T303" s="46"/>
      <c r="U303" s="46"/>
      <c r="V303" s="46"/>
      <c r="W303" s="43">
        <v>0</v>
      </c>
      <c r="X303" s="43">
        <v>0</v>
      </c>
      <c r="Y303" s="43">
        <v>540</v>
      </c>
      <c r="Z303" s="43">
        <v>540</v>
      </c>
    </row>
    <row r="304" spans="1:26" ht="30">
      <c r="A304" s="43" t="s">
        <v>742</v>
      </c>
      <c r="B304" s="44" t="s">
        <v>731</v>
      </c>
      <c r="C304" s="44" t="s">
        <v>489</v>
      </c>
      <c r="D304" s="45" t="s">
        <v>509</v>
      </c>
      <c r="E304" s="46" t="s">
        <v>504</v>
      </c>
      <c r="F304" s="46"/>
      <c r="G304" s="46"/>
      <c r="H304" s="46"/>
      <c r="I304" s="43">
        <v>0</v>
      </c>
      <c r="J304" s="43">
        <v>0</v>
      </c>
      <c r="K304" s="43">
        <v>540</v>
      </c>
      <c r="L304" s="43">
        <v>540</v>
      </c>
      <c r="O304" s="43" t="s">
        <v>799</v>
      </c>
      <c r="P304" s="44" t="s">
        <v>771</v>
      </c>
      <c r="Q304" s="44" t="s">
        <v>647</v>
      </c>
      <c r="R304" s="45" t="s">
        <v>543</v>
      </c>
      <c r="S304" s="46"/>
      <c r="T304" s="46"/>
      <c r="U304" s="46"/>
      <c r="V304" s="46"/>
      <c r="W304" s="43">
        <v>0</v>
      </c>
      <c r="X304" s="43">
        <v>0</v>
      </c>
      <c r="Y304" s="43">
        <v>540</v>
      </c>
      <c r="Z304" s="43">
        <v>540</v>
      </c>
    </row>
    <row r="305" spans="1:26" ht="30">
      <c r="A305" s="43" t="s">
        <v>742</v>
      </c>
      <c r="B305" s="44" t="s">
        <v>731</v>
      </c>
      <c r="C305" s="44" t="s">
        <v>489</v>
      </c>
      <c r="D305" s="45" t="s">
        <v>512</v>
      </c>
      <c r="E305" s="46"/>
      <c r="F305" s="46"/>
      <c r="G305" s="46"/>
      <c r="H305" s="46"/>
      <c r="I305" s="43">
        <v>0</v>
      </c>
      <c r="J305" s="43">
        <v>0</v>
      </c>
      <c r="K305" s="43">
        <v>540</v>
      </c>
      <c r="L305" s="43">
        <v>540</v>
      </c>
      <c r="O305" s="43" t="s">
        <v>799</v>
      </c>
      <c r="P305" s="44" t="s">
        <v>771</v>
      </c>
      <c r="Q305" s="44" t="s">
        <v>647</v>
      </c>
      <c r="R305" s="45" t="s">
        <v>512</v>
      </c>
      <c r="S305" s="46"/>
      <c r="T305" s="46"/>
      <c r="U305" s="46"/>
      <c r="V305" s="46"/>
      <c r="W305" s="43">
        <v>0</v>
      </c>
      <c r="X305" s="43">
        <v>0</v>
      </c>
      <c r="Y305" s="43">
        <v>540</v>
      </c>
      <c r="Z305" s="43">
        <v>540</v>
      </c>
    </row>
    <row r="306" spans="1:26" ht="30">
      <c r="A306" s="43" t="s">
        <v>742</v>
      </c>
      <c r="B306" s="44" t="s">
        <v>731</v>
      </c>
      <c r="C306" s="44" t="s">
        <v>489</v>
      </c>
      <c r="D306" s="45" t="s">
        <v>513</v>
      </c>
      <c r="E306" s="46" t="s">
        <v>589</v>
      </c>
      <c r="F306" s="46" t="s">
        <v>632</v>
      </c>
      <c r="G306" s="46"/>
      <c r="H306" s="46"/>
      <c r="I306" s="43">
        <v>0</v>
      </c>
      <c r="J306" s="43">
        <v>123</v>
      </c>
      <c r="K306" s="43">
        <v>0</v>
      </c>
      <c r="L306" s="43">
        <v>123</v>
      </c>
      <c r="O306" s="43" t="s">
        <v>799</v>
      </c>
      <c r="P306" s="44" t="s">
        <v>771</v>
      </c>
      <c r="Q306" s="44" t="s">
        <v>647</v>
      </c>
      <c r="R306" s="45" t="s">
        <v>515</v>
      </c>
      <c r="S306" s="46"/>
      <c r="T306" s="46"/>
      <c r="U306" s="46"/>
      <c r="V306" s="46"/>
      <c r="W306" s="43">
        <v>0</v>
      </c>
      <c r="X306" s="43">
        <v>0</v>
      </c>
      <c r="Y306" s="43">
        <v>540</v>
      </c>
      <c r="Z306" s="43">
        <v>540</v>
      </c>
    </row>
    <row r="307" spans="1:26" ht="30">
      <c r="A307" s="43" t="s">
        <v>742</v>
      </c>
      <c r="B307" s="44" t="s">
        <v>731</v>
      </c>
      <c r="C307" s="44" t="s">
        <v>489</v>
      </c>
      <c r="D307" s="45" t="s">
        <v>518</v>
      </c>
      <c r="E307" s="46" t="s">
        <v>636</v>
      </c>
      <c r="F307" s="46"/>
      <c r="G307" s="46"/>
      <c r="H307" s="46"/>
      <c r="I307" s="43">
        <v>0</v>
      </c>
      <c r="J307" s="43">
        <v>0</v>
      </c>
      <c r="K307" s="43">
        <v>540</v>
      </c>
      <c r="L307" s="43">
        <v>540</v>
      </c>
      <c r="O307" s="43" t="s">
        <v>799</v>
      </c>
      <c r="P307" s="44" t="s">
        <v>771</v>
      </c>
      <c r="Q307" s="44" t="s">
        <v>647</v>
      </c>
      <c r="R307" s="45" t="s">
        <v>517</v>
      </c>
      <c r="S307" s="46"/>
      <c r="T307" s="46"/>
      <c r="U307" s="46"/>
      <c r="V307" s="46"/>
      <c r="W307" s="43">
        <v>0</v>
      </c>
      <c r="X307" s="43">
        <v>0</v>
      </c>
      <c r="Y307" s="43">
        <v>540</v>
      </c>
      <c r="Z307" s="43">
        <v>540</v>
      </c>
    </row>
    <row r="308" spans="1:26" ht="30">
      <c r="A308" s="43" t="s">
        <v>726</v>
      </c>
      <c r="B308" s="44" t="s">
        <v>728</v>
      </c>
      <c r="C308" s="44" t="s">
        <v>489</v>
      </c>
      <c r="D308" s="45" t="s">
        <v>490</v>
      </c>
      <c r="E308" s="46"/>
      <c r="F308" s="46"/>
      <c r="G308" s="46"/>
      <c r="H308" s="46"/>
      <c r="I308" s="43">
        <v>0</v>
      </c>
      <c r="J308" s="43">
        <v>0</v>
      </c>
      <c r="K308" s="43">
        <v>540</v>
      </c>
      <c r="L308" s="43">
        <v>540</v>
      </c>
      <c r="O308" s="43" t="s">
        <v>799</v>
      </c>
      <c r="P308" s="44" t="s">
        <v>771</v>
      </c>
      <c r="Q308" s="44" t="s">
        <v>647</v>
      </c>
      <c r="R308" s="45" t="s">
        <v>518</v>
      </c>
      <c r="S308" s="46"/>
      <c r="T308" s="46"/>
      <c r="U308" s="46"/>
      <c r="V308" s="46"/>
      <c r="W308" s="43">
        <v>0</v>
      </c>
      <c r="X308" s="43">
        <v>0</v>
      </c>
      <c r="Y308" s="43">
        <v>540</v>
      </c>
      <c r="Z308" s="43">
        <v>540</v>
      </c>
    </row>
    <row r="309" spans="1:26" ht="30">
      <c r="A309" s="43" t="s">
        <v>726</v>
      </c>
      <c r="B309" s="44" t="s">
        <v>728</v>
      </c>
      <c r="C309" s="44" t="s">
        <v>489</v>
      </c>
      <c r="D309" s="45" t="s">
        <v>491</v>
      </c>
      <c r="E309" s="46" t="s">
        <v>637</v>
      </c>
      <c r="F309" s="46"/>
      <c r="G309" s="46"/>
      <c r="H309" s="46"/>
      <c r="I309" s="43">
        <v>249</v>
      </c>
      <c r="J309" s="43">
        <v>0</v>
      </c>
      <c r="K309" s="43">
        <v>291</v>
      </c>
      <c r="L309" s="43">
        <v>540</v>
      </c>
    </row>
    <row r="310" spans="1:26" ht="30">
      <c r="A310" s="43" t="s">
        <v>726</v>
      </c>
      <c r="B310" s="44" t="s">
        <v>728</v>
      </c>
      <c r="C310" s="44" t="s">
        <v>489</v>
      </c>
      <c r="D310" s="45" t="s">
        <v>493</v>
      </c>
      <c r="E310" s="46" t="s">
        <v>638</v>
      </c>
      <c r="F310" s="46"/>
      <c r="G310" s="46"/>
      <c r="H310" s="46"/>
      <c r="I310" s="43">
        <v>58</v>
      </c>
      <c r="J310" s="43">
        <v>0</v>
      </c>
      <c r="K310" s="43">
        <v>482</v>
      </c>
      <c r="L310" s="43">
        <v>540</v>
      </c>
    </row>
    <row r="311" spans="1:26" ht="30">
      <c r="A311" s="43" t="s">
        <v>726</v>
      </c>
      <c r="B311" s="44" t="s">
        <v>728</v>
      </c>
      <c r="C311" s="44" t="s">
        <v>489</v>
      </c>
      <c r="D311" s="45" t="s">
        <v>494</v>
      </c>
      <c r="E311" s="46" t="s">
        <v>639</v>
      </c>
      <c r="F311" s="46"/>
      <c r="G311" s="46"/>
      <c r="H311" s="46"/>
      <c r="I311" s="43">
        <v>148</v>
      </c>
      <c r="J311" s="43">
        <v>0</v>
      </c>
      <c r="K311" s="43">
        <v>392</v>
      </c>
      <c r="L311" s="43">
        <v>540</v>
      </c>
    </row>
    <row r="312" spans="1:26" ht="30">
      <c r="A312" s="43" t="s">
        <v>726</v>
      </c>
      <c r="B312" s="44" t="s">
        <v>728</v>
      </c>
      <c r="C312" s="44" t="s">
        <v>489</v>
      </c>
      <c r="D312" s="45" t="s">
        <v>495</v>
      </c>
      <c r="E312" s="46" t="s">
        <v>583</v>
      </c>
      <c r="F312" s="46"/>
      <c r="G312" s="46"/>
      <c r="H312" s="46"/>
      <c r="I312" s="43">
        <v>107</v>
      </c>
      <c r="J312" s="43">
        <v>0</v>
      </c>
      <c r="K312" s="43">
        <v>433</v>
      </c>
      <c r="L312" s="43">
        <v>540</v>
      </c>
    </row>
    <row r="313" spans="1:26" ht="30">
      <c r="A313" s="43" t="s">
        <v>726</v>
      </c>
      <c r="B313" s="44" t="s">
        <v>728</v>
      </c>
      <c r="C313" s="44" t="s">
        <v>489</v>
      </c>
      <c r="D313" s="45" t="s">
        <v>496</v>
      </c>
      <c r="E313" s="46" t="s">
        <v>529</v>
      </c>
      <c r="F313" s="46"/>
      <c r="G313" s="46"/>
      <c r="H313" s="46"/>
      <c r="I313" s="43">
        <v>63</v>
      </c>
      <c r="J313" s="43">
        <v>0</v>
      </c>
      <c r="K313" s="43">
        <v>477</v>
      </c>
      <c r="L313" s="43">
        <v>540</v>
      </c>
    </row>
    <row r="314" spans="1:26" ht="30">
      <c r="A314" s="43" t="s">
        <v>726</v>
      </c>
      <c r="B314" s="44" t="s">
        <v>728</v>
      </c>
      <c r="C314" s="44" t="s">
        <v>489</v>
      </c>
      <c r="D314" s="45" t="s">
        <v>497</v>
      </c>
      <c r="E314" s="46" t="s">
        <v>640</v>
      </c>
      <c r="F314" s="46"/>
      <c r="G314" s="46"/>
      <c r="H314" s="46"/>
      <c r="I314" s="43">
        <v>100</v>
      </c>
      <c r="J314" s="43">
        <v>0</v>
      </c>
      <c r="K314" s="43">
        <v>440</v>
      </c>
      <c r="L314" s="43">
        <v>540</v>
      </c>
    </row>
    <row r="315" spans="1:26" ht="30">
      <c r="A315" s="43" t="s">
        <v>726</v>
      </c>
      <c r="B315" s="44" t="s">
        <v>728</v>
      </c>
      <c r="C315" s="44" t="s">
        <v>489</v>
      </c>
      <c r="D315" s="45" t="s">
        <v>498</v>
      </c>
      <c r="E315" s="46" t="s">
        <v>641</v>
      </c>
      <c r="F315" s="46"/>
      <c r="G315" s="46"/>
      <c r="H315" s="46"/>
      <c r="I315" s="43">
        <v>74</v>
      </c>
      <c r="J315" s="43">
        <v>0</v>
      </c>
      <c r="K315" s="43">
        <v>466</v>
      </c>
      <c r="L315" s="43">
        <v>540</v>
      </c>
    </row>
    <row r="316" spans="1:26" ht="30">
      <c r="A316" s="43" t="s">
        <v>726</v>
      </c>
      <c r="B316" s="44" t="s">
        <v>728</v>
      </c>
      <c r="C316" s="44" t="s">
        <v>489</v>
      </c>
      <c r="D316" s="45" t="s">
        <v>499</v>
      </c>
      <c r="E316" s="46" t="s">
        <v>642</v>
      </c>
      <c r="F316" s="46"/>
      <c r="G316" s="46"/>
      <c r="H316" s="46"/>
      <c r="I316" s="43">
        <v>111</v>
      </c>
      <c r="J316" s="43">
        <v>0</v>
      </c>
      <c r="K316" s="43">
        <v>429</v>
      </c>
      <c r="L316" s="43">
        <v>540</v>
      </c>
    </row>
    <row r="317" spans="1:26" ht="30">
      <c r="A317" s="43" t="s">
        <v>726</v>
      </c>
      <c r="B317" s="44" t="s">
        <v>728</v>
      </c>
      <c r="C317" s="44" t="s">
        <v>489</v>
      </c>
      <c r="D317" s="45" t="s">
        <v>500</v>
      </c>
      <c r="E317" s="46"/>
      <c r="F317" s="46"/>
      <c r="G317" s="46"/>
      <c r="H317" s="46"/>
      <c r="I317" s="43">
        <v>0</v>
      </c>
      <c r="J317" s="43">
        <v>0</v>
      </c>
      <c r="K317" s="43">
        <v>540</v>
      </c>
      <c r="L317" s="43">
        <v>540</v>
      </c>
    </row>
    <row r="318" spans="1:26" ht="30">
      <c r="A318" s="43" t="s">
        <v>726</v>
      </c>
      <c r="B318" s="44" t="s">
        <v>728</v>
      </c>
      <c r="C318" s="44" t="s">
        <v>489</v>
      </c>
      <c r="D318" s="45" t="s">
        <v>501</v>
      </c>
      <c r="E318" s="46" t="s">
        <v>616</v>
      </c>
      <c r="F318" s="46"/>
      <c r="G318" s="46"/>
      <c r="H318" s="46"/>
      <c r="I318" s="43">
        <v>59</v>
      </c>
      <c r="J318" s="43">
        <v>0</v>
      </c>
      <c r="K318" s="43">
        <v>481</v>
      </c>
      <c r="L318" s="43">
        <v>540</v>
      </c>
    </row>
    <row r="319" spans="1:26" ht="30">
      <c r="A319" s="43" t="s">
        <v>726</v>
      </c>
      <c r="B319" s="44" t="s">
        <v>728</v>
      </c>
      <c r="C319" s="44" t="s">
        <v>489</v>
      </c>
      <c r="D319" s="45" t="s">
        <v>503</v>
      </c>
      <c r="E319" s="46"/>
      <c r="F319" s="46"/>
      <c r="G319" s="46"/>
      <c r="H319" s="46"/>
      <c r="I319" s="43">
        <v>0</v>
      </c>
      <c r="J319" s="43">
        <v>0</v>
      </c>
      <c r="K319" s="43">
        <v>540</v>
      </c>
      <c r="L319" s="43">
        <v>540</v>
      </c>
    </row>
    <row r="320" spans="1:26" ht="30">
      <c r="A320" s="43" t="s">
        <v>726</v>
      </c>
      <c r="B320" s="44" t="s">
        <v>728</v>
      </c>
      <c r="C320" s="44" t="s">
        <v>489</v>
      </c>
      <c r="D320" s="45" t="s">
        <v>506</v>
      </c>
      <c r="E320" s="46"/>
      <c r="F320" s="46"/>
      <c r="G320" s="46"/>
      <c r="H320" s="46"/>
      <c r="I320" s="43">
        <v>0</v>
      </c>
      <c r="J320" s="43">
        <v>0</v>
      </c>
      <c r="K320" s="43">
        <v>540</v>
      </c>
      <c r="L320" s="43">
        <v>540</v>
      </c>
    </row>
    <row r="321" spans="1:12" ht="30">
      <c r="A321" s="43" t="s">
        <v>726</v>
      </c>
      <c r="B321" s="44" t="s">
        <v>728</v>
      </c>
      <c r="C321" s="44" t="s">
        <v>489</v>
      </c>
      <c r="D321" s="45" t="s">
        <v>507</v>
      </c>
      <c r="E321" s="46" t="s">
        <v>643</v>
      </c>
      <c r="F321" s="46"/>
      <c r="G321" s="46"/>
      <c r="H321" s="46"/>
      <c r="I321" s="43">
        <v>85</v>
      </c>
      <c r="J321" s="43">
        <v>0</v>
      </c>
      <c r="K321" s="43">
        <v>455</v>
      </c>
      <c r="L321" s="43">
        <v>540</v>
      </c>
    </row>
    <row r="322" spans="1:12" ht="30">
      <c r="A322" s="43" t="s">
        <v>726</v>
      </c>
      <c r="B322" s="44" t="s">
        <v>728</v>
      </c>
      <c r="C322" s="44" t="s">
        <v>489</v>
      </c>
      <c r="D322" s="45" t="s">
        <v>508</v>
      </c>
      <c r="E322" s="46" t="s">
        <v>644</v>
      </c>
      <c r="F322" s="46"/>
      <c r="G322" s="46"/>
      <c r="H322" s="46"/>
      <c r="I322" s="43">
        <v>197</v>
      </c>
      <c r="J322" s="43">
        <v>0</v>
      </c>
      <c r="K322" s="43">
        <v>343</v>
      </c>
      <c r="L322" s="43">
        <v>540</v>
      </c>
    </row>
    <row r="323" spans="1:12" ht="30">
      <c r="A323" s="43" t="s">
        <v>726</v>
      </c>
      <c r="B323" s="44" t="s">
        <v>728</v>
      </c>
      <c r="C323" s="44" t="s">
        <v>489</v>
      </c>
      <c r="D323" s="45" t="s">
        <v>534</v>
      </c>
      <c r="E323" s="46"/>
      <c r="F323" s="46"/>
      <c r="G323" s="46"/>
      <c r="H323" s="46"/>
      <c r="I323" s="43">
        <v>0</v>
      </c>
      <c r="J323" s="43">
        <v>0</v>
      </c>
      <c r="K323" s="43">
        <v>540</v>
      </c>
      <c r="L323" s="43">
        <v>540</v>
      </c>
    </row>
    <row r="324" spans="1:12" ht="30">
      <c r="A324" s="43" t="s">
        <v>726</v>
      </c>
      <c r="B324" s="44" t="s">
        <v>728</v>
      </c>
      <c r="C324" s="44" t="s">
        <v>489</v>
      </c>
      <c r="D324" s="45" t="s">
        <v>535</v>
      </c>
      <c r="E324" s="46" t="s">
        <v>618</v>
      </c>
      <c r="F324" s="46"/>
      <c r="G324" s="46"/>
      <c r="H324" s="46"/>
      <c r="I324" s="43">
        <v>75</v>
      </c>
      <c r="J324" s="43">
        <v>0</v>
      </c>
      <c r="K324" s="43">
        <v>465</v>
      </c>
      <c r="L324" s="43">
        <v>540</v>
      </c>
    </row>
    <row r="325" spans="1:12" ht="30">
      <c r="A325" s="43" t="s">
        <v>726</v>
      </c>
      <c r="B325" s="44" t="s">
        <v>728</v>
      </c>
      <c r="C325" s="44" t="s">
        <v>489</v>
      </c>
      <c r="D325" s="45" t="s">
        <v>509</v>
      </c>
      <c r="E325" s="46" t="s">
        <v>531</v>
      </c>
      <c r="F325" s="46"/>
      <c r="G325" s="46"/>
      <c r="H325" s="46"/>
      <c r="I325" s="43">
        <v>65</v>
      </c>
      <c r="J325" s="43">
        <v>0</v>
      </c>
      <c r="K325" s="43">
        <v>475</v>
      </c>
      <c r="L325" s="43">
        <v>540</v>
      </c>
    </row>
    <row r="326" spans="1:12" ht="30">
      <c r="A326" s="43" t="s">
        <v>726</v>
      </c>
      <c r="B326" s="44" t="s">
        <v>728</v>
      </c>
      <c r="C326" s="44" t="s">
        <v>489</v>
      </c>
      <c r="D326" s="45" t="s">
        <v>510</v>
      </c>
      <c r="E326" s="46" t="s">
        <v>645</v>
      </c>
      <c r="F326" s="46"/>
      <c r="G326" s="46"/>
      <c r="H326" s="46"/>
      <c r="I326" s="43">
        <v>72</v>
      </c>
      <c r="J326" s="43">
        <v>0</v>
      </c>
      <c r="K326" s="43">
        <v>468</v>
      </c>
      <c r="L326" s="43">
        <v>540</v>
      </c>
    </row>
    <row r="327" spans="1:12" ht="30">
      <c r="A327" s="43" t="s">
        <v>726</v>
      </c>
      <c r="B327" s="44" t="s">
        <v>728</v>
      </c>
      <c r="C327" s="44" t="s">
        <v>489</v>
      </c>
      <c r="D327" s="45" t="s">
        <v>538</v>
      </c>
      <c r="E327" s="46" t="s">
        <v>646</v>
      </c>
      <c r="F327" s="46"/>
      <c r="G327" s="46"/>
      <c r="H327" s="46"/>
      <c r="I327" s="43">
        <v>108</v>
      </c>
      <c r="J327" s="43">
        <v>0</v>
      </c>
      <c r="K327" s="43">
        <v>432</v>
      </c>
      <c r="L327" s="43">
        <v>540</v>
      </c>
    </row>
    <row r="328" spans="1:12" ht="30">
      <c r="A328" s="43" t="s">
        <v>726</v>
      </c>
      <c r="B328" s="44" t="s">
        <v>728</v>
      </c>
      <c r="C328" s="44" t="s">
        <v>489</v>
      </c>
      <c r="D328" s="45" t="s">
        <v>540</v>
      </c>
      <c r="E328" s="46"/>
      <c r="F328" s="46"/>
      <c r="G328" s="46"/>
      <c r="H328" s="46"/>
      <c r="I328" s="43">
        <v>0</v>
      </c>
      <c r="J328" s="43">
        <v>0</v>
      </c>
      <c r="K328" s="43">
        <v>540</v>
      </c>
      <c r="L328" s="43">
        <v>540</v>
      </c>
    </row>
    <row r="329" spans="1:12" ht="30">
      <c r="A329" s="43" t="s">
        <v>726</v>
      </c>
      <c r="B329" s="44" t="s">
        <v>728</v>
      </c>
      <c r="C329" s="44" t="s">
        <v>489</v>
      </c>
      <c r="D329" s="45" t="s">
        <v>543</v>
      </c>
      <c r="E329" s="46"/>
      <c r="F329" s="46"/>
      <c r="G329" s="46"/>
      <c r="H329" s="46"/>
      <c r="I329" s="43">
        <v>0</v>
      </c>
      <c r="J329" s="43">
        <v>0</v>
      </c>
      <c r="K329" s="43">
        <v>540</v>
      </c>
      <c r="L329" s="43">
        <v>540</v>
      </c>
    </row>
    <row r="330" spans="1:12" ht="30">
      <c r="A330" s="43" t="s">
        <v>726</v>
      </c>
      <c r="B330" s="44" t="s">
        <v>728</v>
      </c>
      <c r="C330" s="44" t="s">
        <v>489</v>
      </c>
      <c r="D330" s="45" t="s">
        <v>512</v>
      </c>
      <c r="E330" s="46"/>
      <c r="F330" s="46"/>
      <c r="G330" s="46"/>
      <c r="H330" s="46"/>
      <c r="I330" s="43">
        <v>0</v>
      </c>
      <c r="J330" s="43">
        <v>0</v>
      </c>
      <c r="K330" s="43">
        <v>540</v>
      </c>
      <c r="L330" s="43">
        <v>540</v>
      </c>
    </row>
    <row r="331" spans="1:12" ht="30">
      <c r="A331" s="43" t="s">
        <v>726</v>
      </c>
      <c r="B331" s="44" t="s">
        <v>728</v>
      </c>
      <c r="C331" s="44" t="s">
        <v>489</v>
      </c>
      <c r="D331" s="45" t="s">
        <v>513</v>
      </c>
      <c r="E331" s="46"/>
      <c r="F331" s="46"/>
      <c r="G331" s="46"/>
      <c r="H331" s="46"/>
      <c r="I331" s="43">
        <v>0</v>
      </c>
      <c r="J331" s="43">
        <v>0</v>
      </c>
      <c r="K331" s="43">
        <v>540</v>
      </c>
      <c r="L331" s="43">
        <v>540</v>
      </c>
    </row>
    <row r="332" spans="1:12" ht="30">
      <c r="A332" s="43" t="s">
        <v>726</v>
      </c>
      <c r="B332" s="44" t="s">
        <v>728</v>
      </c>
      <c r="C332" s="44" t="s">
        <v>489</v>
      </c>
      <c r="D332" s="45" t="s">
        <v>515</v>
      </c>
      <c r="E332" s="46"/>
      <c r="F332" s="46"/>
      <c r="G332" s="46"/>
      <c r="H332" s="46"/>
      <c r="I332" s="43">
        <v>0</v>
      </c>
      <c r="J332" s="43">
        <v>0</v>
      </c>
      <c r="K332" s="43">
        <v>540</v>
      </c>
      <c r="L332" s="43">
        <v>540</v>
      </c>
    </row>
    <row r="333" spans="1:12" ht="30">
      <c r="A333" s="43" t="s">
        <v>726</v>
      </c>
      <c r="B333" s="44" t="s">
        <v>728</v>
      </c>
      <c r="C333" s="44" t="s">
        <v>489</v>
      </c>
      <c r="D333" s="45" t="s">
        <v>517</v>
      </c>
      <c r="E333" s="46"/>
      <c r="F333" s="46"/>
      <c r="G333" s="46"/>
      <c r="H333" s="46"/>
      <c r="I333" s="43">
        <v>0</v>
      </c>
      <c r="J333" s="43">
        <v>0</v>
      </c>
      <c r="K333" s="43">
        <v>540</v>
      </c>
      <c r="L333" s="43">
        <v>540</v>
      </c>
    </row>
    <row r="334" spans="1:12" ht="30">
      <c r="A334" s="43" t="s">
        <v>726</v>
      </c>
      <c r="B334" s="44" t="s">
        <v>728</v>
      </c>
      <c r="C334" s="44" t="s">
        <v>489</v>
      </c>
      <c r="D334" s="45" t="s">
        <v>518</v>
      </c>
      <c r="E334" s="46"/>
      <c r="F334" s="46"/>
      <c r="G334" s="46"/>
      <c r="H334" s="46"/>
      <c r="I334" s="43">
        <v>0</v>
      </c>
      <c r="J334" s="43">
        <v>0</v>
      </c>
      <c r="K334" s="43">
        <v>540</v>
      </c>
      <c r="L334" s="43">
        <v>540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80CC56-EE8A-4D50-8E59-19A1FCCB2304}">
  <dimension ref="A2:L4"/>
  <sheetViews>
    <sheetView workbookViewId="0">
      <selection activeCell="L17" sqref="L17"/>
    </sheetView>
  </sheetViews>
  <sheetFormatPr defaultRowHeight="14.4"/>
  <cols>
    <col min="1" max="1" width="8.21875" bestFit="1" customWidth="1"/>
    <col min="2" max="2" width="8.21875" customWidth="1"/>
    <col min="4" max="4" width="8.44140625" bestFit="1" customWidth="1"/>
    <col min="5" max="5" width="10.5546875" bestFit="1" customWidth="1"/>
    <col min="8" max="8" width="15.21875" bestFit="1" customWidth="1"/>
    <col min="12" max="12" width="14.21875" bestFit="1" customWidth="1"/>
  </cols>
  <sheetData>
    <row r="2" spans="1:12">
      <c r="A2" s="77" t="s">
        <v>2</v>
      </c>
      <c r="B2" s="77" t="s">
        <v>800</v>
      </c>
      <c r="C2" s="77" t="s">
        <v>801</v>
      </c>
      <c r="D2" s="78" t="s">
        <v>99</v>
      </c>
      <c r="E2" s="78" t="s">
        <v>102</v>
      </c>
    </row>
    <row r="3" spans="1:12">
      <c r="A3" s="79"/>
      <c r="B3" s="79"/>
      <c r="C3" s="80"/>
      <c r="D3" s="79"/>
      <c r="E3" s="79"/>
      <c r="H3" s="32" t="s">
        <v>466</v>
      </c>
      <c r="J3" t="s">
        <v>184</v>
      </c>
      <c r="K3">
        <v>1</v>
      </c>
      <c r="L3" t="s">
        <v>802</v>
      </c>
    </row>
    <row r="4" spans="1:12">
      <c r="H4" s="32" t="s">
        <v>467</v>
      </c>
      <c r="J4" t="s">
        <v>184</v>
      </c>
      <c r="K4">
        <v>2</v>
      </c>
      <c r="L4" t="s">
        <v>803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A89628E-4566-43F1-BEEE-3AE6565A689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2</vt:i4>
      </vt:variant>
    </vt:vector>
  </HeadingPairs>
  <TitlesOfParts>
    <vt:vector size="11" baseType="lpstr">
      <vt:lpstr>Summary</vt:lpstr>
      <vt:lpstr>Monthly Summary</vt:lpstr>
      <vt:lpstr>Mark Leave</vt:lpstr>
      <vt:lpstr>Setting</vt:lpstr>
      <vt:lpstr>Exception</vt:lpstr>
      <vt:lpstr>EEMaster</vt:lpstr>
      <vt:lpstr>InFormat</vt:lpstr>
      <vt:lpstr>ExceptionWorking</vt:lpstr>
      <vt:lpstr>mailformat</vt:lpstr>
      <vt:lpstr>Employee_Name</vt:lpstr>
      <vt:lpstr>New_Emp_ID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PK</dc:creator>
  <cp:keywords/>
  <dc:description/>
  <cp:lastModifiedBy>Dhruv</cp:lastModifiedBy>
  <cp:revision/>
  <dcterms:created xsi:type="dcterms:W3CDTF">2021-02-11T05:20:47Z</dcterms:created>
  <dcterms:modified xsi:type="dcterms:W3CDTF">2026-05-25T11:37:52Z</dcterms:modified>
  <cp:category/>
  <cp:contentStatus/>
</cp:coreProperties>
</file>