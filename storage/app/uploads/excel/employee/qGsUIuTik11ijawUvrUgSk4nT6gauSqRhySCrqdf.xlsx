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ivam\Downloads\"/>
    </mc:Choice>
  </mc:AlternateContent>
  <xr:revisionPtr revIDLastSave="0" documentId="13_ncr:1_{D7A45163-9E9C-42CA-856E-D1A33A02D8A6}" xr6:coauthVersionLast="47" xr6:coauthVersionMax="47" xr10:uidLastSave="{00000000-0000-0000-0000-000000000000}"/>
  <bookViews>
    <workbookView xWindow="-108" yWindow="-108" windowWidth="23256" windowHeight="12456" xr2:uid="{1191FB6A-7657-4575-A28E-F1EC570685D0}"/>
  </bookViews>
  <sheets>
    <sheet name="Hierarchy" sheetId="1" r:id="rId1"/>
  </sheets>
  <externalReferences>
    <externalReference r:id="rId2"/>
  </externalReferences>
  <definedNames>
    <definedName name="_xlnm._FilterDatabase" localSheetId="0" hidden="1">Hierarchy!$A$1:$AD$112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49" i="1" l="1"/>
  <c r="O48" i="1"/>
  <c r="O45" i="1"/>
  <c r="O7" i="1"/>
  <c r="O6" i="1"/>
  <c r="O5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U69" i="1"/>
  <c r="B69" i="1"/>
  <c r="U68" i="1"/>
  <c r="B68" i="1"/>
  <c r="U67" i="1"/>
  <c r="B67" i="1"/>
  <c r="U66" i="1"/>
  <c r="B66" i="1"/>
  <c r="B65" i="1"/>
  <c r="B64" i="1"/>
  <c r="B63" i="1"/>
  <c r="B62" i="1"/>
  <c r="B61" i="1"/>
  <c r="U60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12" i="1"/>
</calcChain>
</file>

<file path=xl/sharedStrings.xml><?xml version="1.0" encoding="utf-8"?>
<sst xmlns="http://schemas.openxmlformats.org/spreadsheetml/2006/main" count="2290" uniqueCount="844">
  <si>
    <t>New Emp ID</t>
  </si>
  <si>
    <t>Count</t>
  </si>
  <si>
    <t>Employee Name</t>
  </si>
  <si>
    <t>CurrentStatus</t>
  </si>
  <si>
    <t>Left Date</t>
  </si>
  <si>
    <t>Reporting Manager</t>
  </si>
  <si>
    <t>Team Leader</t>
  </si>
  <si>
    <t>Attendance</t>
  </si>
  <si>
    <t>Office</t>
  </si>
  <si>
    <t>Mobile Number</t>
  </si>
  <si>
    <t>PAN</t>
  </si>
  <si>
    <t>Marital Status</t>
  </si>
  <si>
    <t>Gender</t>
  </si>
  <si>
    <t>Birth Date</t>
  </si>
  <si>
    <t>Join Date</t>
  </si>
  <si>
    <t>Department</t>
  </si>
  <si>
    <t>Designation Final</t>
  </si>
  <si>
    <t>Location (City)</t>
  </si>
  <si>
    <t>PF Number (if applicable)</t>
  </si>
  <si>
    <t>Bank Name</t>
  </si>
  <si>
    <t>Account Number</t>
  </si>
  <si>
    <t>IFSC Code</t>
  </si>
  <si>
    <t>Email address</t>
  </si>
  <si>
    <t>Please attach a copy of your PAN card (size limit 10 MB)</t>
  </si>
  <si>
    <t>Please attach a copy of your AADHAAR card (size limit 10 MB)</t>
  </si>
  <si>
    <t>PF</t>
  </si>
  <si>
    <t>RSC Mail ID</t>
  </si>
  <si>
    <t>Firm</t>
  </si>
  <si>
    <t>PF Applicability</t>
  </si>
  <si>
    <t>UAN Number</t>
  </si>
  <si>
    <t>Offer Letter Date</t>
  </si>
  <si>
    <t>Left Type</t>
  </si>
  <si>
    <t>Jaykumar Janakbhai Dave</t>
  </si>
  <si>
    <t>Active</t>
  </si>
  <si>
    <t>Working</t>
  </si>
  <si>
    <t>Rutul Shah</t>
  </si>
  <si>
    <t>Ashil Shah</t>
  </si>
  <si>
    <t>In Office</t>
  </si>
  <si>
    <t>EAAPD6619C</t>
  </si>
  <si>
    <t>Unmarried</t>
  </si>
  <si>
    <t>Male</t>
  </si>
  <si>
    <t>Strategy</t>
  </si>
  <si>
    <t>AVP</t>
  </si>
  <si>
    <t>Ahmedabad</t>
  </si>
  <si>
    <t>Union Bank of India</t>
  </si>
  <si>
    <t>391802010405839</t>
  </si>
  <si>
    <t>UBIN0539180</t>
  </si>
  <si>
    <t>jaydave@rscllp.in</t>
  </si>
  <si>
    <t>https://drive.google.com/open?id=1jZTojFf6k5sVzY00-iQq2YWyOKScD8NE</t>
  </si>
  <si>
    <t>https://drive.google.com/open?id=1YZupe4x8nDUA3C5umeKzyarFVvtIFJiy</t>
  </si>
  <si>
    <t>No</t>
  </si>
  <si>
    <t>Rutul Shah &amp; Co LLP</t>
  </si>
  <si>
    <t>NO UAN</t>
  </si>
  <si>
    <t>Resigned</t>
  </si>
  <si>
    <t>Senior Manager</t>
  </si>
  <si>
    <t>Parth Baldevbhai Patel</t>
  </si>
  <si>
    <t>RK9-12th-Floor</t>
  </si>
  <si>
    <t>DLDPP7837R</t>
  </si>
  <si>
    <t>Accounts Payable</t>
  </si>
  <si>
    <t>Executive</t>
  </si>
  <si>
    <t>IDFC FIRST BANK</t>
  </si>
  <si>
    <t>10065980603</t>
  </si>
  <si>
    <t>IDFB0040303</t>
  </si>
  <si>
    <t>parth777.pp91@gmail.com</t>
  </si>
  <si>
    <t>https://drive.google.com/open?id=1Mges1Zv-kRDxFLAqbhnrZqsTRSW3EK1r</t>
  </si>
  <si>
    <t>https://drive.google.com/open?id=1-_uoagszUwmHBIDKssg0mFvTPRBziV_-</t>
  </si>
  <si>
    <t>rsc.parth@gmail.com</t>
  </si>
  <si>
    <t>Ashil Shah &amp; Associates</t>
  </si>
  <si>
    <t>Assistant Manager</t>
  </si>
  <si>
    <t>Dhruv Bhayani</t>
  </si>
  <si>
    <t>Jasmin Desai</t>
  </si>
  <si>
    <t>EFAPB6693K</t>
  </si>
  <si>
    <t>Audit</t>
  </si>
  <si>
    <t>State Bank of India</t>
  </si>
  <si>
    <t>36944211355</t>
  </si>
  <si>
    <t>SBIN0002661</t>
  </si>
  <si>
    <t>dhruvbhayani2000@gmail.com</t>
  </si>
  <si>
    <t>https://drive.google.com/open?id=1r52yQDZdZCqdF7xyU8xgIZNPXdaZ_7GY</t>
  </si>
  <si>
    <t>https://drive.google.com/open?id=1KiUvQlfhEeUbTWw2Obo0Zx5uTi1TwZ_8</t>
  </si>
  <si>
    <t>Yes</t>
  </si>
  <si>
    <t>dhruvbhayani@rscllp.in</t>
  </si>
  <si>
    <t>Finance Executive</t>
  </si>
  <si>
    <t>B H Patel</t>
  </si>
  <si>
    <t>WFH</t>
  </si>
  <si>
    <t>Married</t>
  </si>
  <si>
    <t>Jay Dave</t>
  </si>
  <si>
    <t>38157525326</t>
  </si>
  <si>
    <t>SBIN0050516</t>
  </si>
  <si>
    <t>poonam@rscllp.in</t>
  </si>
  <si>
    <t>Rushabh Choksi</t>
  </si>
  <si>
    <t>BONPC9286C</t>
  </si>
  <si>
    <t>HDFC Bank</t>
  </si>
  <si>
    <t>50100344944651</t>
  </si>
  <si>
    <t>HDFC0000299</t>
  </si>
  <si>
    <t>ashilshah@rscllp.in</t>
  </si>
  <si>
    <t>Sweetu Shah</t>
  </si>
  <si>
    <t>Female</t>
  </si>
  <si>
    <t>Punjab National Bank</t>
  </si>
  <si>
    <t>8837000100002911</t>
  </si>
  <si>
    <t>PUNB0883700</t>
  </si>
  <si>
    <t>Puvar Pradipsinh Laxansinh</t>
  </si>
  <si>
    <t>WH</t>
  </si>
  <si>
    <t>DNZPP9281D</t>
  </si>
  <si>
    <t>STATE BANK OF INDIA</t>
  </si>
  <si>
    <t>37744503084</t>
  </si>
  <si>
    <t>SBIN0001412</t>
  </si>
  <si>
    <t>puwarprdip1297@gmail.com</t>
  </si>
  <si>
    <t>https://drive.google.com/open?id=1tFl8RpMQYaKJfdOuCyymLhRZQjG39POY</t>
  </si>
  <si>
    <t>https://drive.google.com/open?id=17yQvJL_DV7m7rntI0rlNOYhhRJA_STB2</t>
  </si>
  <si>
    <t>Vadher Neha Dipakbhai</t>
  </si>
  <si>
    <t>Abishek Shah</t>
  </si>
  <si>
    <t>Sanket Mistry</t>
  </si>
  <si>
    <t>BYDPV5123P</t>
  </si>
  <si>
    <t>AUDIT</t>
  </si>
  <si>
    <t>33174604227</t>
  </si>
  <si>
    <t>rsc.nehalvadher@gmail.com</t>
  </si>
  <si>
    <t>https://drive.google.com/open?id=11yzkDQWpHFIqHnzVjlI7YjPhxeMEsvXK</t>
  </si>
  <si>
    <t>https://drive.google.com/open?id=11MfdFxvWifHLPtT-3AL6PKOKyd-BvZym</t>
  </si>
  <si>
    <t>Bhati Shubham Pareshbhai</t>
  </si>
  <si>
    <t>Shivam Pandey</t>
  </si>
  <si>
    <t>RK9-10th-Floor</t>
  </si>
  <si>
    <t>FLQPB6505R</t>
  </si>
  <si>
    <t xml:space="preserve">Freight Invoice Processing </t>
  </si>
  <si>
    <t>NA</t>
  </si>
  <si>
    <t>Kotak Mahindra Bank</t>
  </si>
  <si>
    <t>6445608627</t>
  </si>
  <si>
    <t>KKBK0002584</t>
  </si>
  <si>
    <t>shubhambhati0405@gmail.com</t>
  </si>
  <si>
    <t>https://drive.google.com/open?id=1CL1_hIjFvLUlcVndA4q3ahkqGjnAjAtP</t>
  </si>
  <si>
    <t>https://drive.google.com/open?id=1l1eAzAnCmRYm_wqmLB1S1SkdGAKFN3nT</t>
  </si>
  <si>
    <t>rsc.shubhambhati@gmail.com</t>
  </si>
  <si>
    <t>Parmar Dharti Narendrabhai</t>
  </si>
  <si>
    <t>EYGPP7164G</t>
  </si>
  <si>
    <t>FIP</t>
  </si>
  <si>
    <t xml:space="preserve">State Bank of India </t>
  </si>
  <si>
    <t>33265808910</t>
  </si>
  <si>
    <t>SBIN0016028</t>
  </si>
  <si>
    <t>rsc.dhartiparmar@gmail.com</t>
  </si>
  <si>
    <t>https://drive.google.com/open?id=18zLFR2wd_uOI48iBK6B5XWsMd1ptsYls</t>
  </si>
  <si>
    <t>https://drive.google.com/open?id=1c0VN8nSzvh7x7IiFEuK177pUUH1uHEng</t>
  </si>
  <si>
    <t>Snehal Jethava</t>
  </si>
  <si>
    <t>AQKPJ8409L</t>
  </si>
  <si>
    <t>Bank of Baroda</t>
  </si>
  <si>
    <t>67500100011378</t>
  </si>
  <si>
    <t>BARB0DBMANP</t>
  </si>
  <si>
    <t>rsc.snehaljethava@gmail.com</t>
  </si>
  <si>
    <t>https://drive.google.com/open?id=14ykY0PWHyUoEfkdnzaqh4A28-xBt7kUc</t>
  </si>
  <si>
    <t>https://drive.google.com/open?id=1CYW7C7GrkrG47M66aAldX3p-8B1Zk0BF</t>
  </si>
  <si>
    <t>Deputy Manager</t>
  </si>
  <si>
    <t>Upadhyay Bhumi Jayendrabhai</t>
  </si>
  <si>
    <t>AJMPU5962A</t>
  </si>
  <si>
    <t>State bank of India</t>
  </si>
  <si>
    <t>41791794472</t>
  </si>
  <si>
    <t>rsc.bhumiupadhyay@gmail.com</t>
  </si>
  <si>
    <t>https://drive.google.com/open?id=1bjzb0bB4AoXhIZFYdNLf6-y0SiZRF4uC</t>
  </si>
  <si>
    <t>https://drive.google.com/open?id=1NH8RABjC4tAUr4TJOET6yIAgJCsFzDw3</t>
  </si>
  <si>
    <t>rsc.bhumi@gmail.com</t>
  </si>
  <si>
    <t>BXTPP2641D</t>
  </si>
  <si>
    <t>Internal Audit</t>
  </si>
  <si>
    <t>1209000100292136</t>
  </si>
  <si>
    <t>PUNB0159110</t>
  </si>
  <si>
    <t>rsc.shivampandey@gmail.com</t>
  </si>
  <si>
    <t>https://drive.google.com/open?id=12SUmpUnEUx2TJPeoo57zVJ6JdvzaA1fk</t>
  </si>
  <si>
    <t>https://drive.google.com/open?id=1Lhm8oX8WKP6QHlei5zMXo0_oOSgyeZfy</t>
  </si>
  <si>
    <t>Srujal Pethani</t>
  </si>
  <si>
    <t>CAFinal</t>
  </si>
  <si>
    <t>Finance</t>
  </si>
  <si>
    <t>Left</t>
  </si>
  <si>
    <t>36895317999</t>
  </si>
  <si>
    <t>SBIN0011749</t>
  </si>
  <si>
    <t>rsc.srujal@gmail.com</t>
  </si>
  <si>
    <t>https://drive.google.com/open?id=1JLjHHvFjOmTEosnhWscygILUSbSPAFf0</t>
  </si>
  <si>
    <t>Jadav Nareshbhai Khodabhai</t>
  </si>
  <si>
    <t>Vipul Maru</t>
  </si>
  <si>
    <t>ANMPJ7782R</t>
  </si>
  <si>
    <t>Bank of baroda</t>
  </si>
  <si>
    <t>03330100019047</t>
  </si>
  <si>
    <t>BARB0NAVRAN</t>
  </si>
  <si>
    <t>nareshkjadav84@gmail.com</t>
  </si>
  <si>
    <t>https://drive.google.com/open?id=1nLuZ2ab4jfhzaBj3qdwgdRn2prHT75IC</t>
  </si>
  <si>
    <t>https://drive.google.com/open?id=1p-NM1tASlASrQgGVG6kr8JIjpu7aTaXV</t>
  </si>
  <si>
    <t>-</t>
  </si>
  <si>
    <t>jadavnareshk3@gmail.com</t>
  </si>
  <si>
    <t>Vaibhav Vijaybhai Rudatala</t>
  </si>
  <si>
    <t>DXFPR0308H</t>
  </si>
  <si>
    <t>Taxation and Audit</t>
  </si>
  <si>
    <t>AXIS BANK</t>
  </si>
  <si>
    <t>922010019943644</t>
  </si>
  <si>
    <t>UTIB0003116</t>
  </si>
  <si>
    <t>vvrudatala@gmail.com</t>
  </si>
  <si>
    <t>https://drive.google.com/open?id=18igunQ_jmFT-AUcwNrt0J88U9UkqBzcB</t>
  </si>
  <si>
    <t>https://drive.google.com/open?id=1ETj2FANqjZ3oB2AlBXPdTTcrTrTnP0_R</t>
  </si>
  <si>
    <t>rsc.vaibhav@gmail.com</t>
  </si>
  <si>
    <t>Terminated</t>
  </si>
  <si>
    <t>EHKPM1211G</t>
  </si>
  <si>
    <t>Axis bank</t>
  </si>
  <si>
    <t>920010050436675</t>
  </si>
  <si>
    <t>UTIB0001337</t>
  </si>
  <si>
    <t>rsc.vipulmaru@gmail.com</t>
  </si>
  <si>
    <t>https://drive.google.com/open?id=1Vu60AczjtiLM3kEeBf9wIi8p4skHSQBt</t>
  </si>
  <si>
    <t>https://drive.google.com/open?id=1ZXkOjrwcD1SZCoCNbzVz7X1LTDzAcq0H</t>
  </si>
  <si>
    <t>rsc.vipulpatel@gmail.com</t>
  </si>
  <si>
    <t>Gayatri Baria Old</t>
  </si>
  <si>
    <t xml:space="preserve"> </t>
  </si>
  <si>
    <t>Tele calling</t>
  </si>
  <si>
    <t xml:space="preserve">Bank Of Baroda </t>
  </si>
  <si>
    <t>15960100009596</t>
  </si>
  <si>
    <t>BARB0INDVAT</t>
  </si>
  <si>
    <t>bariag990@gmail.com</t>
  </si>
  <si>
    <t>https://drive.google.com/open?id=1t_uZ4b1iViOkxPpZWvtk09NZIMwzYdhk</t>
  </si>
  <si>
    <t>https://drive.google.com/open?id=1G6MEApkmMLDMewc-6dn3Rwrc-rVhqQNa</t>
  </si>
  <si>
    <t>rsc.gayatri@gmail.com</t>
  </si>
  <si>
    <t>Finance Associate</t>
  </si>
  <si>
    <t>Yash Makwana</t>
  </si>
  <si>
    <t>Outsourced</t>
  </si>
  <si>
    <t>FXJPM7722L</t>
  </si>
  <si>
    <t xml:space="preserve">Freight processing </t>
  </si>
  <si>
    <t xml:space="preserve">HDFC </t>
  </si>
  <si>
    <t>50100469600169</t>
  </si>
  <si>
    <t>HDFC0000300</t>
  </si>
  <si>
    <t>rsc.yash01@gmail.com</t>
  </si>
  <si>
    <t>https://drive.google.com/open?id=1SbMpDXk1Hsa4flHVX8zN3-bEIujO7Tbr</t>
  </si>
  <si>
    <t>https://drive.google.com/open?id=1V2dDS9S0OTdacq2qzXWDCX0jL1jm0zg-</t>
  </si>
  <si>
    <t>Radhika Shah</t>
  </si>
  <si>
    <t>HFSPS1247R</t>
  </si>
  <si>
    <t>Bank Of Baroda</t>
  </si>
  <si>
    <t>18260100024367</t>
  </si>
  <si>
    <t>BARB0BHAIRA</t>
  </si>
  <si>
    <t>rsc.radhika@gmail.com</t>
  </si>
  <si>
    <t>https://drive.google.com/open?id=11AasI8HQwvJottlxCLlIgo4xtNoWWyXw</t>
  </si>
  <si>
    <t>https://drive.google.com/open?id=14z-mXPUTkymc8XLTNcx9DbnMZib-ysOz</t>
  </si>
  <si>
    <t>Rushda Mansuri</t>
  </si>
  <si>
    <t>HKHPM2324F</t>
  </si>
  <si>
    <t>HR</t>
  </si>
  <si>
    <t>50100544224376</t>
  </si>
  <si>
    <t>HDFC0000306</t>
  </si>
  <si>
    <t>rushdaa1808@gmail.com</t>
  </si>
  <si>
    <t>https://drive.google.com/open?id=1w4k3qi2Rj7kX0cY9D2meH9rEclsI4OSz</t>
  </si>
  <si>
    <t>https://drive.google.com/open?id=1SzgKfudyikC4wjQnK2CIcI-nK7Blf9cQ</t>
  </si>
  <si>
    <t>jobs@rscllp.in</t>
  </si>
  <si>
    <t>Varun Himmatbhai Patel</t>
  </si>
  <si>
    <t>AWVPP0229R</t>
  </si>
  <si>
    <t>Icici Bank</t>
  </si>
  <si>
    <t>006401517546</t>
  </si>
  <si>
    <t>ICIC0000064</t>
  </si>
  <si>
    <t>varunpatel@rscllp.in</t>
  </si>
  <si>
    <t>https://drive.google.com/open?id=1cL_gggwhmVH_S6_MTsC1s67rOMuWmHwy</t>
  </si>
  <si>
    <t>https://drive.google.com/open?id=1EBm-olm0CtXGo_U4zIHh7TBD-zyFBpBS</t>
  </si>
  <si>
    <t>Rana Nisha Ashokbhai</t>
  </si>
  <si>
    <t>CHDPR1849A</t>
  </si>
  <si>
    <t xml:space="preserve">Audit department </t>
  </si>
  <si>
    <t>Axis Bank</t>
  </si>
  <si>
    <t>917010016046825</t>
  </si>
  <si>
    <t>UTIB0003120</t>
  </si>
  <si>
    <t>rananisha3194@gmail.com</t>
  </si>
  <si>
    <t>https://drive.google.com/open?id=1oe8fbEtLLmNBNCeBR93xDzBq3pWeva2R</t>
  </si>
  <si>
    <t>https://drive.google.com/open?id=1VzBPhsCVBX2RC423VlUnTMfpiIxlxInP</t>
  </si>
  <si>
    <t>rsc.nisha@gmail.com</t>
  </si>
  <si>
    <t>Sanket Rajnikant Mistry</t>
  </si>
  <si>
    <t>BMKPM0561R</t>
  </si>
  <si>
    <t>29510100007878</t>
  </si>
  <si>
    <t>BARB0THLTEJ</t>
  </si>
  <si>
    <t>sanket.mr786@gmail.com</t>
  </si>
  <si>
    <t>https://drive.google.com/open?id=1TorKSUsm3CabXMIUKExObqfQ-jY7aE_R</t>
  </si>
  <si>
    <t>https://drive.google.com/open?id=15tRRZCdif8t7fh9tlwZkXjusPVGL35Tl</t>
  </si>
  <si>
    <t>rsc.sanket@gmail.com</t>
  </si>
  <si>
    <t>Mohammed Sufiyan Shaikh</t>
  </si>
  <si>
    <t>QCITS8439F</t>
  </si>
  <si>
    <t>5347091599</t>
  </si>
  <si>
    <t>KKBK0002604</t>
  </si>
  <si>
    <t>rsc.sufiyan@gmail.com</t>
  </si>
  <si>
    <t>https://drive.google.com/open?id=1I3JNXs0AczVemmOiVsjKLm1f0OttWz19</t>
  </si>
  <si>
    <t>https://drive.google.com/open?id=1PWiPNhdnAPPANkQ7BCRGPNQILgDvNYOQ</t>
  </si>
  <si>
    <t>Aarti Navyugbhai Solanki</t>
  </si>
  <si>
    <t>LUEPS7860M</t>
  </si>
  <si>
    <t xml:space="preserve">Auditing </t>
  </si>
  <si>
    <t>4112928290</t>
  </si>
  <si>
    <t>KKBK0002562</t>
  </si>
  <si>
    <t>solankiaartu84@gmail.com</t>
  </si>
  <si>
    <t>https://drive.google.com/open?id=1bp76TLQl0PrFjxPj5f3SXrZsGIFedmBi</t>
  </si>
  <si>
    <t>https://drive.google.com/open?id=1kKnPUms6QC4gjNQCDmRegaSiN1vvOeMW</t>
  </si>
  <si>
    <t>rsc.aarti@gmail.com</t>
  </si>
  <si>
    <t>Vivek Jaiswal</t>
  </si>
  <si>
    <t>BDQPJ5852H</t>
  </si>
  <si>
    <t>Operations</t>
  </si>
  <si>
    <t>Federal Bank</t>
  </si>
  <si>
    <t xml:space="preserve">77770109008496 </t>
  </si>
  <si>
    <t>FDRL0007777</t>
  </si>
  <si>
    <t>vivekjaiswal@rscllp.in</t>
  </si>
  <si>
    <t>https://drive.google.com/open?id=15Q_DWprB0tCJmzVLRZZ-bcRFOF7TALzm</t>
  </si>
  <si>
    <t>https://drive.google.com/open?id=1V9E2anbRIuaVQoBC9UN1g9Xa8u9oI2tl</t>
  </si>
  <si>
    <t>Abhishakh Jaiswal</t>
  </si>
  <si>
    <t>BQDPJ7033E</t>
  </si>
  <si>
    <t>OPERATION</t>
  </si>
  <si>
    <t>Kolkata</t>
  </si>
  <si>
    <t>BANK OF BARODA</t>
  </si>
  <si>
    <t>08750100019818</t>
  </si>
  <si>
    <t>BARB0PAIKPA</t>
  </si>
  <si>
    <t>abhishekjaiswal@rscllp.in</t>
  </si>
  <si>
    <t>https://drive.google.com/open?id=15viy5xNOxPgjMDnnEcS7fpGygGz7G06q</t>
  </si>
  <si>
    <t>https://drive.google.com/open?id=1VNQvjkbpxbm-1zxxSg0b1Oq7gSPqdXoI</t>
  </si>
  <si>
    <t>Mukund Pasari</t>
  </si>
  <si>
    <t>EUPPP2137G</t>
  </si>
  <si>
    <t>SALES</t>
  </si>
  <si>
    <t>Manager</t>
  </si>
  <si>
    <t>State of india</t>
  </si>
  <si>
    <t>35206463570</t>
  </si>
  <si>
    <t>SBIN0003476</t>
  </si>
  <si>
    <t>mukundpasari@rscllp.in</t>
  </si>
  <si>
    <t>https://drive.google.com/open?id=1uTp6d1BRveouEGv44GeisLboGZ7HzB_9</t>
  </si>
  <si>
    <t>https://drive.google.com/open?id=1PSKa0Moz98w2AT5OHlshxpaO-Qt3nMFa</t>
  </si>
  <si>
    <t>Rajib Kumar Hela</t>
  </si>
  <si>
    <t>2213020752</t>
  </si>
  <si>
    <t>KKBK0000328</t>
  </si>
  <si>
    <t>rscllp.rajibhela@gmail.com</t>
  </si>
  <si>
    <t>https://drive.google.com/open?id=16GQO0X-ddqd1syxZkx77ETVsJdZYDjgV</t>
  </si>
  <si>
    <t>https://drive.google.com/open?id=1ki4rNuGF1pNEn3M_eBK_dNfNMtIrT3MD</t>
  </si>
  <si>
    <t>Jaldeep J. Modi</t>
  </si>
  <si>
    <t>BMMPM6336C</t>
  </si>
  <si>
    <t>MIS Executive</t>
  </si>
  <si>
    <t>AU small finance bank</t>
  </si>
  <si>
    <t>1712216111180371</t>
  </si>
  <si>
    <t>AUBL0002161</t>
  </si>
  <si>
    <t>modi.jaldeep@yahoo.in</t>
  </si>
  <si>
    <t>https://drive.google.com/open?id=1APkzRg9Yl8rk_jpRGJbT3vaC355uza-t</t>
  </si>
  <si>
    <t>https://drive.google.com/open?id=1qS73P7cleV0T_wcsoqIuRdw--mnTAjXs</t>
  </si>
  <si>
    <t>rsc.jaldeep@gmail.com</t>
  </si>
  <si>
    <t>Joshi Dhananjay Nareshkumar</t>
  </si>
  <si>
    <t xml:space="preserve">99258 99775 </t>
  </si>
  <si>
    <t>BFPPJ7888N</t>
  </si>
  <si>
    <t>SGA</t>
  </si>
  <si>
    <t>ICICI</t>
  </si>
  <si>
    <t>777701110194</t>
  </si>
  <si>
    <t>ICIC0001367</t>
  </si>
  <si>
    <t>dhananjay.dj616@gmail.com</t>
  </si>
  <si>
    <t>https://drive.google.com/open?id=1CrYp5Iip3xLvD94otob4gaqWWSiGG9A9</t>
  </si>
  <si>
    <t>https://drive.google.com/open?id=15mdVoZIgrPto8mqckLx7ke2zAkxJPePW</t>
  </si>
  <si>
    <t>rsc.dhananjay11@gmail.com</t>
  </si>
  <si>
    <t>Bhadru Dhanesh Bhimaji</t>
  </si>
  <si>
    <t>FGWPB5854C</t>
  </si>
  <si>
    <t xml:space="preserve">Audit </t>
  </si>
  <si>
    <t>08490100024288</t>
  </si>
  <si>
    <t>BARB0ASHRAM</t>
  </si>
  <si>
    <t>rsc.dhanesh@gmail.com</t>
  </si>
  <si>
    <t>https://drive.google.com/open?id=1TBKpUvmXO-7SeTspcnj1ThdhfnisqN_X</t>
  </si>
  <si>
    <t>https://drive.google.com/open?id=1fxZm8217-wGLV_yKUuOzCNI1bxJ-QeNa</t>
  </si>
  <si>
    <t>Anilkumar Gupta</t>
  </si>
  <si>
    <t>CDFPG8089M</t>
  </si>
  <si>
    <t>29530100027695</t>
  </si>
  <si>
    <t>BARB0CHANDK</t>
  </si>
  <si>
    <t>rsc.anilgupta@gmail.com</t>
  </si>
  <si>
    <t>https://drive.google.com/open?id=1S3F_lydJ5-3AryHLERoKEwC0rIMKG4DQ</t>
  </si>
  <si>
    <t>https://drive.google.com/open?id=1rNZYf9jA27QM9V5bnN92I5dqAVbIIOSG</t>
  </si>
  <si>
    <t>Ashutosh Madhusudan Bakshi</t>
  </si>
  <si>
    <t>ACFPB9944B</t>
  </si>
  <si>
    <t xml:space="preserve">Quality Control </t>
  </si>
  <si>
    <t xml:space="preserve">Not Applicable </t>
  </si>
  <si>
    <t xml:space="preserve">HDFC Bank Ltd </t>
  </si>
  <si>
    <t>00481000000832</t>
  </si>
  <si>
    <t>HDFC0000048</t>
  </si>
  <si>
    <t>ambakshi19@gmail.com</t>
  </si>
  <si>
    <t>https://drive.google.com/open?id=1QTlGw0pk2i56d_zChzR7y28MKZ-C_0NV</t>
  </si>
  <si>
    <t>https://drive.google.com/open?id=1jntcOWQT9jnA8w4sfeZEyUnnUVNYDlTe</t>
  </si>
  <si>
    <t>ashutosh.b@rscllp.in</t>
  </si>
  <si>
    <t>Satyam Kumar Suman</t>
  </si>
  <si>
    <t>MFEPS0869G</t>
  </si>
  <si>
    <t>922010007597066</t>
  </si>
  <si>
    <t>UTIB0000142</t>
  </si>
  <si>
    <t>samsuman7277@gmail.com</t>
  </si>
  <si>
    <t>https://drive.google.com/open?id=1MDoQxE6M9pYiwMxVxtNQRMSfU4sQ6cTe</t>
  </si>
  <si>
    <t>https://drive.google.com/open?id=1KKbCByrduPnc6w91lpKt0qx5wWjS9XNr</t>
  </si>
  <si>
    <t>rsc.satyam@gmail.com</t>
  </si>
  <si>
    <t>Davada Vaibhaviben Harshadbhai</t>
  </si>
  <si>
    <t>BTJPV2482C</t>
  </si>
  <si>
    <t>Operation Department</t>
  </si>
  <si>
    <t>GJ/AHD/59091/0012297</t>
  </si>
  <si>
    <t>40286991608</t>
  </si>
  <si>
    <t>SBIN0008339</t>
  </si>
  <si>
    <t>rsc.vaibhavi@gmail.com</t>
  </si>
  <si>
    <t>https://drive.google.com/open?id=1HEzfDj6herry6LIH-B_vdeH4ZGDAfcEc</t>
  </si>
  <si>
    <t>https://drive.google.com/open?id=1OY0Gb7IBPLAOtGOs6RKHWUXchmyECrT6</t>
  </si>
  <si>
    <t>Abishek Deepak Shah</t>
  </si>
  <si>
    <t>AVMPS1012P</t>
  </si>
  <si>
    <t>Audit &amp; Finance</t>
  </si>
  <si>
    <t>Citi Bank</t>
  </si>
  <si>
    <t>5269686447</t>
  </si>
  <si>
    <t>UTIB0005145</t>
  </si>
  <si>
    <t>abishekshah@rscllp.in</t>
  </si>
  <si>
    <t>https://drive.google.com/open?id=1Vqm709OnHBYIIdu0b-I8L2lKOP2ZAUBn</t>
  </si>
  <si>
    <t>https://drive.google.com/open?id=1ijlB2_le2uv5zGKnobvWD2Kd2kSO10Kw</t>
  </si>
  <si>
    <t>Patel Sapanaben Jigneshkumar</t>
  </si>
  <si>
    <t>BVPPP0145L</t>
  </si>
  <si>
    <t>Gandhinagar</t>
  </si>
  <si>
    <t>SBI</t>
  </si>
  <si>
    <t>31718863791</t>
  </si>
  <si>
    <t>SBIN0060228</t>
  </si>
  <si>
    <t>sapjig2009@gmail.com</t>
  </si>
  <si>
    <t>https://drive.google.com/open?id=1fzAEVc6IDQymQjQd6puluP6zbKPSua7n</t>
  </si>
  <si>
    <t>https://drive.google.com/open?id=1brK3h6m6gEPxFPkoavAwsjoEuEzQ7QeU</t>
  </si>
  <si>
    <t>Nisha Padia</t>
  </si>
  <si>
    <t>Finance &amp; Accounts</t>
  </si>
  <si>
    <t>Bank of India</t>
  </si>
  <si>
    <t>211710110001162</t>
  </si>
  <si>
    <t>BKID0002117</t>
  </si>
  <si>
    <t>padianisha0801@gmail.com</t>
  </si>
  <si>
    <t>https://drive.google.com/open?id=1tD9nnmG_qVRgOVjfFBkwlJYF4iWLbU7U</t>
  </si>
  <si>
    <t>https://drive.google.com/open?id=10G3wLAHLNJPqscVDMDR_C5mU5cft6k5o</t>
  </si>
  <si>
    <t>Vipul Sharadbhai Patel</t>
  </si>
  <si>
    <t>BYXPP2562A</t>
  </si>
  <si>
    <t>Operation</t>
  </si>
  <si>
    <t>HDFC BANK</t>
  </si>
  <si>
    <t>50100024817511</t>
  </si>
  <si>
    <t>HDFC0000007</t>
  </si>
  <si>
    <t>https://drive.google.com/open?id=1ud2xJuR7xvWdSBpOnV57LvsBB2eI2Nql</t>
  </si>
  <si>
    <t>https://drive.google.com/open?id=18AaejTCLBaFkoYASXHGRr_YB5HGE2bm3</t>
  </si>
  <si>
    <t>Vikrant Singh</t>
  </si>
  <si>
    <t>ATEPH9097F</t>
  </si>
  <si>
    <t xml:space="preserve">Finance </t>
  </si>
  <si>
    <t xml:space="preserve">Goblej </t>
  </si>
  <si>
    <t>3446201673</t>
  </si>
  <si>
    <t>KKBK0005949</t>
  </si>
  <si>
    <t>svikrant88817@gmail.com</t>
  </si>
  <si>
    <t>https://drive.google.com/open?id=1hsV-g53_861p0A-sKlbi_R_qr0_AY0ZF</t>
  </si>
  <si>
    <t>https://drive.google.com/open?id=1WhzCtfL2WGAyGGzMPcUIwYR64IUFibl0</t>
  </si>
  <si>
    <t>Dhiraj Kumar</t>
  </si>
  <si>
    <t>EIAPP1589R</t>
  </si>
  <si>
    <t>CANARA BANK</t>
  </si>
  <si>
    <t>5751101002284</t>
  </si>
  <si>
    <t>CNRB0005751</t>
  </si>
  <si>
    <t>dhirajkumargupta678@gmail.com</t>
  </si>
  <si>
    <t>https://drive.google.com/open?id=1OfcI3LoMrCMz4TOkL1OhUsmiIIZy1-Gi</t>
  </si>
  <si>
    <t>https://drive.google.com/open?id=1YlURoNDJSuKKtfEdLYsVo-mo6gOLai9a</t>
  </si>
  <si>
    <t>Prajakta Dhure</t>
  </si>
  <si>
    <t>BCIPD8785N</t>
  </si>
  <si>
    <t>Mumbai</t>
  </si>
  <si>
    <t>SVC Co-Operative Bank</t>
  </si>
  <si>
    <t>102603130005454</t>
  </si>
  <si>
    <t>SVCB0000026</t>
  </si>
  <si>
    <t>prajaktadhure@gmail.com</t>
  </si>
  <si>
    <t>Satya Gupta</t>
  </si>
  <si>
    <t>IIMPK5795J</t>
  </si>
  <si>
    <t>Gurugram</t>
  </si>
  <si>
    <t>GNGGN/1368611/54625</t>
  </si>
  <si>
    <t xml:space="preserve">HDFC BANK </t>
  </si>
  <si>
    <t>50100430294851</t>
  </si>
  <si>
    <t>HDFC0000280</t>
  </si>
  <si>
    <t>satya96619@gmail.com</t>
  </si>
  <si>
    <t>https://drive.google.com/open?id=1tLS8krPKaGXReIWZStG3ly2_uBpswzzz</t>
  </si>
  <si>
    <t>https://drive.google.com/open?id=1cEH-0ZyobFOxfSOCBs2KN72rquNzEYnt</t>
  </si>
  <si>
    <t>rsc.satya@gmail.com</t>
  </si>
  <si>
    <t>Amin Yatin</t>
  </si>
  <si>
    <t>BXLPA0927R</t>
  </si>
  <si>
    <t>IndusInd Bank</t>
  </si>
  <si>
    <t>187575853573</t>
  </si>
  <si>
    <t>INDB0000009</t>
  </si>
  <si>
    <t>benm72694@gmail.com</t>
  </si>
  <si>
    <t>B Vinod Kumar</t>
  </si>
  <si>
    <t>BUPPV4649Q</t>
  </si>
  <si>
    <t>Bengaluru</t>
  </si>
  <si>
    <t>50100385265677</t>
  </si>
  <si>
    <t>HDFC0004246</t>
  </si>
  <si>
    <t>bvinod.erp@gmail.com</t>
  </si>
  <si>
    <t>Sanjivani Bajbalkar</t>
  </si>
  <si>
    <t>DFOPB0217J</t>
  </si>
  <si>
    <t>131310510004417</t>
  </si>
  <si>
    <t>BKID0000749</t>
  </si>
  <si>
    <t>sanjivani.rsc@gmail.com</t>
  </si>
  <si>
    <t>Shikha Thakur</t>
  </si>
  <si>
    <t>APYPT0817K</t>
  </si>
  <si>
    <t>09191050007531</t>
  </si>
  <si>
    <t>HDFC0000919</t>
  </si>
  <si>
    <t>Shikha.thakur170@gmail.com</t>
  </si>
  <si>
    <t>rashi123.rscllp@gmail.com</t>
  </si>
  <si>
    <t>Kurani Altaf Rafikali</t>
  </si>
  <si>
    <t>209010110014079</t>
  </si>
  <si>
    <t>BKID0002060</t>
  </si>
  <si>
    <t>Shakir Husen Mahammadbhai</t>
  </si>
  <si>
    <t>MDGPS9880P</t>
  </si>
  <si>
    <t>9146434960</t>
  </si>
  <si>
    <t>KKBK0000826</t>
  </si>
  <si>
    <t>shakirhusain78@gmail.com</t>
  </si>
  <si>
    <t>rsc.husain@gmail.com</t>
  </si>
  <si>
    <t>AWAITED</t>
  </si>
  <si>
    <t>Anshikha Burman</t>
  </si>
  <si>
    <t>Manish Kalal</t>
  </si>
  <si>
    <t>GHPPB2345M</t>
  </si>
  <si>
    <t>0218001500057520</t>
  </si>
  <si>
    <t>PUNB0021800</t>
  </si>
  <si>
    <t>Anshikhaburman@gmail.com</t>
  </si>
  <si>
    <t>TNBT Tech</t>
  </si>
  <si>
    <t>Raj Singh Rajput</t>
  </si>
  <si>
    <t>EVNPR5690P</t>
  </si>
  <si>
    <t>39415038877</t>
  </si>
  <si>
    <t>SBIN0000487</t>
  </si>
  <si>
    <t>rajsrajput1010@gmail.com</t>
  </si>
  <si>
    <t>Rimaben Hasmukhbhai Bhatt</t>
  </si>
  <si>
    <t>ICICI Bank</t>
  </si>
  <si>
    <t>045701520217</t>
  </si>
  <si>
    <t>ICIC0000457</t>
  </si>
  <si>
    <t>06rima01bhatt@gmail.com</t>
  </si>
  <si>
    <t>Jay Hiteshbhai Gohel</t>
  </si>
  <si>
    <t>CJXPG0417M</t>
  </si>
  <si>
    <t>32682607012</t>
  </si>
  <si>
    <t>SBIN0013450</t>
  </si>
  <si>
    <t>jay10gohel@gmail.com</t>
  </si>
  <si>
    <t>rsc.jaygohel0307@gmail.com</t>
  </si>
  <si>
    <t>Zalak Barot</t>
  </si>
  <si>
    <t>GVAPB7822L</t>
  </si>
  <si>
    <t>11302191023483</t>
  </si>
  <si>
    <t>PUNB0113010</t>
  </si>
  <si>
    <t>rsc.zalak@gmail.com</t>
  </si>
  <si>
    <t>101919820952</t>
  </si>
  <si>
    <t>Birva Shah</t>
  </si>
  <si>
    <t>DZWPS4582R</t>
  </si>
  <si>
    <t>50100529731783</t>
  </si>
  <si>
    <t>rsc.birva@gmail.com</t>
  </si>
  <si>
    <t>101776841577</t>
  </si>
  <si>
    <t>Harish Suthar</t>
  </si>
  <si>
    <t>KGTPS2561F</t>
  </si>
  <si>
    <t>4977000100042626</t>
  </si>
  <si>
    <t>PUNB0497700</t>
  </si>
  <si>
    <t>harishcomputer735715@gmail.com</t>
  </si>
  <si>
    <t>Chaudhary Jyoti</t>
  </si>
  <si>
    <t>CDSPC1063Q</t>
  </si>
  <si>
    <t>BARB0BGGBXX</t>
  </si>
  <si>
    <t>chaudharyjyoti4801@gmail.com</t>
  </si>
  <si>
    <t>Harsh J Kuhikar</t>
  </si>
  <si>
    <t>520481033286421</t>
  </si>
  <si>
    <t>UBIN0930717</t>
  </si>
  <si>
    <t>harshkuhikar68@gmail.com</t>
  </si>
  <si>
    <t xml:space="preserve">Umesh Kumar </t>
  </si>
  <si>
    <t>DGCPG0181B</t>
  </si>
  <si>
    <t>Lucknow</t>
  </si>
  <si>
    <t>31898100001713</t>
  </si>
  <si>
    <t>BARB0KURSIX</t>
  </si>
  <si>
    <t>ukg7398829240@gmail.com</t>
  </si>
  <si>
    <t>Mayur Aqib</t>
  </si>
  <si>
    <t>CHTPA6107N</t>
  </si>
  <si>
    <t>Muzaffarnagar</t>
  </si>
  <si>
    <t>925010019695786</t>
  </si>
  <si>
    <t>UTIB0005468</t>
  </si>
  <si>
    <t>codewithaaqib@gmail.com</t>
  </si>
  <si>
    <t>Pratik Arvindbhai Boghara</t>
  </si>
  <si>
    <t>DOGPB1632N</t>
  </si>
  <si>
    <t>Single</t>
  </si>
  <si>
    <t>Jasdan</t>
  </si>
  <si>
    <t>923010007387248</t>
  </si>
  <si>
    <t>UTIB0001546</t>
  </si>
  <si>
    <t>pratikboghara12@gmail.com</t>
  </si>
  <si>
    <t>Rajnikantbhai M Parmar</t>
  </si>
  <si>
    <t>BMQPP6769J</t>
  </si>
  <si>
    <t>70152010052280</t>
  </si>
  <si>
    <t>CNRB0017015</t>
  </si>
  <si>
    <t>Khandhar Rutvik Rajeshbhai</t>
  </si>
  <si>
    <t>HGIPK1704C</t>
  </si>
  <si>
    <t>HDFC0000948</t>
  </si>
  <si>
    <t>rutvik.khandhar2303@gmail.com</t>
  </si>
  <si>
    <t>rsc.rutvik@gmail.com</t>
  </si>
  <si>
    <t>Anish Kumar Verma</t>
  </si>
  <si>
    <t>BAGPV1153E</t>
  </si>
  <si>
    <t>SBIN0002925</t>
  </si>
  <si>
    <t>anishkv.1608@gmail.com</t>
  </si>
  <si>
    <t>101459910637</t>
  </si>
  <si>
    <t>Nandana Dimpalben Amrutbhai</t>
  </si>
  <si>
    <t>CNJPN8309P</t>
  </si>
  <si>
    <t>UBIN0908401</t>
  </si>
  <si>
    <t>dimpal.nandana121@gmail.com</t>
  </si>
  <si>
    <t>rsc.dimpal@gmail.com</t>
  </si>
  <si>
    <t>Choksi Naman Tejalkumar</t>
  </si>
  <si>
    <t>Intern</t>
  </si>
  <si>
    <t>Tamilnad Mercantile Bank Ltd</t>
  </si>
  <si>
    <t>TMBL0000113</t>
  </si>
  <si>
    <t>4284stkabir6a@gmail.com</t>
  </si>
  <si>
    <t>Moinkhan Pathan</t>
  </si>
  <si>
    <t>AXTPP9672P</t>
  </si>
  <si>
    <t>50100464982661</t>
  </si>
  <si>
    <t>moinkhan3587@gmail.com</t>
  </si>
  <si>
    <t>rsc.moinkhan@gmail.com</t>
  </si>
  <si>
    <t>101109236938</t>
  </si>
  <si>
    <t>Audit Executive</t>
  </si>
  <si>
    <t>Parth Rajubhai Chavda</t>
  </si>
  <si>
    <t>CMHPC8304E</t>
  </si>
  <si>
    <t>110217168025</t>
  </si>
  <si>
    <t>CNRB0017006</t>
  </si>
  <si>
    <t>parthchavda2136@gmail.com</t>
  </si>
  <si>
    <t>Hitendra Kumar Jain</t>
  </si>
  <si>
    <t>BYQPJ6448C</t>
  </si>
  <si>
    <t>39986752473</t>
  </si>
  <si>
    <t>SBIN0018300</t>
  </si>
  <si>
    <t>rsc.hitendra@gmail.com</t>
  </si>
  <si>
    <t>Urmila Makwana</t>
  </si>
  <si>
    <t>ENNPM5596R</t>
  </si>
  <si>
    <t>66930100014330</t>
  </si>
  <si>
    <t>BARB0DBBAMN</t>
  </si>
  <si>
    <t>urmilam810@gmail.com</t>
  </si>
  <si>
    <t>Khushboo Ahuja</t>
  </si>
  <si>
    <t>FBOPA4477B</t>
  </si>
  <si>
    <t>51622191015102</t>
  </si>
  <si>
    <t>PUNB0516210</t>
  </si>
  <si>
    <t>ahujakhushboo135@gmail.com</t>
  </si>
  <si>
    <t>Yogita Khadke</t>
  </si>
  <si>
    <t>9307153701</t>
  </si>
  <si>
    <t>KTGPK7660K</t>
  </si>
  <si>
    <t>Bank of Maharashtra</t>
  </si>
  <si>
    <t>68024675392</t>
  </si>
  <si>
    <t>MAHB0001161</t>
  </si>
  <si>
    <t>rsc.yogita@gmail.com</t>
  </si>
  <si>
    <t>Kundan Kumar Chaudhary</t>
  </si>
  <si>
    <t>9097015922</t>
  </si>
  <si>
    <t>BRKPC4661D</t>
  </si>
  <si>
    <t>2849231911</t>
  </si>
  <si>
    <t>KKBK0006584</t>
  </si>
  <si>
    <t>rsc.kundan97@gmail.com</t>
  </si>
  <si>
    <t>Rishav Raj</t>
  </si>
  <si>
    <t>7903312858</t>
  </si>
  <si>
    <t>DLMPR1837Q</t>
  </si>
  <si>
    <t>Pune</t>
  </si>
  <si>
    <t>7412068994</t>
  </si>
  <si>
    <t>KKBK0001767</t>
  </si>
  <si>
    <t>401167023530</t>
  </si>
  <si>
    <t>rajrishav543256@gmail.com</t>
  </si>
  <si>
    <t>Chauhan Isha Sanjaybhai</t>
  </si>
  <si>
    <t>7041242557</t>
  </si>
  <si>
    <t>NEVPS3821B</t>
  </si>
  <si>
    <t>50100432344032</t>
  </si>
  <si>
    <t>HDFC0000971</t>
  </si>
  <si>
    <t>959177838524</t>
  </si>
  <si>
    <t>rsc1isha@gmail.com</t>
  </si>
  <si>
    <t>101711251209</t>
  </si>
  <si>
    <t>Arpita Vyas</t>
  </si>
  <si>
    <t>9662456784</t>
  </si>
  <si>
    <t>ALVPV9597R</t>
  </si>
  <si>
    <t>50100486260614</t>
  </si>
  <si>
    <t>HDFC0001083</t>
  </si>
  <si>
    <t>arpita.s.vyas@gmail.com</t>
  </si>
  <si>
    <t>Gayatri Baria</t>
  </si>
  <si>
    <t>Jasmin Rameshchandra Desai</t>
  </si>
  <si>
    <t>Pratik Gondhiya</t>
  </si>
  <si>
    <t>AEUPD8104L</t>
  </si>
  <si>
    <t>002401043891</t>
  </si>
  <si>
    <t>ICIC0000024</t>
  </si>
  <si>
    <t>jasmindesai@rscllp.in</t>
  </si>
  <si>
    <t>Nagaraj Hegde</t>
  </si>
  <si>
    <t>AKDPN1446Q</t>
  </si>
  <si>
    <t>12061050020831</t>
  </si>
  <si>
    <t>HDFC0001750</t>
  </si>
  <si>
    <t>nagarajmh@gmail.com</t>
  </si>
  <si>
    <t>Kanakhara Yash Sanjaykumar</t>
  </si>
  <si>
    <t>9909558582</t>
  </si>
  <si>
    <t>DACPK0183B</t>
  </si>
  <si>
    <t>Sales</t>
  </si>
  <si>
    <t>Business Development Manager</t>
  </si>
  <si>
    <t>50100346481422</t>
  </si>
  <si>
    <t>HDFC0001676</t>
  </si>
  <si>
    <t>kanakharayash@yahoo.com</t>
  </si>
  <si>
    <t>101570155012</t>
  </si>
  <si>
    <t>Syed Siraj</t>
  </si>
  <si>
    <t>EESPS3079K</t>
  </si>
  <si>
    <t>10361140006649</t>
  </si>
  <si>
    <t>HDFC0001036</t>
  </si>
  <si>
    <t>ssyed1433@gmail.com</t>
  </si>
  <si>
    <t>100386904951</t>
  </si>
  <si>
    <t>Yash Chandra</t>
  </si>
  <si>
    <t>BVHPC6457J</t>
  </si>
  <si>
    <t>38000260637</t>
  </si>
  <si>
    <t>SBIN0001641</t>
  </si>
  <si>
    <t>chandrayash99@gmail.com</t>
  </si>
  <si>
    <t>Vishwakarma Prince Dilip</t>
  </si>
  <si>
    <t>COQPV1341K</t>
  </si>
  <si>
    <t>41920961804</t>
  </si>
  <si>
    <t>vishwakarmaprince2023@gmail.com</t>
  </si>
  <si>
    <t>958425141385</t>
  </si>
  <si>
    <t>102069417937</t>
  </si>
  <si>
    <t>Purvi Vipul Patel</t>
  </si>
  <si>
    <t>EGYPP7813N</t>
  </si>
  <si>
    <t>20417175436</t>
  </si>
  <si>
    <t>SBIN0011011</t>
  </si>
  <si>
    <t>780801483322</t>
  </si>
  <si>
    <t>Ghanchi Asfak Aiyubbhai</t>
  </si>
  <si>
    <t>AZQPG4249N</t>
  </si>
  <si>
    <t>Associate</t>
  </si>
  <si>
    <t>Indian Bank</t>
  </si>
  <si>
    <t>8013327355</t>
  </si>
  <si>
    <t>IDIB000M060</t>
  </si>
  <si>
    <t>ghanchi.asfak@yahoo.com</t>
  </si>
  <si>
    <t>205497765487</t>
  </si>
  <si>
    <t>Rana Heet Kiritbhai</t>
  </si>
  <si>
    <t>KJHPK1390H</t>
  </si>
  <si>
    <t>41130100001973</t>
  </si>
  <si>
    <t>BARB0BAREJA</t>
  </si>
  <si>
    <t>heetrana1782001@gmail.com</t>
  </si>
  <si>
    <t>454582586154</t>
  </si>
  <si>
    <t>rsc.heetkrana@gmail.com</t>
  </si>
  <si>
    <t>Krisha Devang Shah</t>
  </si>
  <si>
    <t>NZWPS4664A</t>
  </si>
  <si>
    <t>50100436065966</t>
  </si>
  <si>
    <t>HDFC0000383</t>
  </si>
  <si>
    <t>krisha23112@gmail.com</t>
  </si>
  <si>
    <t>838685245150</t>
  </si>
  <si>
    <t>rsc.krisha@gmail.com</t>
  </si>
  <si>
    <t>Vaishyak Ujjawal</t>
  </si>
  <si>
    <t>APEPU8095A</t>
  </si>
  <si>
    <t>210110510001138</t>
  </si>
  <si>
    <t>BKID0002101</t>
  </si>
  <si>
    <t>rsc.ujjwal@gmail.com</t>
  </si>
  <si>
    <t>707553890988</t>
  </si>
  <si>
    <t>Shobhit Devda</t>
  </si>
  <si>
    <t>FTFPD7087D</t>
  </si>
  <si>
    <t>946521485</t>
  </si>
  <si>
    <t>KKBK0002575</t>
  </si>
  <si>
    <t>rsc.shobhit@gmail.com</t>
  </si>
  <si>
    <t>616051461425</t>
  </si>
  <si>
    <t>Ravi Kant Kashyap</t>
  </si>
  <si>
    <t>AWJPK0592L</t>
  </si>
  <si>
    <t>00000030252983602</t>
  </si>
  <si>
    <t>SBIN0012700</t>
  </si>
  <si>
    <t>rsc.ravikashyap@gmail.com</t>
  </si>
  <si>
    <t>630395075837</t>
  </si>
  <si>
    <t>100310029479</t>
  </si>
  <si>
    <t>Mahima Puchhairam Jaiswal</t>
  </si>
  <si>
    <t>CHCPJ1460Q</t>
  </si>
  <si>
    <t>36298403093</t>
  </si>
  <si>
    <t>SBIN0002684</t>
  </si>
  <si>
    <t>rsc.mahimajaiswal@gmail.com</t>
  </si>
  <si>
    <t>324059656146</t>
  </si>
  <si>
    <t>101873111280</t>
  </si>
  <si>
    <t>Raghuprasad CC</t>
  </si>
  <si>
    <t>AKUPR0294F</t>
  </si>
  <si>
    <t>02611610005330</t>
  </si>
  <si>
    <t>HDFC0000261</t>
  </si>
  <si>
    <t>raghu_bind@yahoo.co.in</t>
  </si>
  <si>
    <t>100317186845</t>
  </si>
  <si>
    <t>Thakkar DhruveshKumar Bankimchandra</t>
  </si>
  <si>
    <t>Off Role</t>
  </si>
  <si>
    <t>APEPT9401M</t>
  </si>
  <si>
    <t>32152121140</t>
  </si>
  <si>
    <t>SBIN0060406</t>
  </si>
  <si>
    <t>dhruvesh777thakkar@gmail.com</t>
  </si>
  <si>
    <t>850968988353</t>
  </si>
  <si>
    <t>Nischay Dalipkumar</t>
  </si>
  <si>
    <t>HKPPD5329R</t>
  </si>
  <si>
    <t>36122967020</t>
  </si>
  <si>
    <t>SBIN0007476</t>
  </si>
  <si>
    <t>kumarnischay1@gmail.com</t>
  </si>
  <si>
    <t>373988220036</t>
  </si>
  <si>
    <t>Maitri Naman Shah</t>
  </si>
  <si>
    <t>CPQPG7576G</t>
  </si>
  <si>
    <t>QA Executive</t>
  </si>
  <si>
    <t>50100518307535</t>
  </si>
  <si>
    <t>HDFC0007153</t>
  </si>
  <si>
    <t>rsc.maitrishah@gmail.com</t>
  </si>
  <si>
    <t>533998067017</t>
  </si>
  <si>
    <t>Deepti Mahapatro</t>
  </si>
  <si>
    <t>GWRPM4417A</t>
  </si>
  <si>
    <t>078101000561</t>
  </si>
  <si>
    <t>ICIC0000781</t>
  </si>
  <si>
    <t>rsc.deepti@gmail.com</t>
  </si>
  <si>
    <t>311068044848</t>
  </si>
  <si>
    <t>Dhruv Suthar</t>
  </si>
  <si>
    <t>NAWPS8268B</t>
  </si>
  <si>
    <t>50100648096973</t>
  </si>
  <si>
    <t>HDFC0000006</t>
  </si>
  <si>
    <t>rsc.dhruvsuthar@gmail.com</t>
  </si>
  <si>
    <t>433985486159</t>
  </si>
  <si>
    <t>101495473444</t>
  </si>
  <si>
    <t>Sahil Patel</t>
  </si>
  <si>
    <t>NOBPS0298E</t>
  </si>
  <si>
    <t>84620100023260</t>
  </si>
  <si>
    <t>BARB0DBBAPU</t>
  </si>
  <si>
    <t>rsc.sahilpatel@gmail.com</t>
  </si>
  <si>
    <t>614987529646</t>
  </si>
  <si>
    <t>Dayashankar Shaw</t>
  </si>
  <si>
    <t>MSQPS8407M</t>
  </si>
  <si>
    <t>Central Bank of India</t>
  </si>
  <si>
    <t>3697419380</t>
  </si>
  <si>
    <t>CBIN0281050</t>
  </si>
  <si>
    <t>rsc.dayashankar@gmail.com</t>
  </si>
  <si>
    <t>577561668059</t>
  </si>
  <si>
    <t>Yogesh Makvana</t>
  </si>
  <si>
    <t>ECTPM0923B</t>
  </si>
  <si>
    <t>70202610000695</t>
  </si>
  <si>
    <t>CNRB0017020</t>
  </si>
  <si>
    <t>345636636650</t>
  </si>
  <si>
    <t>makvanayogesh1995@gmail.com</t>
  </si>
  <si>
    <t>Sripriya Venkataraman</t>
  </si>
  <si>
    <t>AYEPV8747M</t>
  </si>
  <si>
    <t>50100691486082</t>
  </si>
  <si>
    <t>HDFC0000433</t>
  </si>
  <si>
    <t>priyavenkataraman97@gmail.com</t>
  </si>
  <si>
    <t>798964289657</t>
  </si>
  <si>
    <t>rsc.sripriya@gmail.com</t>
  </si>
  <si>
    <t>Harshad Khemani</t>
  </si>
  <si>
    <t>GKFPK2418K</t>
  </si>
  <si>
    <t>84050100023488</t>
  </si>
  <si>
    <t>BARB0DBKUBE</t>
  </si>
  <si>
    <t>harshkhemani98@gmail.com</t>
  </si>
  <si>
    <t>rsc.harshadkhemani@gmail.com</t>
  </si>
  <si>
    <t>Aditya Shaileshbhai Gohel</t>
  </si>
  <si>
    <t>DKHPG9676J</t>
  </si>
  <si>
    <t>174001527181</t>
  </si>
  <si>
    <t>ICIC0001740</t>
  </si>
  <si>
    <t>adityagohel2509@gmail.com</t>
  </si>
  <si>
    <t>633922538815</t>
  </si>
  <si>
    <t>rsc.adityagohel@gmail.com</t>
  </si>
  <si>
    <t>Makwana Prahar</t>
  </si>
  <si>
    <t>Vipul Patel</t>
  </si>
  <si>
    <t>GGEPM0595J</t>
  </si>
  <si>
    <t>73520100009689</t>
  </si>
  <si>
    <t>BARB0DBGOTA</t>
  </si>
  <si>
    <t>praharmakwana7397@gmail.com</t>
  </si>
  <si>
    <t>495695559540</t>
  </si>
  <si>
    <t>rsc.praharmakwana@gmail.com</t>
  </si>
  <si>
    <t>Alekhya K G S</t>
  </si>
  <si>
    <t>CBYPA9417L</t>
  </si>
  <si>
    <t>74390100003797</t>
  </si>
  <si>
    <t>BARB0VJVIPU</t>
  </si>
  <si>
    <t>kgsalekhya@gmail.com</t>
  </si>
  <si>
    <t>803738561347</t>
  </si>
  <si>
    <t>rsc.alekhya@gmail.com</t>
  </si>
  <si>
    <t>Patel Savan Rajeshbhai</t>
  </si>
  <si>
    <t>FDTPP1608C</t>
  </si>
  <si>
    <t>18648100000466</t>
  </si>
  <si>
    <t>BARB0SANKAI</t>
  </si>
  <si>
    <t>diyasavanpateldiya@gmail.com</t>
  </si>
  <si>
    <t>985033549474</t>
  </si>
  <si>
    <t>Suhel Patel</t>
  </si>
  <si>
    <t>CVTPP2268M</t>
  </si>
  <si>
    <t>Power BI Developer</t>
  </si>
  <si>
    <t>50100512230672</t>
  </si>
  <si>
    <t>HDFC0001695</t>
  </si>
  <si>
    <t>suhelpatel@tnbttech.com</t>
  </si>
  <si>
    <t>587362308101</t>
  </si>
  <si>
    <t>suhelpatel150@gmail.com</t>
  </si>
  <si>
    <t>Krishna Yellappa Poojary</t>
  </si>
  <si>
    <t>AIFPP9142D</t>
  </si>
  <si>
    <t>1712419128</t>
  </si>
  <si>
    <t>KKBK0001416</t>
  </si>
  <si>
    <t>566007884731</t>
  </si>
  <si>
    <t>krishnayp1@gmail.com</t>
  </si>
  <si>
    <t>Aayushi Bhadreshbhai Panchasara</t>
  </si>
  <si>
    <t>AIFPP9142E</t>
  </si>
  <si>
    <t>2121100100001953</t>
  </si>
  <si>
    <t>PUNB0212110</t>
  </si>
  <si>
    <t>566007884732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</si>
</sst>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rgb="FF5E5E5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3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14" fontId="3" fillId="2" borderId="0" xfId="0" applyNumberFormat="1" applyFont="1" applyFill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5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4" fontId="4" fillId="0" borderId="0" xfId="0" applyNumberFormat="1" applyFont="1"/>
    <xf numFmtId="1" fontId="4" fillId="0" borderId="0" xfId="0" applyNumberFormat="1" applyFont="1" applyAlignment="1">
      <alignment horizontal="left"/>
    </xf>
    <xf numFmtId="0" fontId="4" fillId="0" borderId="0" xfId="0" applyFont="1"/>
    <xf numFmtId="14" fontId="1" fillId="0" borderId="0" xfId="0" applyNumberFormat="1" applyFont="1"/>
    <xf numFmtId="0" fontId="5" fillId="0" borderId="0" xfId="0" applyFont="1" applyAlignment="1">
      <alignment horizontal="center"/>
    </xf>
    <xf numFmtId="1" fontId="4" fillId="0" borderId="0" xfId="0" quotePrefix="1" applyNumberFormat="1" applyFont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/>
    <xf numFmtId="0" fontId="6" fillId="0" borderId="0" xfId="0" applyFont="1"/>
    <xf numFmtId="0" fontId="4" fillId="3" borderId="0" xfId="0" applyFont="1" applyFill="1" applyAlignment="1">
      <alignment horizontal="center"/>
    </xf>
    <xf numFmtId="0" fontId="0" fillId="0" borderId="0" xfId="0" quotePrefix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1"/>
    <xf numFmtId="0" fontId="4" fillId="0" borderId="0" xfId="0" quotePrefix="1" applyFont="1"/>
    <xf numFmtId="0" fontId="0" fillId="0" borderId="0" xfId="0" applyAlignment="1">
      <alignment horizontal="left"/>
    </xf>
    <xf numFmtId="0" fontId="1" fillId="0" borderId="0" xfId="0" applyFont="1"/>
    <xf numFmtId="2" fontId="4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center"/>
    </xf>
    <xf numFmtId="0" fontId="4" fillId="0" borderId="0" xfId="0" quotePrefix="1" applyFont="1" applyAlignment="1">
      <alignment horizontal="center"/>
    </xf>
    <xf numFmtId="0" fontId="2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</dxf>
    <dxf>
      <numFmt numFmtId="19" formatCode="dd/mm/yyyy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0" formatCode="dd/mmm/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hiva/Downloads/EmployeeMasterlast.xlsx" TargetMode="External"/><Relationship Id="rId2" Type="http://schemas.openxmlformats.org/officeDocument/2006/relationships/externalLinkPath" Target="file:///C:\Users\shiva\Downloads\EmployeeMasterlast.xlsx" TargetMode="External"/><Relationship Id="rId1" Type="http://schemas.openxmlformats.org/officeDocument/2006/relationships/externalLinkPath" Target="/Users/shiva/Downloads/EmployeeMasterla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ierarchy"/>
      <sheetName val="Sheet3"/>
      <sheetName val="Sheet4"/>
      <sheetName val="Sheet2"/>
      <sheetName val="Sheet1"/>
      <sheetName val="NotInAuto"/>
      <sheetName val="EmployeeMasterlast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20623D-38EB-47DF-95AE-C69D18AED0F3}" name="EEmaster" displayName="EEmaster" ref="A1:AF112" totalsRowShown="0" headerRowDxfId="16">
  <autoFilter ref="A1:AF112" xr:uid="{E1801790-71B0-48A8-A6B8-C9C94AEBE777}"/>
  <tableColumns count="32">
    <tableColumn id="4" xr3:uid="{294D1604-1A36-428B-9784-4AF950F95933}" name="New Emp ID" dataDxfId="15"/>
    <tableColumn id="5" xr3:uid="{06DE0E46-DF91-4DE9-A74E-4D080D0B5F38}" name="Count" dataDxfId="14">
      <calculatedColumnFormula>IF(EEmaster[[#This Row],[Firm]]="Ashil Shah &amp; Associates",COUNTIFS($Y$2:AB2,AB2)-17,COUNTIFS($Y$2:AB2,AB2))</calculatedColumnFormula>
    </tableColumn>
    <tableColumn id="6" xr3:uid="{4CD2C26B-2894-43A3-A3AF-1D3F5979DE5A}" name="Employee Name" dataDxfId="13"/>
    <tableColumn id="8" xr3:uid="{13F16EF2-608F-400E-93A5-A4A967F2A9B3}" name="CurrentStatus" dataDxfId="12"/>
    <tableColumn id="39" xr3:uid="{BF064FA1-9867-4B24-901D-519471166C5D}" name="Left Date" dataDxfId="11"/>
    <tableColumn id="9" xr3:uid="{5BEDDF92-63C3-4339-BB3E-3614E6FD312E}" name="Reporting Manager"/>
    <tableColumn id="10" xr3:uid="{7C3F07C0-312C-4577-A143-3DFD547D598A}" name="Team Leader"/>
    <tableColumn id="11" xr3:uid="{3E4AD818-B202-4776-92F8-FDABA49C246C}" name="Attendance"/>
    <tableColumn id="13" xr3:uid="{1688F1DD-6BBB-47EF-84EC-22ABCF763821}" name="Office"/>
    <tableColumn id="15" xr3:uid="{D0DE57BB-C713-49CE-B7DE-3EFBF9F86F25}" name="Mobile Number" dataDxfId="10"/>
    <tableColumn id="16" xr3:uid="{363B53DB-C7C6-4C40-94E6-D34CCC9F709D}" name="PAN" dataDxfId="9"/>
    <tableColumn id="17" xr3:uid="{F1F2D446-3D4B-47AC-B821-32566CB1A249}" name="Marital Status"/>
    <tableColumn id="18" xr3:uid="{85F444B9-748B-46C8-8F00-6B5311F79B55}" name="Gender"/>
    <tableColumn id="19" xr3:uid="{DD7ACCCC-7EA9-47C1-993E-D7A31C8D5D21}" name="Birth Date" dataDxfId="8"/>
    <tableColumn id="20" xr3:uid="{E2AD3F1B-7E1D-432A-8C1C-8EBC88DB1684}" name="Join Date" dataDxfId="7"/>
    <tableColumn id="21" xr3:uid="{3815A2D9-A079-44A5-9107-E101C2C471FF}" name="Department"/>
    <tableColumn id="23" xr3:uid="{E96E7D07-8F79-4E3D-BD15-766C8EE197CB}" name="Designation Final" dataDxfId="6"/>
    <tableColumn id="24" xr3:uid="{DD3CA21B-60D4-4334-A15A-409EC3BAE024}" name="Location (City)"/>
    <tableColumn id="25" xr3:uid="{A1A0B842-DB7D-4310-BC76-1A6CCAD3F5B7}" name="PF Number (if applicable)"/>
    <tableColumn id="28" xr3:uid="{D9BD0AF1-5091-4742-B318-B45622895264}" name="Bank Name"/>
    <tableColumn id="29" xr3:uid="{A6A5C736-B8BB-496F-B4F4-97B33D29E123}" name="Account Number" dataDxfId="5"/>
    <tableColumn id="30" xr3:uid="{BB230CEC-B471-4FE1-9989-4D86C129F76C}" name="IFSC Code" dataDxfId="4"/>
    <tableColumn id="31" xr3:uid="{AA1A685B-52A6-42D6-827B-8FA11BBF1692}" name="Email address"/>
    <tableColumn id="32" xr3:uid="{F9E58B86-3EC6-472F-BD33-9EAD0CCB53AD}" name="Please attach a copy of your PAN card (size limit 10 MB)"/>
    <tableColumn id="33" xr3:uid="{DAD6406B-9874-412D-9E80-CFEA26FBEFE8}" name="Please attach a copy of your AADHAAR card (size limit 10 MB)"/>
    <tableColumn id="34" xr3:uid="{3ABB0805-BDB2-4840-A567-DA9C85283583}" name="PF"/>
    <tableColumn id="35" xr3:uid="{DECD7653-4099-4F3D-860A-68C68D510E95}" name="RSC Mail ID" dataDxfId="3"/>
    <tableColumn id="36" xr3:uid="{A0D2D27A-47BC-4B3C-84FA-A84AA8A95474}" name="Firm" dataDxfId="2"/>
    <tableColumn id="37" xr3:uid="{3685C116-ACD3-465E-8AA9-9D9AB4FCF6E7}" name="PF Applicability" dataDxfId="1"/>
    <tableColumn id="38" xr3:uid="{6B75A9AD-20EF-4493-AB9F-3C03640BAACC}" name="UAN Number" dataDxfId="0"/>
    <tableColumn id="40" xr3:uid="{E84BE71C-1C23-44D8-8D21-5918B9562F01}" name="Offer Letter Date"/>
    <tableColumn id="42" xr3:uid="{D5F77325-D8B6-4FDC-BD41-0DF49E6E0887}" name="Left Typ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rsc.anilgupta@gmail.com" TargetMode="External"/><Relationship Id="rId21" Type="http://schemas.openxmlformats.org/officeDocument/2006/relationships/hyperlink" Target="mailto:dhirajkumargupta678@gmail.com" TargetMode="External"/><Relationship Id="rId42" Type="http://schemas.openxmlformats.org/officeDocument/2006/relationships/hyperlink" Target="mailto:parthchavda2136@gmail.com" TargetMode="External"/><Relationship Id="rId47" Type="http://schemas.openxmlformats.org/officeDocument/2006/relationships/hyperlink" Target="mailto:rsc.kundan97@gmail.com" TargetMode="External"/><Relationship Id="rId63" Type="http://schemas.openxmlformats.org/officeDocument/2006/relationships/hyperlink" Target="mailto:rsc.deepti@gmail.com" TargetMode="External"/><Relationship Id="rId68" Type="http://schemas.openxmlformats.org/officeDocument/2006/relationships/hyperlink" Target="mailto:priyavenkataraman97@gmail.com" TargetMode="External"/><Relationship Id="rId84" Type="http://schemas.openxmlformats.org/officeDocument/2006/relationships/table" Target="../tables/table1.xml"/><Relationship Id="rId16" Type="http://schemas.openxmlformats.org/officeDocument/2006/relationships/hyperlink" Target="mailto:rsc.satyam@gmail.com" TargetMode="External"/><Relationship Id="rId11" Type="http://schemas.openxmlformats.org/officeDocument/2006/relationships/hyperlink" Target="mailto:rsc.sufiyan@gmail.com" TargetMode="External"/><Relationship Id="rId32" Type="http://schemas.openxmlformats.org/officeDocument/2006/relationships/hyperlink" Target="mailto:rsc.birva@gmail.com" TargetMode="External"/><Relationship Id="rId37" Type="http://schemas.openxmlformats.org/officeDocument/2006/relationships/hyperlink" Target="mailto:rsc.dimpal@gmail.com" TargetMode="External"/><Relationship Id="rId53" Type="http://schemas.openxmlformats.org/officeDocument/2006/relationships/hyperlink" Target="mailto:chandrayash99@gmail.com" TargetMode="External"/><Relationship Id="rId58" Type="http://schemas.openxmlformats.org/officeDocument/2006/relationships/hyperlink" Target="mailto:krisha23112@gmail.com" TargetMode="External"/><Relationship Id="rId74" Type="http://schemas.openxmlformats.org/officeDocument/2006/relationships/hyperlink" Target="mailto:praharmakwana7397@gmail.com" TargetMode="External"/><Relationship Id="rId79" Type="http://schemas.openxmlformats.org/officeDocument/2006/relationships/hyperlink" Target="mailto:suhelpatel@tnbttech.com" TargetMode="External"/><Relationship Id="rId5" Type="http://schemas.openxmlformats.org/officeDocument/2006/relationships/hyperlink" Target="mailto:rsc.yash01@gmail.com" TargetMode="External"/><Relationship Id="rId61" Type="http://schemas.openxmlformats.org/officeDocument/2006/relationships/hyperlink" Target="mailto:rsc.shobhit@gmail.com" TargetMode="External"/><Relationship Id="rId82" Type="http://schemas.openxmlformats.org/officeDocument/2006/relationships/hyperlink" Target="mailto:krishnayp1@gmail.com" TargetMode="External"/><Relationship Id="rId19" Type="http://schemas.openxmlformats.org/officeDocument/2006/relationships/hyperlink" Target="mailto:rsc.nisha@gmail.com" TargetMode="External"/><Relationship Id="rId14" Type="http://schemas.openxmlformats.org/officeDocument/2006/relationships/hyperlink" Target="mailto:dhananjay.dj616@gmail.com" TargetMode="External"/><Relationship Id="rId22" Type="http://schemas.openxmlformats.org/officeDocument/2006/relationships/hyperlink" Target="mailto:rsc.satya@gmail.com" TargetMode="External"/><Relationship Id="rId27" Type="http://schemas.openxmlformats.org/officeDocument/2006/relationships/hyperlink" Target="mailto:06rima01bhatt@gmail.com" TargetMode="External"/><Relationship Id="rId30" Type="http://schemas.openxmlformats.org/officeDocument/2006/relationships/hyperlink" Target="mailto:rsc.zalak@gmail.com" TargetMode="External"/><Relationship Id="rId35" Type="http://schemas.openxmlformats.org/officeDocument/2006/relationships/hyperlink" Target="mailto:anishkv.1608@gmail.com" TargetMode="External"/><Relationship Id="rId43" Type="http://schemas.openxmlformats.org/officeDocument/2006/relationships/hyperlink" Target="mailto:rsc.hitendra@gmail.com" TargetMode="External"/><Relationship Id="rId48" Type="http://schemas.openxmlformats.org/officeDocument/2006/relationships/hyperlink" Target="mailto:rajrishav543256@gmail.com" TargetMode="External"/><Relationship Id="rId56" Type="http://schemas.openxmlformats.org/officeDocument/2006/relationships/hyperlink" Target="mailto:heetrana1782001@gmail.com" TargetMode="External"/><Relationship Id="rId64" Type="http://schemas.openxmlformats.org/officeDocument/2006/relationships/hyperlink" Target="mailto:rsc.deepti@gmail.com" TargetMode="External"/><Relationship Id="rId69" Type="http://schemas.openxmlformats.org/officeDocument/2006/relationships/hyperlink" Target="mailto:rsc.sripriya@gmail.com" TargetMode="External"/><Relationship Id="rId77" Type="http://schemas.openxmlformats.org/officeDocument/2006/relationships/hyperlink" Target="mailto:diyasavanpateldiya@gmail.com" TargetMode="External"/><Relationship Id="rId8" Type="http://schemas.openxmlformats.org/officeDocument/2006/relationships/hyperlink" Target="mailto:varunpatel@rscllp.in" TargetMode="External"/><Relationship Id="rId51" Type="http://schemas.openxmlformats.org/officeDocument/2006/relationships/hyperlink" Target="mailto:rsc.gayatri@gmail.com" TargetMode="External"/><Relationship Id="rId72" Type="http://schemas.openxmlformats.org/officeDocument/2006/relationships/hyperlink" Target="mailto:adityagohel2509@gmail.com" TargetMode="External"/><Relationship Id="rId80" Type="http://schemas.openxmlformats.org/officeDocument/2006/relationships/hyperlink" Target="mailto:suhelpatel150@gmail.com" TargetMode="External"/><Relationship Id="rId3" Type="http://schemas.openxmlformats.org/officeDocument/2006/relationships/hyperlink" Target="mailto:rsc.snehaljethava@gmail.com" TargetMode="External"/><Relationship Id="rId12" Type="http://schemas.openxmlformats.org/officeDocument/2006/relationships/hyperlink" Target="mailto:rsc.aarti@gmail.com" TargetMode="External"/><Relationship Id="rId17" Type="http://schemas.openxmlformats.org/officeDocument/2006/relationships/hyperlink" Target="mailto:rsc.vaibhavi@gmail.com" TargetMode="External"/><Relationship Id="rId25" Type="http://schemas.openxmlformats.org/officeDocument/2006/relationships/hyperlink" Target="mailto:rsc.husain@gmail.com" TargetMode="External"/><Relationship Id="rId33" Type="http://schemas.openxmlformats.org/officeDocument/2006/relationships/hyperlink" Target="mailto:rsc.rutvik@gmail.com" TargetMode="External"/><Relationship Id="rId38" Type="http://schemas.openxmlformats.org/officeDocument/2006/relationships/hyperlink" Target="mailto:dimpal.nandana121@gmail.com" TargetMode="External"/><Relationship Id="rId46" Type="http://schemas.openxmlformats.org/officeDocument/2006/relationships/hyperlink" Target="mailto:rsc.yogita@gmail.com" TargetMode="External"/><Relationship Id="rId59" Type="http://schemas.openxmlformats.org/officeDocument/2006/relationships/hyperlink" Target="mailto:rsc.ujjwal@gmail.com" TargetMode="External"/><Relationship Id="rId67" Type="http://schemas.openxmlformats.org/officeDocument/2006/relationships/hyperlink" Target="mailto:makvanayogesh1995@gmail.com" TargetMode="External"/><Relationship Id="rId20" Type="http://schemas.openxmlformats.org/officeDocument/2006/relationships/hyperlink" Target="mailto:rsc.vipulpatel@gmail.com" TargetMode="External"/><Relationship Id="rId41" Type="http://schemas.openxmlformats.org/officeDocument/2006/relationships/hyperlink" Target="mailto:parthchavda2136@gmail.com" TargetMode="External"/><Relationship Id="rId54" Type="http://schemas.openxmlformats.org/officeDocument/2006/relationships/hyperlink" Target="mailto:rsc.vipulpatel@gmail.com" TargetMode="External"/><Relationship Id="rId62" Type="http://schemas.openxmlformats.org/officeDocument/2006/relationships/hyperlink" Target="mailto:rsc.ujjwal@gmail.com" TargetMode="External"/><Relationship Id="rId70" Type="http://schemas.openxmlformats.org/officeDocument/2006/relationships/hyperlink" Target="mailto:harshkhemani98@gmail.com" TargetMode="External"/><Relationship Id="rId75" Type="http://schemas.openxmlformats.org/officeDocument/2006/relationships/hyperlink" Target="mailto:rsc.praharmakwana@gmail.com" TargetMode="External"/><Relationship Id="rId83" Type="http://schemas.openxmlformats.org/officeDocument/2006/relationships/printerSettings" Target="../printerSettings/printerSettings1.bin"/><Relationship Id="rId1" Type="http://schemas.openxmlformats.org/officeDocument/2006/relationships/hyperlink" Target="mailto:rsc.nehalvadher@gmail.com" TargetMode="External"/><Relationship Id="rId6" Type="http://schemas.openxmlformats.org/officeDocument/2006/relationships/hyperlink" Target="mailto:rsc.radhika@gmail.com" TargetMode="External"/><Relationship Id="rId15" Type="http://schemas.openxmlformats.org/officeDocument/2006/relationships/hyperlink" Target="mailto:rsc.dhanesh@gmail.com" TargetMode="External"/><Relationship Id="rId23" Type="http://schemas.openxmlformats.org/officeDocument/2006/relationships/hyperlink" Target="mailto:Shikha.thakur170@gmail.com" TargetMode="External"/><Relationship Id="rId28" Type="http://schemas.openxmlformats.org/officeDocument/2006/relationships/hyperlink" Target="mailto:svikrant88817@gmail.com" TargetMode="External"/><Relationship Id="rId36" Type="http://schemas.openxmlformats.org/officeDocument/2006/relationships/hyperlink" Target="mailto:anishkv.1608@gmail.com" TargetMode="External"/><Relationship Id="rId49" Type="http://schemas.openxmlformats.org/officeDocument/2006/relationships/hyperlink" Target="mailto:rsc1isha@gmail.com" TargetMode="External"/><Relationship Id="rId57" Type="http://schemas.openxmlformats.org/officeDocument/2006/relationships/hyperlink" Target="mailto:rsc.krisha@gmail.com" TargetMode="External"/><Relationship Id="rId10" Type="http://schemas.openxmlformats.org/officeDocument/2006/relationships/hyperlink" Target="mailto:rsc.sanket@gmail.com" TargetMode="External"/><Relationship Id="rId31" Type="http://schemas.openxmlformats.org/officeDocument/2006/relationships/hyperlink" Target="mailto:rsc.birva@gmail.com" TargetMode="External"/><Relationship Id="rId44" Type="http://schemas.openxmlformats.org/officeDocument/2006/relationships/hyperlink" Target="mailto:urmilam810@gmail.com" TargetMode="External"/><Relationship Id="rId52" Type="http://schemas.openxmlformats.org/officeDocument/2006/relationships/hyperlink" Target="mailto:nagarajmh@gmail.com" TargetMode="External"/><Relationship Id="rId60" Type="http://schemas.openxmlformats.org/officeDocument/2006/relationships/hyperlink" Target="mailto:rsc.shobhit@gmail.com" TargetMode="External"/><Relationship Id="rId65" Type="http://schemas.openxmlformats.org/officeDocument/2006/relationships/hyperlink" Target="mailto:rsc.dayashankar@gmail.com" TargetMode="External"/><Relationship Id="rId73" Type="http://schemas.openxmlformats.org/officeDocument/2006/relationships/hyperlink" Target="mailto:rsc.adityagohel@gmail.com" TargetMode="External"/><Relationship Id="rId78" Type="http://schemas.openxmlformats.org/officeDocument/2006/relationships/hyperlink" Target="mailto:diyasavanpateldiya@gmail.com" TargetMode="External"/><Relationship Id="rId81" Type="http://schemas.openxmlformats.org/officeDocument/2006/relationships/hyperlink" Target="mailto:krishnayp1@gmail.com" TargetMode="External"/><Relationship Id="rId4" Type="http://schemas.openxmlformats.org/officeDocument/2006/relationships/hyperlink" Target="mailto:rsc.bhumi@gmail.com" TargetMode="External"/><Relationship Id="rId9" Type="http://schemas.openxmlformats.org/officeDocument/2006/relationships/hyperlink" Target="mailto:rsc.nisha@gmail.com" TargetMode="External"/><Relationship Id="rId13" Type="http://schemas.openxmlformats.org/officeDocument/2006/relationships/hyperlink" Target="mailto:mukundpasari@rscllp.in" TargetMode="External"/><Relationship Id="rId18" Type="http://schemas.openxmlformats.org/officeDocument/2006/relationships/hyperlink" Target="mailto:sapjig2009@gmail.com" TargetMode="External"/><Relationship Id="rId39" Type="http://schemas.openxmlformats.org/officeDocument/2006/relationships/hyperlink" Target="mailto:moinkhan3587@gmail.com" TargetMode="External"/><Relationship Id="rId34" Type="http://schemas.openxmlformats.org/officeDocument/2006/relationships/hyperlink" Target="mailto:rutvik.khandhar2303@gmail.com" TargetMode="External"/><Relationship Id="rId50" Type="http://schemas.openxmlformats.org/officeDocument/2006/relationships/hyperlink" Target="mailto:dhruvbhayani@rscllp.in" TargetMode="External"/><Relationship Id="rId55" Type="http://schemas.openxmlformats.org/officeDocument/2006/relationships/hyperlink" Target="mailto:rsc.gayatri@gmail.com" TargetMode="External"/><Relationship Id="rId76" Type="http://schemas.openxmlformats.org/officeDocument/2006/relationships/hyperlink" Target="mailto:rsc.alekhya@gmail.com" TargetMode="External"/><Relationship Id="rId7" Type="http://schemas.openxmlformats.org/officeDocument/2006/relationships/hyperlink" Target="mailto:jobs@rscllp.in" TargetMode="External"/><Relationship Id="rId71" Type="http://schemas.openxmlformats.org/officeDocument/2006/relationships/hyperlink" Target="mailto:rsc.harshadkhemani@gmail.com" TargetMode="External"/><Relationship Id="rId2" Type="http://schemas.openxmlformats.org/officeDocument/2006/relationships/hyperlink" Target="mailto:rsc.dhartiparmar@gmail.com" TargetMode="External"/><Relationship Id="rId29" Type="http://schemas.openxmlformats.org/officeDocument/2006/relationships/hyperlink" Target="mailto:06rima01bhatt@gmail.com" TargetMode="External"/><Relationship Id="rId24" Type="http://schemas.openxmlformats.org/officeDocument/2006/relationships/hyperlink" Target="mailto:rashi123.rscllp@gmail.com" TargetMode="External"/><Relationship Id="rId40" Type="http://schemas.openxmlformats.org/officeDocument/2006/relationships/hyperlink" Target="mailto:rsc.moinkhan@gmail.com" TargetMode="External"/><Relationship Id="rId45" Type="http://schemas.openxmlformats.org/officeDocument/2006/relationships/hyperlink" Target="mailto:ahujakhushboo135@gmail.com" TargetMode="External"/><Relationship Id="rId66" Type="http://schemas.openxmlformats.org/officeDocument/2006/relationships/hyperlink" Target="mailto:rsc.dayashank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8ABDD-3698-45DC-B4E4-1EB26AE92380}">
  <dimension ref="A1:AF112"/>
  <sheetViews>
    <sheetView tabSelected="1" topLeftCell="AD1" zoomScaleNormal="100" workbookViewId="0">
      <pane ySplit="1" topLeftCell="A2" activePane="bottomLeft" state="frozen"/>
      <selection pane="bottomLeft" activeCell="AH1" sqref="AH1:AH1048576"/>
    </sheetView>
  </sheetViews>
  <sheetFormatPr defaultColWidth="14.44140625" defaultRowHeight="15" customHeight="1" x14ac:dyDescent="0.3"/>
  <cols>
    <col min="1" max="1" width="13.44140625" customWidth="1"/>
    <col min="2" max="2" width="11" customWidth="1"/>
    <col min="3" max="3" width="35.109375" style="28" customWidth="1"/>
    <col min="4" max="4" width="38.109375" customWidth="1"/>
    <col min="5" max="6" width="14.6640625" customWidth="1"/>
    <col min="7" max="7" width="22" customWidth="1"/>
    <col min="8" max="8" width="23.33203125" customWidth="1"/>
    <col min="9" max="9" width="13" customWidth="1"/>
    <col min="10" max="10" width="13.44140625" customWidth="1"/>
    <col min="11" max="11" width="21" customWidth="1"/>
    <col min="12" max="12" width="19.88671875" customWidth="1"/>
    <col min="13" max="13" width="19.88671875" style="17" customWidth="1"/>
    <col min="14" max="14" width="18" customWidth="1"/>
    <col min="15" max="15" width="12.33203125" customWidth="1"/>
    <col min="16" max="16" width="14.44140625" style="18" customWidth="1"/>
    <col min="17" max="17" width="24.88671875" customWidth="1"/>
    <col min="18" max="18" width="29.5546875" customWidth="1"/>
    <col min="19" max="19" width="29" customWidth="1"/>
    <col min="20" max="20" width="25.6640625" customWidth="1"/>
    <col min="21" max="21" width="29" customWidth="1"/>
    <col min="22" max="22" width="20.88671875" customWidth="1"/>
    <col min="23" max="23" width="24.5546875" customWidth="1"/>
    <col min="24" max="24" width="14.88671875" customWidth="1"/>
    <col min="25" max="25" width="33.33203125" customWidth="1"/>
    <col min="26" max="26" width="74.109375" customWidth="1"/>
    <col min="27" max="27" width="73.5546875" customWidth="1"/>
    <col min="28" max="28" width="7.6640625" customWidth="1"/>
    <col min="29" max="29" width="31.6640625" customWidth="1"/>
    <col min="30" max="30" width="20.109375" customWidth="1"/>
    <col min="31" max="31" width="16.109375" customWidth="1"/>
    <col min="32" max="32" width="19" customWidth="1"/>
    <col min="33" max="33" width="17.33203125" bestFit="1" customWidth="1"/>
  </cols>
  <sheetData>
    <row r="1" spans="1:32" ht="31.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2" t="s">
        <v>11</v>
      </c>
      <c r="M1" s="2" t="s">
        <v>12</v>
      </c>
      <c r="N1" s="4" t="s">
        <v>13</v>
      </c>
      <c r="O1" s="5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1" t="s">
        <v>19</v>
      </c>
      <c r="U1" s="6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31</v>
      </c>
    </row>
    <row r="2" spans="1:32" ht="14.25" customHeight="1" x14ac:dyDescent="0.3">
      <c r="A2" s="7">
        <v>201718001</v>
      </c>
      <c r="B2" s="7">
        <f>IF(EEmaster[[#This Row],[Firm]]="Ashil Shah &amp; Associates",COUNTIFS($Y$2:AB2,AB2)-17,COUNTIFS($Y$2:AB2,AB2))</f>
        <v>1</v>
      </c>
      <c r="C2" s="8" t="s">
        <v>32</v>
      </c>
      <c r="D2" s="7" t="s">
        <v>33</v>
      </c>
      <c r="E2" s="9" t="s">
        <v>34</v>
      </c>
      <c r="F2" s="7" t="s">
        <v>35</v>
      </c>
      <c r="G2" s="7" t="s">
        <v>36</v>
      </c>
      <c r="H2" s="7" t="s">
        <v>37</v>
      </c>
      <c r="I2" s="7"/>
      <c r="J2" s="7">
        <v>9825308928</v>
      </c>
      <c r="K2" s="7" t="s">
        <v>38</v>
      </c>
      <c r="L2" s="7" t="s">
        <v>39</v>
      </c>
      <c r="M2" s="7" t="s">
        <v>40</v>
      </c>
      <c r="N2" s="10">
        <v>29866</v>
      </c>
      <c r="O2" s="11">
        <v>43088</v>
      </c>
      <c r="P2" s="7" t="s">
        <v>41</v>
      </c>
      <c r="Q2" s="7" t="s">
        <v>42</v>
      </c>
      <c r="R2" s="7" t="s">
        <v>43</v>
      </c>
      <c r="S2" s="7"/>
      <c r="T2" s="7" t="s">
        <v>44</v>
      </c>
      <c r="U2" s="12" t="s">
        <v>45</v>
      </c>
      <c r="V2" s="7" t="s">
        <v>46</v>
      </c>
      <c r="W2" s="7" t="s">
        <v>47</v>
      </c>
      <c r="X2" s="7" t="s">
        <v>48</v>
      </c>
      <c r="Y2" s="7" t="s">
        <v>49</v>
      </c>
      <c r="Z2" s="7" t="s">
        <v>50</v>
      </c>
      <c r="AA2" s="7" t="s">
        <v>47</v>
      </c>
      <c r="AB2" s="13" t="s">
        <v>51</v>
      </c>
      <c r="AC2" s="7" t="s">
        <v>50</v>
      </c>
      <c r="AD2" s="13" t="s">
        <v>52</v>
      </c>
      <c r="AE2" s="13"/>
      <c r="AF2" t="s">
        <v>53</v>
      </c>
    </row>
    <row r="3" spans="1:32" ht="14.25" customHeight="1" x14ac:dyDescent="0.3">
      <c r="A3" s="7">
        <v>201820001</v>
      </c>
      <c r="B3" s="7">
        <f>IF(EEmaster[[#This Row],[Firm]]="Ashil Shah &amp; Associates",COUNTIFS($Y$2:AB3,AB3)-17,COUNTIFS($Y$2:AB3,AB3))</f>
        <v>-16</v>
      </c>
      <c r="C3" s="8" t="s">
        <v>55</v>
      </c>
      <c r="D3" s="7" t="s">
        <v>33</v>
      </c>
      <c r="E3" s="9" t="s">
        <v>34</v>
      </c>
      <c r="F3" s="7" t="s">
        <v>32</v>
      </c>
      <c r="G3" s="7" t="s">
        <v>32</v>
      </c>
      <c r="H3" s="7" t="s">
        <v>37</v>
      </c>
      <c r="I3" s="7" t="s">
        <v>56</v>
      </c>
      <c r="J3" s="7">
        <v>9974717041</v>
      </c>
      <c r="K3" s="7" t="s">
        <v>57</v>
      </c>
      <c r="L3" s="7" t="s">
        <v>39</v>
      </c>
      <c r="M3" s="7" t="s">
        <v>40</v>
      </c>
      <c r="N3" s="10">
        <v>35021</v>
      </c>
      <c r="O3" s="11">
        <v>43424</v>
      </c>
      <c r="P3" s="7" t="s">
        <v>58</v>
      </c>
      <c r="Q3" s="7" t="s">
        <v>59</v>
      </c>
      <c r="R3" s="7" t="s">
        <v>43</v>
      </c>
      <c r="S3" s="7"/>
      <c r="T3" s="7" t="s">
        <v>60</v>
      </c>
      <c r="U3" s="12" t="s">
        <v>61</v>
      </c>
      <c r="V3" s="7" t="s">
        <v>62</v>
      </c>
      <c r="W3" s="7" t="s">
        <v>63</v>
      </c>
      <c r="X3" s="7" t="s">
        <v>64</v>
      </c>
      <c r="Y3" s="7" t="s">
        <v>65</v>
      </c>
      <c r="Z3" s="7" t="s">
        <v>50</v>
      </c>
      <c r="AA3" s="7" t="s">
        <v>66</v>
      </c>
      <c r="AB3" s="13" t="s">
        <v>67</v>
      </c>
      <c r="AC3" s="7" t="s">
        <v>50</v>
      </c>
      <c r="AD3" s="13">
        <v>101905119886</v>
      </c>
      <c r="AE3" s="13"/>
    </row>
    <row r="4" spans="1:32" ht="14.25" customHeight="1" x14ac:dyDescent="0.3">
      <c r="A4" s="7">
        <v>201818002</v>
      </c>
      <c r="B4" s="7">
        <f>IF(EEmaster[[#This Row],[Firm]]="Ashil Shah &amp; Associates",COUNTIFS($Y$2:AB4,AB4)-17,COUNTIFS($Y$2:AB4,AB4))</f>
        <v>2</v>
      </c>
      <c r="C4" s="8" t="s">
        <v>69</v>
      </c>
      <c r="D4" s="7" t="s">
        <v>33</v>
      </c>
      <c r="E4" s="9" t="s">
        <v>34</v>
      </c>
      <c r="F4" s="7" t="s">
        <v>70</v>
      </c>
      <c r="G4" s="7" t="s">
        <v>32</v>
      </c>
      <c r="H4" s="7" t="s">
        <v>37</v>
      </c>
      <c r="I4" s="7" t="s">
        <v>56</v>
      </c>
      <c r="J4" s="7">
        <v>9429941361</v>
      </c>
      <c r="K4" s="7" t="s">
        <v>71</v>
      </c>
      <c r="L4" s="7" t="s">
        <v>39</v>
      </c>
      <c r="M4" s="7" t="s">
        <v>40</v>
      </c>
      <c r="N4" s="10">
        <v>36830</v>
      </c>
      <c r="O4" s="11">
        <v>45712</v>
      </c>
      <c r="P4" s="7" t="s">
        <v>72</v>
      </c>
      <c r="Q4" s="7" t="s">
        <v>68</v>
      </c>
      <c r="R4" s="7" t="s">
        <v>43</v>
      </c>
      <c r="S4" s="7"/>
      <c r="T4" s="7" t="s">
        <v>73</v>
      </c>
      <c r="U4" s="12" t="s">
        <v>74</v>
      </c>
      <c r="V4" s="7" t="s">
        <v>75</v>
      </c>
      <c r="W4" s="7" t="s">
        <v>76</v>
      </c>
      <c r="X4" s="7" t="s">
        <v>77</v>
      </c>
      <c r="Y4" s="7" t="s">
        <v>78</v>
      </c>
      <c r="Z4" s="7" t="s">
        <v>79</v>
      </c>
      <c r="AA4" s="7" t="s">
        <v>80</v>
      </c>
      <c r="AB4" s="13" t="s">
        <v>51</v>
      </c>
      <c r="AC4" s="7" t="s">
        <v>50</v>
      </c>
      <c r="AD4" s="7" t="s">
        <v>52</v>
      </c>
      <c r="AE4" s="11">
        <v>43452</v>
      </c>
    </row>
    <row r="5" spans="1:32" ht="14.25" customHeight="1" x14ac:dyDescent="0.3">
      <c r="A5" s="7">
        <v>201918003</v>
      </c>
      <c r="B5" s="7">
        <f>IF(EEmaster[[#This Row],[Firm]]="Ashil Shah &amp; Associates",COUNTIFS($Y$2:AB5,AB5)-17,COUNTIFS($Y$2:AB5,AB5))</f>
        <v>3</v>
      </c>
      <c r="C5" s="8" t="s">
        <v>82</v>
      </c>
      <c r="D5" s="7" t="s">
        <v>33</v>
      </c>
      <c r="E5" s="9" t="s">
        <v>34</v>
      </c>
      <c r="F5" s="13" t="s">
        <v>36</v>
      </c>
      <c r="G5" s="13" t="s">
        <v>36</v>
      </c>
      <c r="H5" s="13" t="s">
        <v>83</v>
      </c>
      <c r="I5" s="13"/>
      <c r="J5" s="13"/>
      <c r="K5" s="7"/>
      <c r="L5" s="13" t="s">
        <v>84</v>
      </c>
      <c r="M5" s="13" t="s">
        <v>40</v>
      </c>
      <c r="N5" s="14" t="s">
        <v>85</v>
      </c>
      <c r="O5" s="11" t="e">
        <f>VLOOKUP(ROW(),[1]!EEmaster[[#All],[Column1]:[Join Date]],22,0)</f>
        <v>#REF!</v>
      </c>
      <c r="P5" s="13"/>
      <c r="Q5" s="7" t="s">
        <v>59</v>
      </c>
      <c r="R5" s="13" t="s">
        <v>43</v>
      </c>
      <c r="S5" s="13"/>
      <c r="T5" s="13" t="s">
        <v>73</v>
      </c>
      <c r="U5" s="12" t="s">
        <v>86</v>
      </c>
      <c r="V5" s="7" t="s">
        <v>87</v>
      </c>
      <c r="W5" s="13"/>
      <c r="X5" s="13"/>
      <c r="Y5" s="13"/>
      <c r="Z5" s="13"/>
      <c r="AA5" s="7" t="s">
        <v>88</v>
      </c>
      <c r="AB5" s="13" t="s">
        <v>51</v>
      </c>
      <c r="AC5" s="7" t="s">
        <v>50</v>
      </c>
      <c r="AD5" s="13" t="s">
        <v>52</v>
      </c>
      <c r="AE5" s="13"/>
    </row>
    <row r="6" spans="1:32" ht="14.25" customHeight="1" x14ac:dyDescent="0.3">
      <c r="A6" s="7">
        <v>201918004</v>
      </c>
      <c r="B6" s="7">
        <f>IF(EEmaster[[#This Row],[Firm]]="Ashil Shah &amp; Associates",COUNTIFS($Y$2:AB6,AB6)-17,COUNTIFS($Y$2:AB6,AB6))</f>
        <v>4</v>
      </c>
      <c r="C6" s="8" t="s">
        <v>89</v>
      </c>
      <c r="D6" s="7" t="s">
        <v>33</v>
      </c>
      <c r="E6" s="9" t="s">
        <v>34</v>
      </c>
      <c r="F6" s="13" t="s">
        <v>36</v>
      </c>
      <c r="G6" s="13" t="s">
        <v>36</v>
      </c>
      <c r="H6" s="13" t="s">
        <v>83</v>
      </c>
      <c r="I6" s="13"/>
      <c r="J6" s="13"/>
      <c r="K6" s="7" t="s">
        <v>90</v>
      </c>
      <c r="L6" s="13" t="s">
        <v>84</v>
      </c>
      <c r="M6" s="13" t="s">
        <v>40</v>
      </c>
      <c r="N6" s="14" t="s">
        <v>85</v>
      </c>
      <c r="O6" s="11" t="e">
        <f>VLOOKUP(ROW(),[1]!EEmaster[[#All],[Column1]:[Join Date]],22,0)</f>
        <v>#REF!</v>
      </c>
      <c r="P6" s="13"/>
      <c r="Q6" s="7" t="s">
        <v>68</v>
      </c>
      <c r="R6" s="13" t="s">
        <v>43</v>
      </c>
      <c r="S6" s="13"/>
      <c r="T6" s="13" t="s">
        <v>91</v>
      </c>
      <c r="U6" s="12" t="s">
        <v>92</v>
      </c>
      <c r="V6" s="7" t="s">
        <v>93</v>
      </c>
      <c r="W6" s="13"/>
      <c r="X6" s="13"/>
      <c r="Y6" s="13"/>
      <c r="Z6" s="13"/>
      <c r="AA6" s="7" t="s">
        <v>94</v>
      </c>
      <c r="AB6" s="13" t="s">
        <v>51</v>
      </c>
      <c r="AC6" s="7" t="s">
        <v>50</v>
      </c>
      <c r="AD6" s="13" t="s">
        <v>52</v>
      </c>
      <c r="AE6" s="13"/>
    </row>
    <row r="7" spans="1:32" ht="14.25" customHeight="1" x14ac:dyDescent="0.3">
      <c r="A7" s="7">
        <v>201918005</v>
      </c>
      <c r="B7" s="7">
        <f>IF(EEmaster[[#This Row],[Firm]]="Ashil Shah &amp; Associates",COUNTIFS($Y$2:AB7,AB7)-17,COUNTIFS($Y$2:AB7,AB7))</f>
        <v>5</v>
      </c>
      <c r="C7" s="8" t="s">
        <v>95</v>
      </c>
      <c r="D7" s="7" t="s">
        <v>33</v>
      </c>
      <c r="E7" s="9" t="s">
        <v>34</v>
      </c>
      <c r="F7" s="13" t="s">
        <v>36</v>
      </c>
      <c r="G7" s="13" t="s">
        <v>36</v>
      </c>
      <c r="H7" s="13" t="s">
        <v>83</v>
      </c>
      <c r="I7" s="13"/>
      <c r="J7" s="13"/>
      <c r="K7" s="7"/>
      <c r="L7" s="13" t="s">
        <v>84</v>
      </c>
      <c r="M7" s="13" t="s">
        <v>96</v>
      </c>
      <c r="N7" s="14" t="s">
        <v>85</v>
      </c>
      <c r="O7" s="11" t="e">
        <f>VLOOKUP(ROW(),[1]!EEmaster[[#All],[Column1]:[Join Date]],22,0)</f>
        <v>#REF!</v>
      </c>
      <c r="P7" s="13"/>
      <c r="Q7" s="7" t="s">
        <v>68</v>
      </c>
      <c r="R7" s="13" t="s">
        <v>43</v>
      </c>
      <c r="S7" s="13"/>
      <c r="T7" t="s">
        <v>97</v>
      </c>
      <c r="U7" s="12" t="s">
        <v>98</v>
      </c>
      <c r="V7" s="7" t="s">
        <v>99</v>
      </c>
      <c r="W7" s="13"/>
      <c r="X7" s="13"/>
      <c r="Y7" s="13"/>
      <c r="Z7" s="13"/>
      <c r="AA7" s="7" t="s">
        <v>94</v>
      </c>
      <c r="AB7" s="13" t="s">
        <v>51</v>
      </c>
      <c r="AC7" s="7" t="s">
        <v>50</v>
      </c>
      <c r="AD7" s="13" t="s">
        <v>52</v>
      </c>
      <c r="AE7" s="13"/>
    </row>
    <row r="8" spans="1:32" ht="14.25" customHeight="1" x14ac:dyDescent="0.3">
      <c r="A8" s="7">
        <v>202018006</v>
      </c>
      <c r="B8" s="7">
        <f>IF(EEmaster[[#This Row],[Firm]]="Ashil Shah &amp; Associates",COUNTIFS($Y$2:AB8,AB8)-17,COUNTIFS($Y$2:AB8,AB8))</f>
        <v>6</v>
      </c>
      <c r="C8" s="8" t="s">
        <v>100</v>
      </c>
      <c r="D8" s="7" t="s">
        <v>33</v>
      </c>
      <c r="E8" s="9" t="s">
        <v>34</v>
      </c>
      <c r="H8" s="7" t="s">
        <v>101</v>
      </c>
      <c r="I8" s="7"/>
      <c r="J8" s="7">
        <v>7383164119</v>
      </c>
      <c r="K8" s="7" t="s">
        <v>102</v>
      </c>
      <c r="L8" s="7" t="s">
        <v>84</v>
      </c>
      <c r="M8" s="7" t="s">
        <v>40</v>
      </c>
      <c r="N8" s="10">
        <v>35623</v>
      </c>
      <c r="O8" s="11">
        <v>44166</v>
      </c>
      <c r="P8" s="7" t="s">
        <v>72</v>
      </c>
      <c r="Q8" s="7" t="s">
        <v>59</v>
      </c>
      <c r="R8" s="7" t="s">
        <v>43</v>
      </c>
      <c r="S8" s="7"/>
      <c r="T8" s="7" t="s">
        <v>103</v>
      </c>
      <c r="U8" s="12" t="s">
        <v>104</v>
      </c>
      <c r="V8" s="7" t="s">
        <v>105</v>
      </c>
      <c r="W8" s="7" t="s">
        <v>106</v>
      </c>
      <c r="X8" s="7" t="s">
        <v>107</v>
      </c>
      <c r="Y8" s="7" t="s">
        <v>108</v>
      </c>
      <c r="Z8" s="7" t="s">
        <v>50</v>
      </c>
      <c r="AA8" s="7" t="s">
        <v>106</v>
      </c>
      <c r="AB8" s="13" t="s">
        <v>51</v>
      </c>
      <c r="AC8" s="7" t="s">
        <v>79</v>
      </c>
      <c r="AD8" s="13">
        <v>101517202928</v>
      </c>
      <c r="AE8" s="13"/>
    </row>
    <row r="9" spans="1:32" ht="14.25" customHeight="1" x14ac:dyDescent="0.3">
      <c r="A9" s="7">
        <v>202118007</v>
      </c>
      <c r="B9" s="7">
        <f>IF(EEmaster[[#This Row],[Firm]]="Ashil Shah &amp; Associates",COUNTIFS($Y$2:AB9,AB9)-17,COUNTIFS($Y$2:AB9,AB9))</f>
        <v>7</v>
      </c>
      <c r="C9" s="8" t="s">
        <v>109</v>
      </c>
      <c r="D9" s="7" t="s">
        <v>33</v>
      </c>
      <c r="E9" s="9" t="s">
        <v>34</v>
      </c>
      <c r="F9" s="7" t="s">
        <v>110</v>
      </c>
      <c r="G9" s="7" t="s">
        <v>111</v>
      </c>
      <c r="H9" s="7" t="s">
        <v>37</v>
      </c>
      <c r="I9" s="7" t="s">
        <v>56</v>
      </c>
      <c r="J9" s="7">
        <v>7984052039</v>
      </c>
      <c r="K9" s="7" t="s">
        <v>112</v>
      </c>
      <c r="L9" s="7" t="s">
        <v>39</v>
      </c>
      <c r="M9" s="7" t="s">
        <v>96</v>
      </c>
      <c r="N9" s="10">
        <v>37102</v>
      </c>
      <c r="O9" s="11">
        <v>44459</v>
      </c>
      <c r="P9" s="7" t="s">
        <v>113</v>
      </c>
      <c r="Q9" s="7" t="s">
        <v>59</v>
      </c>
      <c r="R9" s="7" t="s">
        <v>43</v>
      </c>
      <c r="S9" s="7"/>
      <c r="T9" s="7" t="s">
        <v>103</v>
      </c>
      <c r="U9" s="12" t="s">
        <v>114</v>
      </c>
      <c r="V9" s="7" t="s">
        <v>75</v>
      </c>
      <c r="W9" s="7" t="s">
        <v>115</v>
      </c>
      <c r="X9" s="7" t="s">
        <v>116</v>
      </c>
      <c r="Y9" s="7" t="s">
        <v>117</v>
      </c>
      <c r="Z9" s="7" t="s">
        <v>50</v>
      </c>
      <c r="AA9" s="7" t="s">
        <v>115</v>
      </c>
      <c r="AB9" s="13" t="s">
        <v>51</v>
      </c>
      <c r="AC9" s="7" t="s">
        <v>50</v>
      </c>
      <c r="AD9" s="13" t="s">
        <v>52</v>
      </c>
      <c r="AE9" s="13"/>
    </row>
    <row r="10" spans="1:32" ht="14.25" customHeight="1" x14ac:dyDescent="0.3">
      <c r="A10" s="7">
        <v>202118008</v>
      </c>
      <c r="B10" s="7">
        <f>IF(EEmaster[[#This Row],[Firm]]="Ashil Shah &amp; Associates",COUNTIFS($Y$2:AB10,AB10)-17,COUNTIFS($Y$2:AB10,AB10))</f>
        <v>8</v>
      </c>
      <c r="C10" s="8" t="s">
        <v>118</v>
      </c>
      <c r="D10" s="7" t="s">
        <v>33</v>
      </c>
      <c r="E10" s="9" t="s">
        <v>34</v>
      </c>
      <c r="F10" s="7" t="s">
        <v>32</v>
      </c>
      <c r="G10" s="7" t="s">
        <v>119</v>
      </c>
      <c r="H10" s="7" t="s">
        <v>37</v>
      </c>
      <c r="I10" s="7" t="s">
        <v>120</v>
      </c>
      <c r="J10" s="7">
        <v>7383688194</v>
      </c>
      <c r="K10" s="7" t="s">
        <v>121</v>
      </c>
      <c r="L10" s="7" t="s">
        <v>84</v>
      </c>
      <c r="M10" s="7" t="s">
        <v>40</v>
      </c>
      <c r="N10" s="10">
        <v>37380</v>
      </c>
      <c r="O10" s="11">
        <v>44499</v>
      </c>
      <c r="P10" s="7" t="s">
        <v>122</v>
      </c>
      <c r="Q10" s="7" t="s">
        <v>59</v>
      </c>
      <c r="R10" s="7" t="s">
        <v>43</v>
      </c>
      <c r="S10" s="7" t="s">
        <v>123</v>
      </c>
      <c r="T10" s="7" t="s">
        <v>124</v>
      </c>
      <c r="U10" s="12" t="s">
        <v>125</v>
      </c>
      <c r="V10" s="7" t="s">
        <v>126</v>
      </c>
      <c r="W10" s="7" t="s">
        <v>127</v>
      </c>
      <c r="X10" s="7" t="s">
        <v>128</v>
      </c>
      <c r="Y10" s="7" t="s">
        <v>129</v>
      </c>
      <c r="Z10" s="7" t="s">
        <v>50</v>
      </c>
      <c r="AA10" s="7" t="s">
        <v>130</v>
      </c>
      <c r="AB10" s="13" t="s">
        <v>51</v>
      </c>
      <c r="AC10" s="7" t="s">
        <v>50</v>
      </c>
      <c r="AD10" s="13" t="s">
        <v>52</v>
      </c>
      <c r="AE10" s="13"/>
    </row>
    <row r="11" spans="1:32" ht="14.25" customHeight="1" x14ac:dyDescent="0.3">
      <c r="A11" s="7">
        <v>202218009</v>
      </c>
      <c r="B11" s="7">
        <f>IF(EEmaster[[#This Row],[Firm]]="Ashil Shah &amp; Associates",COUNTIFS($Y$2:AB11,AB11)-17,COUNTIFS($Y$2:AB11,AB11))</f>
        <v>9</v>
      </c>
      <c r="C11" s="8" t="s">
        <v>131</v>
      </c>
      <c r="D11" s="7" t="s">
        <v>33</v>
      </c>
      <c r="E11" s="9" t="s">
        <v>34</v>
      </c>
      <c r="F11" s="7" t="s">
        <v>32</v>
      </c>
      <c r="G11" s="7" t="s">
        <v>119</v>
      </c>
      <c r="H11" s="7" t="s">
        <v>37</v>
      </c>
      <c r="I11" s="7" t="s">
        <v>120</v>
      </c>
      <c r="J11" s="7">
        <v>9106941673</v>
      </c>
      <c r="K11" s="7" t="s">
        <v>132</v>
      </c>
      <c r="L11" s="7" t="s">
        <v>39</v>
      </c>
      <c r="M11" s="7" t="s">
        <v>96</v>
      </c>
      <c r="N11" s="10">
        <v>36559</v>
      </c>
      <c r="O11" s="11">
        <v>44630</v>
      </c>
      <c r="P11" s="7" t="s">
        <v>133</v>
      </c>
      <c r="Q11" s="7" t="s">
        <v>59</v>
      </c>
      <c r="R11" s="7" t="s">
        <v>43</v>
      </c>
      <c r="S11" s="7"/>
      <c r="T11" s="7" t="s">
        <v>134</v>
      </c>
      <c r="U11" s="12" t="s">
        <v>135</v>
      </c>
      <c r="V11" s="7" t="s">
        <v>136</v>
      </c>
      <c r="W11" s="7" t="s">
        <v>137</v>
      </c>
      <c r="X11" s="7" t="s">
        <v>138</v>
      </c>
      <c r="Y11" s="7" t="s">
        <v>139</v>
      </c>
      <c r="Z11" s="7" t="s">
        <v>50</v>
      </c>
      <c r="AA11" s="7" t="s">
        <v>137</v>
      </c>
      <c r="AB11" s="13" t="s">
        <v>51</v>
      </c>
      <c r="AC11" s="7" t="s">
        <v>50</v>
      </c>
      <c r="AD11" s="13" t="s">
        <v>52</v>
      </c>
      <c r="AE11" s="13"/>
    </row>
    <row r="12" spans="1:32" ht="14.25" customHeight="1" x14ac:dyDescent="0.3">
      <c r="A12" s="7">
        <v>202218010</v>
      </c>
      <c r="B12" s="7">
        <f>IF(EEmaster[[#This Row],[Firm]]="Ashil Shah &amp; Associates",COUNTIFS($Y$2:AB12,AB12)-17,COUNTIFS($Y$2:AB12,AB12))</f>
        <v>10</v>
      </c>
      <c r="C12" s="8" t="s">
        <v>140</v>
      </c>
      <c r="D12" s="7" t="s">
        <v>33</v>
      </c>
      <c r="E12" s="9" t="s">
        <v>34</v>
      </c>
      <c r="F12" s="7" t="s">
        <v>36</v>
      </c>
      <c r="G12" s="7" t="s">
        <v>110</v>
      </c>
      <c r="H12" s="7" t="s">
        <v>83</v>
      </c>
      <c r="I12" s="7"/>
      <c r="J12" s="7">
        <v>9978946223</v>
      </c>
      <c r="K12" s="7" t="s">
        <v>141</v>
      </c>
      <c r="L12" s="7" t="s">
        <v>84</v>
      </c>
      <c r="M12" s="7" t="s">
        <v>96</v>
      </c>
      <c r="N12" s="10">
        <v>32848</v>
      </c>
      <c r="O12" s="11">
        <v>44661</v>
      </c>
      <c r="P12" s="7" t="s">
        <v>72</v>
      </c>
      <c r="Q12" s="7" t="s">
        <v>6</v>
      </c>
      <c r="R12" s="7" t="s">
        <v>43</v>
      </c>
      <c r="S12" s="7"/>
      <c r="T12" s="7" t="s">
        <v>142</v>
      </c>
      <c r="U12" s="12" t="s">
        <v>143</v>
      </c>
      <c r="V12" s="7" t="s">
        <v>144</v>
      </c>
      <c r="W12" s="15" t="s">
        <v>145</v>
      </c>
      <c r="X12" s="7" t="s">
        <v>146</v>
      </c>
      <c r="Y12" s="7" t="s">
        <v>147</v>
      </c>
      <c r="Z12" s="7" t="s">
        <v>50</v>
      </c>
      <c r="AA12" s="7" t="s">
        <v>145</v>
      </c>
      <c r="AB12" s="13" t="s">
        <v>51</v>
      </c>
      <c r="AC12" s="7" t="s">
        <v>50</v>
      </c>
      <c r="AD12" s="13" t="s">
        <v>52</v>
      </c>
      <c r="AE12" s="13"/>
    </row>
    <row r="13" spans="1:32" ht="14.25" customHeight="1" x14ac:dyDescent="0.3">
      <c r="A13" s="7">
        <v>202218011</v>
      </c>
      <c r="B13" s="7">
        <f>IF(EEmaster[[#This Row],[Firm]]="Ashil Shah &amp; Associates",COUNTIFS($Y$2:AB13,AB13)-17,COUNTIFS($Y$2:AB13,AB13))</f>
        <v>11</v>
      </c>
      <c r="C13" s="8" t="s">
        <v>149</v>
      </c>
      <c r="D13" s="7" t="s">
        <v>33</v>
      </c>
      <c r="E13" s="9" t="s">
        <v>34</v>
      </c>
      <c r="F13" s="7" t="s">
        <v>110</v>
      </c>
      <c r="G13" s="7" t="s">
        <v>140</v>
      </c>
      <c r="H13" s="7" t="s">
        <v>37</v>
      </c>
      <c r="I13" s="7" t="s">
        <v>56</v>
      </c>
      <c r="J13" s="7">
        <v>9737706953</v>
      </c>
      <c r="K13" s="7" t="s">
        <v>150</v>
      </c>
      <c r="L13" s="7" t="s">
        <v>39</v>
      </c>
      <c r="M13" s="7" t="s">
        <v>96</v>
      </c>
      <c r="N13" s="10">
        <v>36503</v>
      </c>
      <c r="O13" s="11">
        <v>44837</v>
      </c>
      <c r="P13" s="7" t="s">
        <v>72</v>
      </c>
      <c r="Q13" s="7" t="s">
        <v>59</v>
      </c>
      <c r="R13" s="7" t="s">
        <v>43</v>
      </c>
      <c r="S13" s="7"/>
      <c r="T13" s="7" t="s">
        <v>151</v>
      </c>
      <c r="U13" s="12" t="s">
        <v>152</v>
      </c>
      <c r="V13" s="7" t="s">
        <v>136</v>
      </c>
      <c r="W13" s="7" t="s">
        <v>153</v>
      </c>
      <c r="X13" s="7" t="s">
        <v>154</v>
      </c>
      <c r="Y13" s="7" t="s">
        <v>155</v>
      </c>
      <c r="Z13" s="7" t="s">
        <v>50</v>
      </c>
      <c r="AA13" s="7" t="s">
        <v>156</v>
      </c>
      <c r="AB13" s="13" t="s">
        <v>51</v>
      </c>
      <c r="AC13" s="7" t="s">
        <v>50</v>
      </c>
      <c r="AD13" s="13" t="s">
        <v>52</v>
      </c>
      <c r="AE13" s="13"/>
    </row>
    <row r="14" spans="1:32" ht="14.25" customHeight="1" x14ac:dyDescent="0.3">
      <c r="A14" s="7">
        <v>202218012</v>
      </c>
      <c r="B14" s="7">
        <f>IF(EEmaster[[#This Row],[Firm]]="Ashil Shah &amp; Associates",COUNTIFS($Y$2:AB14,AB14)-17,COUNTIFS($Y$2:AB14,AB14))</f>
        <v>12</v>
      </c>
      <c r="C14" s="8" t="s">
        <v>119</v>
      </c>
      <c r="D14" s="7" t="s">
        <v>33</v>
      </c>
      <c r="E14" s="9" t="s">
        <v>34</v>
      </c>
      <c r="F14" s="7" t="s">
        <v>32</v>
      </c>
      <c r="G14" s="7" t="s">
        <v>32</v>
      </c>
      <c r="H14" s="7" t="s">
        <v>37</v>
      </c>
      <c r="I14" s="7" t="s">
        <v>120</v>
      </c>
      <c r="J14" s="7">
        <v>7385200857</v>
      </c>
      <c r="K14" s="7" t="s">
        <v>157</v>
      </c>
      <c r="L14" s="7" t="s">
        <v>39</v>
      </c>
      <c r="M14" s="7" t="s">
        <v>40</v>
      </c>
      <c r="N14" s="10">
        <v>34444</v>
      </c>
      <c r="O14" s="11">
        <v>44873</v>
      </c>
      <c r="P14" s="7" t="s">
        <v>158</v>
      </c>
      <c r="Q14" s="7" t="s">
        <v>68</v>
      </c>
      <c r="R14" s="7" t="s">
        <v>43</v>
      </c>
      <c r="S14" s="7"/>
      <c r="T14" t="s">
        <v>97</v>
      </c>
      <c r="U14" s="12" t="s">
        <v>159</v>
      </c>
      <c r="V14" s="7" t="s">
        <v>160</v>
      </c>
      <c r="W14" s="7" t="s">
        <v>161</v>
      </c>
      <c r="X14" s="7" t="s">
        <v>162</v>
      </c>
      <c r="Y14" s="7" t="s">
        <v>163</v>
      </c>
      <c r="Z14" s="7" t="s">
        <v>50</v>
      </c>
      <c r="AA14" s="7" t="s">
        <v>161</v>
      </c>
      <c r="AB14" s="13" t="s">
        <v>51</v>
      </c>
      <c r="AC14" s="7" t="s">
        <v>50</v>
      </c>
      <c r="AD14" s="13" t="s">
        <v>52</v>
      </c>
      <c r="AE14" s="13"/>
    </row>
    <row r="15" spans="1:32" ht="14.25" customHeight="1" x14ac:dyDescent="0.3">
      <c r="A15" s="7">
        <v>202218013</v>
      </c>
      <c r="B15" s="7">
        <f>IF(EEmaster[[#This Row],[Firm]]="Ashil Shah &amp; Associates",COUNTIFS($Y$2:AB15,AB15)-17,COUNTIFS($Y$2:AB15,AB15))</f>
        <v>13</v>
      </c>
      <c r="C15" s="8" t="s">
        <v>164</v>
      </c>
      <c r="D15" s="7" t="s">
        <v>165</v>
      </c>
      <c r="E15" s="9" t="s">
        <v>34</v>
      </c>
      <c r="F15" s="7" t="s">
        <v>32</v>
      </c>
      <c r="G15" s="7" t="s">
        <v>32</v>
      </c>
      <c r="H15" s="7" t="s">
        <v>37</v>
      </c>
      <c r="I15" s="7" t="s">
        <v>120</v>
      </c>
      <c r="J15" s="7">
        <v>9978504674</v>
      </c>
      <c r="K15" s="7"/>
      <c r="L15" s="7" t="s">
        <v>39</v>
      </c>
      <c r="M15" s="7" t="s">
        <v>96</v>
      </c>
      <c r="N15" s="10">
        <v>35825</v>
      </c>
      <c r="O15" s="11">
        <v>44898</v>
      </c>
      <c r="P15" s="7" t="s">
        <v>166</v>
      </c>
      <c r="Q15" s="7" t="s">
        <v>167</v>
      </c>
      <c r="R15" s="7" t="s">
        <v>43</v>
      </c>
      <c r="S15" s="7"/>
      <c r="T15" s="7" t="s">
        <v>73</v>
      </c>
      <c r="U15" s="12" t="s">
        <v>168</v>
      </c>
      <c r="V15" s="7" t="s">
        <v>169</v>
      </c>
      <c r="W15" s="7" t="s">
        <v>170</v>
      </c>
      <c r="X15" s="7" t="s">
        <v>171</v>
      </c>
      <c r="Y15" s="7"/>
      <c r="Z15" s="7" t="s">
        <v>50</v>
      </c>
      <c r="AA15" s="7" t="s">
        <v>170</v>
      </c>
      <c r="AB15" s="13" t="s">
        <v>51</v>
      </c>
      <c r="AC15" s="7" t="s">
        <v>50</v>
      </c>
      <c r="AD15" s="13" t="s">
        <v>52</v>
      </c>
      <c r="AE15" s="13"/>
      <c r="AF15" t="s">
        <v>53</v>
      </c>
    </row>
    <row r="16" spans="1:32" ht="14.25" customHeight="1" x14ac:dyDescent="0.3">
      <c r="A16" s="7">
        <v>202220002</v>
      </c>
      <c r="B16" s="7">
        <f>IF(EEmaster[[#This Row],[Firm]]="Ashil Shah &amp; Associates",COUNTIFS($Y$2:AB16,AB16)-17,COUNTIFS($Y$2:AB16,AB16))</f>
        <v>-15</v>
      </c>
      <c r="C16" s="8" t="s">
        <v>172</v>
      </c>
      <c r="D16" s="7" t="s">
        <v>33</v>
      </c>
      <c r="E16" s="9" t="s">
        <v>34</v>
      </c>
      <c r="F16" s="7" t="s">
        <v>70</v>
      </c>
      <c r="G16" s="7" t="s">
        <v>173</v>
      </c>
      <c r="H16" s="7" t="s">
        <v>101</v>
      </c>
      <c r="I16" s="7"/>
      <c r="J16" s="7">
        <v>8866505733</v>
      </c>
      <c r="K16" s="7" t="s">
        <v>174</v>
      </c>
      <c r="L16" s="7" t="s">
        <v>39</v>
      </c>
      <c r="M16" s="7" t="s">
        <v>40</v>
      </c>
      <c r="N16" s="10">
        <v>31037</v>
      </c>
      <c r="O16" s="11">
        <v>44920</v>
      </c>
      <c r="P16" s="7" t="s">
        <v>72</v>
      </c>
      <c r="Q16" s="7" t="s">
        <v>59</v>
      </c>
      <c r="R16" s="7" t="s">
        <v>43</v>
      </c>
      <c r="S16" s="7"/>
      <c r="T16" s="7" t="s">
        <v>175</v>
      </c>
      <c r="U16" s="12" t="s">
        <v>176</v>
      </c>
      <c r="V16" s="7" t="s">
        <v>177</v>
      </c>
      <c r="W16" s="7" t="s">
        <v>178</v>
      </c>
      <c r="X16" s="7" t="s">
        <v>179</v>
      </c>
      <c r="Y16" s="7" t="s">
        <v>180</v>
      </c>
      <c r="Z16" s="7" t="s">
        <v>181</v>
      </c>
      <c r="AA16" s="7" t="s">
        <v>182</v>
      </c>
      <c r="AB16" s="13" t="s">
        <v>67</v>
      </c>
      <c r="AC16" s="7" t="s">
        <v>50</v>
      </c>
      <c r="AD16" s="13">
        <v>101558616451</v>
      </c>
      <c r="AE16" s="13"/>
    </row>
    <row r="17" spans="1:32" ht="14.25" customHeight="1" x14ac:dyDescent="0.3">
      <c r="A17" s="7">
        <v>202218014</v>
      </c>
      <c r="B17" s="7">
        <f>IF(EEmaster[[#This Row],[Firm]]="Ashil Shah &amp; Associates",COUNTIFS($Y$2:AB17,AB17)-17,COUNTIFS($Y$2:AB17,AB17))</f>
        <v>14</v>
      </c>
      <c r="C17" s="8" t="s">
        <v>183</v>
      </c>
      <c r="D17" s="7" t="s">
        <v>33</v>
      </c>
      <c r="E17" s="9" t="s">
        <v>34</v>
      </c>
      <c r="F17" s="7" t="s">
        <v>36</v>
      </c>
      <c r="G17" s="7" t="s">
        <v>110</v>
      </c>
      <c r="H17" s="7" t="s">
        <v>37</v>
      </c>
      <c r="I17" s="7" t="s">
        <v>120</v>
      </c>
      <c r="J17" s="7">
        <v>7202056030</v>
      </c>
      <c r="K17" s="7" t="s">
        <v>184</v>
      </c>
      <c r="L17" s="7" t="s">
        <v>39</v>
      </c>
      <c r="M17" s="7" t="s">
        <v>40</v>
      </c>
      <c r="N17" s="10">
        <v>36679</v>
      </c>
      <c r="O17" s="11">
        <v>44921</v>
      </c>
      <c r="P17" s="7" t="s">
        <v>185</v>
      </c>
      <c r="Q17" s="7" t="s">
        <v>148</v>
      </c>
      <c r="R17" s="7" t="s">
        <v>43</v>
      </c>
      <c r="S17" s="7"/>
      <c r="T17" s="7" t="s">
        <v>186</v>
      </c>
      <c r="U17" s="12" t="s">
        <v>187</v>
      </c>
      <c r="V17" s="7" t="s">
        <v>188</v>
      </c>
      <c r="W17" s="7" t="s">
        <v>189</v>
      </c>
      <c r="X17" s="7" t="s">
        <v>190</v>
      </c>
      <c r="Y17" s="7" t="s">
        <v>191</v>
      </c>
      <c r="Z17" s="7" t="s">
        <v>50</v>
      </c>
      <c r="AA17" s="7" t="s">
        <v>192</v>
      </c>
      <c r="AB17" s="13" t="s">
        <v>51</v>
      </c>
      <c r="AC17" s="7" t="s">
        <v>79</v>
      </c>
      <c r="AD17" s="13">
        <v>101818700640</v>
      </c>
      <c r="AE17" s="13"/>
      <c r="AF17" t="s">
        <v>193</v>
      </c>
    </row>
    <row r="18" spans="1:32" ht="14.25" customHeight="1" x14ac:dyDescent="0.3">
      <c r="A18" s="7">
        <v>202320003</v>
      </c>
      <c r="B18" s="7">
        <f>IF(EEmaster[[#This Row],[Firm]]="Ashil Shah &amp; Associates",COUNTIFS($Y$2:AB18,AB18)-17,COUNTIFS($Y$2:AB18,AB18))</f>
        <v>-14</v>
      </c>
      <c r="C18" s="8" t="s">
        <v>173</v>
      </c>
      <c r="D18" s="7" t="s">
        <v>33</v>
      </c>
      <c r="E18" s="9">
        <v>45595</v>
      </c>
      <c r="F18" s="7" t="s">
        <v>70</v>
      </c>
      <c r="G18" s="7" t="s">
        <v>70</v>
      </c>
      <c r="H18" s="7" t="s">
        <v>37</v>
      </c>
      <c r="I18" s="7" t="s">
        <v>56</v>
      </c>
      <c r="J18" s="7">
        <v>8000492525</v>
      </c>
      <c r="K18" s="7" t="s">
        <v>194</v>
      </c>
      <c r="L18" s="7" t="s">
        <v>84</v>
      </c>
      <c r="M18" s="7" t="s">
        <v>40</v>
      </c>
      <c r="N18" s="10">
        <v>34683</v>
      </c>
      <c r="O18" s="11">
        <v>44927</v>
      </c>
      <c r="P18" s="7" t="s">
        <v>72</v>
      </c>
      <c r="Q18" s="7" t="s">
        <v>167</v>
      </c>
      <c r="R18" s="7" t="s">
        <v>43</v>
      </c>
      <c r="S18" s="7"/>
      <c r="T18" s="7" t="s">
        <v>195</v>
      </c>
      <c r="U18" s="12" t="s">
        <v>196</v>
      </c>
      <c r="V18" s="7" t="s">
        <v>197</v>
      </c>
      <c r="W18" s="7" t="s">
        <v>198</v>
      </c>
      <c r="X18" s="7" t="s">
        <v>199</v>
      </c>
      <c r="Y18" s="7" t="s">
        <v>200</v>
      </c>
      <c r="Z18" s="7" t="s">
        <v>50</v>
      </c>
      <c r="AA18" s="7" t="s">
        <v>201</v>
      </c>
      <c r="AB18" s="13" t="s">
        <v>67</v>
      </c>
      <c r="AC18" s="7" t="s">
        <v>50</v>
      </c>
      <c r="AD18" s="13">
        <v>101269510927</v>
      </c>
      <c r="AE18" s="13"/>
      <c r="AF18" t="s">
        <v>53</v>
      </c>
    </row>
    <row r="19" spans="1:32" ht="14.25" customHeight="1" x14ac:dyDescent="0.3">
      <c r="A19" s="7">
        <v>202318015</v>
      </c>
      <c r="B19" s="7">
        <f>IF(EEmaster[[#This Row],[Firm]]="Ashil Shah &amp; Associates",COUNTIFS($Y$2:AB19,AB19)-17,COUNTIFS($Y$2:AB19,AB19))</f>
        <v>15</v>
      </c>
      <c r="C19" s="8" t="s">
        <v>202</v>
      </c>
      <c r="D19" s="7" t="s">
        <v>33</v>
      </c>
      <c r="E19" s="9">
        <v>45596</v>
      </c>
      <c r="F19" s="7" t="s">
        <v>70</v>
      </c>
      <c r="G19" s="7" t="s">
        <v>70</v>
      </c>
      <c r="H19" s="7" t="s">
        <v>37</v>
      </c>
      <c r="I19" s="7" t="s">
        <v>56</v>
      </c>
      <c r="J19" s="7">
        <v>8469651843</v>
      </c>
      <c r="K19" s="7" t="s">
        <v>203</v>
      </c>
      <c r="L19" s="7" t="s">
        <v>39</v>
      </c>
      <c r="M19" s="7" t="s">
        <v>96</v>
      </c>
      <c r="N19" s="10">
        <v>36651</v>
      </c>
      <c r="O19" s="11">
        <v>44958</v>
      </c>
      <c r="P19" s="7" t="s">
        <v>204</v>
      </c>
      <c r="Q19" s="7" t="s">
        <v>59</v>
      </c>
      <c r="R19" s="7" t="s">
        <v>43</v>
      </c>
      <c r="S19" s="7" t="s">
        <v>50</v>
      </c>
      <c r="T19" s="7" t="s">
        <v>205</v>
      </c>
      <c r="U19" s="12" t="s">
        <v>206</v>
      </c>
      <c r="V19" s="7" t="s">
        <v>207</v>
      </c>
      <c r="W19" s="7" t="s">
        <v>208</v>
      </c>
      <c r="X19" s="7" t="s">
        <v>209</v>
      </c>
      <c r="Y19" s="7" t="s">
        <v>210</v>
      </c>
      <c r="Z19" s="7" t="s">
        <v>50</v>
      </c>
      <c r="AA19" s="7" t="s">
        <v>211</v>
      </c>
      <c r="AB19" s="13" t="s">
        <v>51</v>
      </c>
      <c r="AC19" s="7" t="s">
        <v>50</v>
      </c>
      <c r="AD19" s="13" t="s">
        <v>52</v>
      </c>
      <c r="AE19" s="13"/>
      <c r="AF19" t="s">
        <v>193</v>
      </c>
    </row>
    <row r="20" spans="1:32" ht="14.25" customHeight="1" x14ac:dyDescent="0.3">
      <c r="A20" s="7">
        <v>202320004</v>
      </c>
      <c r="B20" s="7">
        <f>IF(EEmaster[[#This Row],[Firm]]="Ashil Shah &amp; Associates",COUNTIFS($Y$2:AB20,AB20)-17,COUNTIFS($Y$2:AB20,AB20))</f>
        <v>-13</v>
      </c>
      <c r="C20" s="8" t="s">
        <v>213</v>
      </c>
      <c r="D20" s="7" t="s">
        <v>33</v>
      </c>
      <c r="E20" s="9" t="s">
        <v>34</v>
      </c>
      <c r="F20" s="7" t="s">
        <v>214</v>
      </c>
      <c r="G20" s="7" t="s">
        <v>214</v>
      </c>
      <c r="H20" s="7" t="s">
        <v>37</v>
      </c>
      <c r="I20" s="7" t="s">
        <v>120</v>
      </c>
      <c r="J20" s="7">
        <v>7041509352</v>
      </c>
      <c r="K20" s="7" t="s">
        <v>215</v>
      </c>
      <c r="L20" s="7" t="s">
        <v>39</v>
      </c>
      <c r="M20" s="7" t="s">
        <v>40</v>
      </c>
      <c r="N20" s="10">
        <v>37265</v>
      </c>
      <c r="O20" s="11">
        <v>44994</v>
      </c>
      <c r="P20" s="7" t="s">
        <v>216</v>
      </c>
      <c r="Q20" s="7" t="s">
        <v>59</v>
      </c>
      <c r="R20" s="7" t="s">
        <v>43</v>
      </c>
      <c r="S20" s="7"/>
      <c r="T20" s="7" t="s">
        <v>217</v>
      </c>
      <c r="U20" s="12" t="s">
        <v>218</v>
      </c>
      <c r="V20" s="7" t="s">
        <v>219</v>
      </c>
      <c r="W20" s="7" t="s">
        <v>220</v>
      </c>
      <c r="X20" s="7" t="s">
        <v>221</v>
      </c>
      <c r="Y20" s="7" t="s">
        <v>222</v>
      </c>
      <c r="Z20" s="7" t="s">
        <v>50</v>
      </c>
      <c r="AA20" s="7" t="s">
        <v>220</v>
      </c>
      <c r="AB20" s="13" t="s">
        <v>67</v>
      </c>
      <c r="AC20" s="7" t="s">
        <v>50</v>
      </c>
      <c r="AD20" s="13">
        <v>101650178557</v>
      </c>
      <c r="AE20" s="13"/>
    </row>
    <row r="21" spans="1:32" ht="14.25" customHeight="1" x14ac:dyDescent="0.3">
      <c r="A21" s="7">
        <v>202318016</v>
      </c>
      <c r="B21" s="7">
        <f>IF(EEmaster[[#This Row],[Firm]]="Ashil Shah &amp; Associates",COUNTIFS($Y$2:AB21,AB21)-17,COUNTIFS($Y$2:AB21,AB21))</f>
        <v>16</v>
      </c>
      <c r="C21" s="8" t="s">
        <v>223</v>
      </c>
      <c r="D21" s="7" t="s">
        <v>33</v>
      </c>
      <c r="E21" s="9">
        <v>45616</v>
      </c>
      <c r="F21" s="7" t="s">
        <v>110</v>
      </c>
      <c r="G21" s="7" t="s">
        <v>111</v>
      </c>
      <c r="H21" s="7" t="s">
        <v>37</v>
      </c>
      <c r="I21" s="7" t="s">
        <v>56</v>
      </c>
      <c r="J21" s="7">
        <v>7874714213</v>
      </c>
      <c r="K21" s="7" t="s">
        <v>224</v>
      </c>
      <c r="L21" s="7" t="s">
        <v>39</v>
      </c>
      <c r="M21" s="7" t="s">
        <v>96</v>
      </c>
      <c r="N21" s="10">
        <v>36047</v>
      </c>
      <c r="O21" s="11">
        <v>44998</v>
      </c>
      <c r="P21" s="7" t="s">
        <v>166</v>
      </c>
      <c r="Q21" s="7" t="s">
        <v>167</v>
      </c>
      <c r="R21" s="7" t="s">
        <v>43</v>
      </c>
      <c r="S21" s="7"/>
      <c r="T21" s="7" t="s">
        <v>225</v>
      </c>
      <c r="U21" s="12" t="s">
        <v>226</v>
      </c>
      <c r="V21" s="7" t="s">
        <v>227</v>
      </c>
      <c r="W21" s="7" t="s">
        <v>228</v>
      </c>
      <c r="X21" s="7" t="s">
        <v>229</v>
      </c>
      <c r="Y21" s="7" t="s">
        <v>230</v>
      </c>
      <c r="Z21" s="7" t="s">
        <v>50</v>
      </c>
      <c r="AA21" s="7" t="s">
        <v>228</v>
      </c>
      <c r="AB21" s="13" t="s">
        <v>51</v>
      </c>
      <c r="AC21" s="7" t="s">
        <v>79</v>
      </c>
      <c r="AD21" s="13">
        <v>101501070236</v>
      </c>
      <c r="AE21" s="13"/>
      <c r="AF21" t="s">
        <v>53</v>
      </c>
    </row>
    <row r="22" spans="1:32" ht="14.25" customHeight="1" x14ac:dyDescent="0.3">
      <c r="A22" s="7">
        <v>202318017</v>
      </c>
      <c r="B22" s="7">
        <f>IF(EEmaster[[#This Row],[Firm]]="Ashil Shah &amp; Associates",COUNTIFS($Y$2:AB22,AB22)-17,COUNTIFS($Y$2:AB22,AB22))</f>
        <v>17</v>
      </c>
      <c r="C22" s="8" t="s">
        <v>231</v>
      </c>
      <c r="D22" s="7" t="s">
        <v>33</v>
      </c>
      <c r="E22" s="9" t="s">
        <v>34</v>
      </c>
      <c r="F22" s="7" t="s">
        <v>32</v>
      </c>
      <c r="G22" s="7" t="s">
        <v>32</v>
      </c>
      <c r="H22" s="7" t="s">
        <v>37</v>
      </c>
      <c r="I22" s="7" t="s">
        <v>120</v>
      </c>
      <c r="J22" s="7">
        <v>7600151457</v>
      </c>
      <c r="K22" s="7" t="s">
        <v>232</v>
      </c>
      <c r="L22" s="7" t="s">
        <v>84</v>
      </c>
      <c r="M22" s="7" t="s">
        <v>96</v>
      </c>
      <c r="N22" s="10">
        <v>36512</v>
      </c>
      <c r="O22" s="11">
        <v>45033</v>
      </c>
      <c r="P22" s="7" t="s">
        <v>233</v>
      </c>
      <c r="Q22" s="7" t="s">
        <v>59</v>
      </c>
      <c r="R22" s="7" t="s">
        <v>43</v>
      </c>
      <c r="S22" s="7"/>
      <c r="T22" s="7" t="s">
        <v>91</v>
      </c>
      <c r="U22" s="12" t="s">
        <v>234</v>
      </c>
      <c r="V22" s="7" t="s">
        <v>235</v>
      </c>
      <c r="W22" s="7" t="s">
        <v>236</v>
      </c>
      <c r="X22" s="7" t="s">
        <v>237</v>
      </c>
      <c r="Y22" s="7" t="s">
        <v>238</v>
      </c>
      <c r="Z22" s="7" t="s">
        <v>50</v>
      </c>
      <c r="AA22" s="7" t="s">
        <v>239</v>
      </c>
      <c r="AB22" s="13" t="s">
        <v>51</v>
      </c>
      <c r="AC22" s="7" t="s">
        <v>50</v>
      </c>
      <c r="AD22" s="13" t="s">
        <v>52</v>
      </c>
      <c r="AE22" s="13"/>
    </row>
    <row r="23" spans="1:32" ht="14.25" customHeight="1" x14ac:dyDescent="0.3">
      <c r="A23" s="7">
        <v>202320005</v>
      </c>
      <c r="B23" s="7">
        <f>IF(EEmaster[[#This Row],[Firm]]="Ashil Shah &amp; Associates",COUNTIFS($Y$2:AB23,AB23)-17,COUNTIFS($Y$2:AB23,AB23))</f>
        <v>-12</v>
      </c>
      <c r="C23" s="8" t="s">
        <v>240</v>
      </c>
      <c r="D23" s="7" t="s">
        <v>33</v>
      </c>
      <c r="E23" s="9" t="s">
        <v>34</v>
      </c>
      <c r="F23" s="7" t="s">
        <v>110</v>
      </c>
      <c r="G23" s="7" t="s">
        <v>111</v>
      </c>
      <c r="H23" s="7" t="s">
        <v>37</v>
      </c>
      <c r="I23" s="7" t="s">
        <v>120</v>
      </c>
      <c r="J23" s="7">
        <v>9979216458</v>
      </c>
      <c r="K23" s="7" t="s">
        <v>241</v>
      </c>
      <c r="L23" s="7" t="s">
        <v>84</v>
      </c>
      <c r="M23" s="7" t="s">
        <v>40</v>
      </c>
      <c r="N23" s="10">
        <v>32554</v>
      </c>
      <c r="O23" s="11">
        <v>45061</v>
      </c>
      <c r="P23" s="7" t="s">
        <v>72</v>
      </c>
      <c r="Q23" s="7" t="s">
        <v>167</v>
      </c>
      <c r="R23" s="7" t="s">
        <v>43</v>
      </c>
      <c r="S23" s="7" t="s">
        <v>123</v>
      </c>
      <c r="T23" s="7" t="s">
        <v>242</v>
      </c>
      <c r="U23" s="12" t="s">
        <v>243</v>
      </c>
      <c r="V23" s="7" t="s">
        <v>244</v>
      </c>
      <c r="W23" s="7" t="s">
        <v>245</v>
      </c>
      <c r="X23" s="7" t="s">
        <v>246</v>
      </c>
      <c r="Y23" s="7" t="s">
        <v>247</v>
      </c>
      <c r="Z23" s="7" t="s">
        <v>50</v>
      </c>
      <c r="AA23" s="7" t="s">
        <v>245</v>
      </c>
      <c r="AB23" s="13" t="s">
        <v>67</v>
      </c>
      <c r="AC23" s="7" t="s">
        <v>50</v>
      </c>
      <c r="AD23" s="13">
        <v>101154007050</v>
      </c>
      <c r="AE23" s="13"/>
      <c r="AF23" t="s">
        <v>53</v>
      </c>
    </row>
    <row r="24" spans="1:32" ht="14.25" customHeight="1" x14ac:dyDescent="0.3">
      <c r="A24" s="7">
        <v>202320006</v>
      </c>
      <c r="B24" s="7">
        <f>IF(EEmaster[[#This Row],[Firm]]="Ashil Shah &amp; Associates",COUNTIFS($Y$2:AB24,AB24)-17,COUNTIFS($Y$2:AB24,AB24))</f>
        <v>-11</v>
      </c>
      <c r="C24" s="8" t="s">
        <v>248</v>
      </c>
      <c r="D24" s="7" t="s">
        <v>33</v>
      </c>
      <c r="E24" s="9">
        <v>45515</v>
      </c>
      <c r="F24" s="7" t="s">
        <v>70</v>
      </c>
      <c r="G24" s="7" t="s">
        <v>70</v>
      </c>
      <c r="H24" s="7" t="s">
        <v>37</v>
      </c>
      <c r="I24" s="7" t="s">
        <v>56</v>
      </c>
      <c r="J24" s="7">
        <v>7984348384</v>
      </c>
      <c r="K24" s="7" t="s">
        <v>249</v>
      </c>
      <c r="L24" s="7" t="s">
        <v>39</v>
      </c>
      <c r="M24" s="7" t="s">
        <v>96</v>
      </c>
      <c r="N24" s="10">
        <v>34424</v>
      </c>
      <c r="O24" s="11">
        <v>45061</v>
      </c>
      <c r="P24" s="7" t="s">
        <v>250</v>
      </c>
      <c r="Q24" s="7" t="s">
        <v>167</v>
      </c>
      <c r="R24" s="7" t="s">
        <v>43</v>
      </c>
      <c r="S24" s="7" t="s">
        <v>123</v>
      </c>
      <c r="T24" s="7" t="s">
        <v>251</v>
      </c>
      <c r="U24" s="12" t="s">
        <v>252</v>
      </c>
      <c r="V24" s="7" t="s">
        <v>253</v>
      </c>
      <c r="W24" s="7" t="s">
        <v>254</v>
      </c>
      <c r="X24" s="7" t="s">
        <v>255</v>
      </c>
      <c r="Y24" s="7" t="s">
        <v>256</v>
      </c>
      <c r="Z24" s="7" t="s">
        <v>50</v>
      </c>
      <c r="AA24" s="7" t="s">
        <v>257</v>
      </c>
      <c r="AB24" s="13" t="s">
        <v>67</v>
      </c>
      <c r="AC24" s="7" t="s">
        <v>50</v>
      </c>
      <c r="AD24" s="13">
        <v>101069143456</v>
      </c>
      <c r="AE24" s="13"/>
      <c r="AF24" t="s">
        <v>53</v>
      </c>
    </row>
    <row r="25" spans="1:32" ht="14.25" customHeight="1" x14ac:dyDescent="0.3">
      <c r="A25" s="7">
        <v>202318018</v>
      </c>
      <c r="B25" s="7">
        <f>IF(EEmaster[[#This Row],[Firm]]="Ashil Shah &amp; Associates",COUNTIFS($Y$2:AB25,AB25)-17,COUNTIFS($Y$2:AB25,AB25))</f>
        <v>18</v>
      </c>
      <c r="C25" s="8" t="s">
        <v>258</v>
      </c>
      <c r="D25" s="7" t="s">
        <v>33</v>
      </c>
      <c r="E25" s="9" t="s">
        <v>34</v>
      </c>
      <c r="F25" s="7" t="s">
        <v>36</v>
      </c>
      <c r="G25" s="7" t="s">
        <v>110</v>
      </c>
      <c r="H25" s="7" t="s">
        <v>37</v>
      </c>
      <c r="I25" s="7" t="s">
        <v>56</v>
      </c>
      <c r="J25" s="7">
        <v>8758385568</v>
      </c>
      <c r="K25" s="7" t="s">
        <v>259</v>
      </c>
      <c r="L25" s="7" t="s">
        <v>84</v>
      </c>
      <c r="M25" s="7" t="s">
        <v>40</v>
      </c>
      <c r="N25" s="10">
        <v>33749</v>
      </c>
      <c r="O25" s="11">
        <v>45089</v>
      </c>
      <c r="P25" s="7" t="s">
        <v>158</v>
      </c>
      <c r="Q25" s="7" t="s">
        <v>6</v>
      </c>
      <c r="R25" s="7" t="s">
        <v>43</v>
      </c>
      <c r="S25" s="7"/>
      <c r="T25" s="7" t="s">
        <v>225</v>
      </c>
      <c r="U25" s="12" t="s">
        <v>260</v>
      </c>
      <c r="V25" s="7" t="s">
        <v>261</v>
      </c>
      <c r="W25" s="7" t="s">
        <v>262</v>
      </c>
      <c r="X25" s="7" t="s">
        <v>263</v>
      </c>
      <c r="Y25" s="7" t="s">
        <v>264</v>
      </c>
      <c r="Z25" s="7" t="s">
        <v>50</v>
      </c>
      <c r="AA25" s="7" t="s">
        <v>265</v>
      </c>
      <c r="AB25" s="13" t="s">
        <v>51</v>
      </c>
      <c r="AC25" s="7" t="s">
        <v>79</v>
      </c>
      <c r="AD25" s="13">
        <v>100444774053</v>
      </c>
      <c r="AE25" s="13"/>
    </row>
    <row r="26" spans="1:32" ht="14.25" customHeight="1" x14ac:dyDescent="0.3">
      <c r="A26" s="7">
        <v>202318019</v>
      </c>
      <c r="B26" s="7">
        <f>IF(EEmaster[[#This Row],[Firm]]="Ashil Shah &amp; Associates",COUNTIFS($Y$2:AB26,AB26)-17,COUNTIFS($Y$2:AB26,AB26))</f>
        <v>19</v>
      </c>
      <c r="C26" s="8" t="s">
        <v>266</v>
      </c>
      <c r="D26" s="7" t="s">
        <v>33</v>
      </c>
      <c r="E26" s="9" t="s">
        <v>34</v>
      </c>
      <c r="F26" s="7" t="s">
        <v>110</v>
      </c>
      <c r="G26" s="7" t="s">
        <v>111</v>
      </c>
      <c r="H26" s="7" t="s">
        <v>37</v>
      </c>
      <c r="I26" s="7" t="s">
        <v>56</v>
      </c>
      <c r="J26" s="7">
        <v>8849003083</v>
      </c>
      <c r="K26" s="7" t="s">
        <v>267</v>
      </c>
      <c r="L26" s="7" t="s">
        <v>39</v>
      </c>
      <c r="M26" s="7" t="s">
        <v>40</v>
      </c>
      <c r="N26" s="10">
        <v>38212</v>
      </c>
      <c r="O26" s="11">
        <v>45089</v>
      </c>
      <c r="P26" s="7" t="s">
        <v>72</v>
      </c>
      <c r="Q26" s="7" t="s">
        <v>59</v>
      </c>
      <c r="R26" s="7" t="s">
        <v>43</v>
      </c>
      <c r="S26" s="7"/>
      <c r="T26" s="7" t="s">
        <v>124</v>
      </c>
      <c r="U26" s="12" t="s">
        <v>268</v>
      </c>
      <c r="V26" s="7" t="s">
        <v>269</v>
      </c>
      <c r="W26" s="7" t="s">
        <v>270</v>
      </c>
      <c r="X26" s="7" t="s">
        <v>271</v>
      </c>
      <c r="Y26" s="7" t="s">
        <v>272</v>
      </c>
      <c r="Z26" s="7" t="s">
        <v>79</v>
      </c>
      <c r="AA26" s="7" t="s">
        <v>270</v>
      </c>
      <c r="AB26" s="13" t="s">
        <v>51</v>
      </c>
      <c r="AC26" s="7" t="s">
        <v>50</v>
      </c>
      <c r="AD26" s="13" t="s">
        <v>52</v>
      </c>
      <c r="AE26" s="13"/>
    </row>
    <row r="27" spans="1:32" ht="14.25" customHeight="1" x14ac:dyDescent="0.3">
      <c r="A27" s="7">
        <v>202320007</v>
      </c>
      <c r="B27" s="7">
        <f>IF(EEmaster[[#This Row],[Firm]]="Ashil Shah &amp; Associates",COUNTIFS($Y$2:AB27,AB27)-17,COUNTIFS($Y$2:AB27,AB27))</f>
        <v>-10</v>
      </c>
      <c r="C27" s="8" t="s">
        <v>273</v>
      </c>
      <c r="D27" s="7" t="s">
        <v>33</v>
      </c>
      <c r="E27" s="9" t="s">
        <v>34</v>
      </c>
      <c r="F27" s="7" t="s">
        <v>70</v>
      </c>
      <c r="G27" s="7" t="s">
        <v>70</v>
      </c>
      <c r="H27" s="7" t="s">
        <v>37</v>
      </c>
      <c r="I27" s="7" t="s">
        <v>56</v>
      </c>
      <c r="J27" s="7">
        <v>7069279284</v>
      </c>
      <c r="K27" s="7" t="s">
        <v>274</v>
      </c>
      <c r="L27" s="7" t="s">
        <v>39</v>
      </c>
      <c r="M27" s="7" t="s">
        <v>96</v>
      </c>
      <c r="N27" s="10">
        <v>36075</v>
      </c>
      <c r="O27" s="11">
        <v>45097</v>
      </c>
      <c r="P27" s="7" t="s">
        <v>275</v>
      </c>
      <c r="Q27" s="7" t="s">
        <v>59</v>
      </c>
      <c r="R27" s="7" t="s">
        <v>43</v>
      </c>
      <c r="S27" s="7"/>
      <c r="T27" s="7" t="s">
        <v>124</v>
      </c>
      <c r="U27" s="12" t="s">
        <v>276</v>
      </c>
      <c r="V27" s="7" t="s">
        <v>277</v>
      </c>
      <c r="W27" s="7" t="s">
        <v>278</v>
      </c>
      <c r="X27" s="7" t="s">
        <v>279</v>
      </c>
      <c r="Y27" s="7" t="s">
        <v>280</v>
      </c>
      <c r="Z27" s="13"/>
      <c r="AA27" s="7" t="s">
        <v>281</v>
      </c>
      <c r="AB27" s="13" t="s">
        <v>67</v>
      </c>
      <c r="AC27" s="7" t="s">
        <v>50</v>
      </c>
      <c r="AD27" s="13">
        <v>101785380291</v>
      </c>
      <c r="AE27" s="13"/>
    </row>
    <row r="28" spans="1:32" ht="14.25" customHeight="1" x14ac:dyDescent="0.3">
      <c r="A28" s="7">
        <v>202318020</v>
      </c>
      <c r="B28" s="7">
        <f>IF(EEmaster[[#This Row],[Firm]]="Ashil Shah &amp; Associates",COUNTIFS($Y$2:AB28,AB28)-17,COUNTIFS($Y$2:AB28,AB28))</f>
        <v>20</v>
      </c>
      <c r="C28" s="8" t="s">
        <v>282</v>
      </c>
      <c r="D28" s="7" t="s">
        <v>33</v>
      </c>
      <c r="E28" s="9" t="s">
        <v>34</v>
      </c>
      <c r="F28" s="7" t="s">
        <v>36</v>
      </c>
      <c r="G28" s="7" t="s">
        <v>70</v>
      </c>
      <c r="H28" s="7" t="s">
        <v>37</v>
      </c>
      <c r="I28" s="7" t="s">
        <v>120</v>
      </c>
      <c r="J28" s="7">
        <v>9804960478</v>
      </c>
      <c r="K28" s="7" t="s">
        <v>283</v>
      </c>
      <c r="L28" s="7" t="s">
        <v>39</v>
      </c>
      <c r="M28" s="7" t="s">
        <v>40</v>
      </c>
      <c r="N28" s="10">
        <v>35294</v>
      </c>
      <c r="O28" s="11">
        <v>45112</v>
      </c>
      <c r="P28" s="7" t="s">
        <v>284</v>
      </c>
      <c r="Q28" s="7" t="s">
        <v>68</v>
      </c>
      <c r="R28" s="7" t="s">
        <v>43</v>
      </c>
      <c r="S28" s="7"/>
      <c r="T28" s="7" t="s">
        <v>285</v>
      </c>
      <c r="U28" s="16" t="s">
        <v>286</v>
      </c>
      <c r="V28" s="7" t="s">
        <v>287</v>
      </c>
      <c r="W28" s="7" t="s">
        <v>288</v>
      </c>
      <c r="X28" s="7" t="s">
        <v>289</v>
      </c>
      <c r="Y28" s="7" t="s">
        <v>290</v>
      </c>
      <c r="Z28" s="7" t="s">
        <v>50</v>
      </c>
      <c r="AA28" s="7" t="s">
        <v>288</v>
      </c>
      <c r="AB28" s="13" t="s">
        <v>51</v>
      </c>
      <c r="AC28" s="7" t="s">
        <v>79</v>
      </c>
      <c r="AD28" s="13">
        <v>102082469290</v>
      </c>
      <c r="AE28" s="13"/>
    </row>
    <row r="29" spans="1:32" ht="14.25" customHeight="1" x14ac:dyDescent="0.3">
      <c r="A29" s="7">
        <v>202318021</v>
      </c>
      <c r="B29" s="7">
        <f>IF(EEmaster[[#This Row],[Firm]]="Ashil Shah &amp; Associates",COUNTIFS($Y$2:AB29,AB29)-17,COUNTIFS($Y$2:AB29,AB29))</f>
        <v>21</v>
      </c>
      <c r="C29" s="8" t="s">
        <v>291</v>
      </c>
      <c r="D29" s="7" t="s">
        <v>33</v>
      </c>
      <c r="E29" s="9" t="s">
        <v>34</v>
      </c>
      <c r="F29" s="7" t="s">
        <v>70</v>
      </c>
      <c r="G29" s="7" t="s">
        <v>282</v>
      </c>
      <c r="H29" s="7" t="s">
        <v>83</v>
      </c>
      <c r="I29" s="7"/>
      <c r="J29" s="7">
        <v>8274069162</v>
      </c>
      <c r="K29" s="7" t="s">
        <v>292</v>
      </c>
      <c r="L29" s="7" t="s">
        <v>39</v>
      </c>
      <c r="M29" s="7" t="s">
        <v>40</v>
      </c>
      <c r="N29" s="10">
        <v>36107</v>
      </c>
      <c r="O29" s="11">
        <v>45112</v>
      </c>
      <c r="P29" s="7" t="s">
        <v>293</v>
      </c>
      <c r="Q29" s="7" t="s">
        <v>167</v>
      </c>
      <c r="R29" s="7" t="s">
        <v>294</v>
      </c>
      <c r="S29" s="7"/>
      <c r="T29" s="7" t="s">
        <v>295</v>
      </c>
      <c r="U29" s="12" t="s">
        <v>296</v>
      </c>
      <c r="V29" s="7" t="s">
        <v>297</v>
      </c>
      <c r="W29" s="7" t="s">
        <v>298</v>
      </c>
      <c r="X29" s="7" t="s">
        <v>299</v>
      </c>
      <c r="Y29" s="7" t="s">
        <v>300</v>
      </c>
      <c r="Z29" s="7" t="s">
        <v>50</v>
      </c>
      <c r="AA29" s="7" t="s">
        <v>298</v>
      </c>
      <c r="AB29" s="13" t="s">
        <v>51</v>
      </c>
      <c r="AC29" s="7" t="s">
        <v>79</v>
      </c>
      <c r="AD29" s="13">
        <v>102082469274</v>
      </c>
      <c r="AE29" s="13"/>
      <c r="AF29" t="s">
        <v>193</v>
      </c>
    </row>
    <row r="30" spans="1:32" ht="14.25" customHeight="1" x14ac:dyDescent="0.3">
      <c r="A30" s="7">
        <v>202318022</v>
      </c>
      <c r="B30" s="7">
        <f>IF(EEmaster[[#This Row],[Firm]]="Ashil Shah &amp; Associates",COUNTIFS($Y$2:AB30,AB30)-17,COUNTIFS($Y$2:AB30,AB30))</f>
        <v>22</v>
      </c>
      <c r="C30" s="8" t="s">
        <v>301</v>
      </c>
      <c r="D30" s="7" t="s">
        <v>33</v>
      </c>
      <c r="E30" s="9" t="s">
        <v>34</v>
      </c>
      <c r="F30" s="7" t="s">
        <v>36</v>
      </c>
      <c r="G30" s="7" t="s">
        <v>32</v>
      </c>
      <c r="H30" s="7" t="s">
        <v>37</v>
      </c>
      <c r="I30" s="7" t="s">
        <v>120</v>
      </c>
      <c r="J30" s="7">
        <v>9113118824</v>
      </c>
      <c r="K30" s="7" t="s">
        <v>302</v>
      </c>
      <c r="L30" s="7" t="s">
        <v>39</v>
      </c>
      <c r="M30" s="7" t="s">
        <v>40</v>
      </c>
      <c r="N30" s="10">
        <v>36166</v>
      </c>
      <c r="O30" s="11">
        <v>45112</v>
      </c>
      <c r="P30" s="7" t="s">
        <v>303</v>
      </c>
      <c r="Q30" s="7" t="s">
        <v>304</v>
      </c>
      <c r="R30" s="7" t="s">
        <v>43</v>
      </c>
      <c r="S30" s="7"/>
      <c r="T30" s="7" t="s">
        <v>305</v>
      </c>
      <c r="U30" s="12" t="s">
        <v>306</v>
      </c>
      <c r="V30" s="7" t="s">
        <v>307</v>
      </c>
      <c r="W30" s="7" t="s">
        <v>308</v>
      </c>
      <c r="X30" s="7" t="s">
        <v>309</v>
      </c>
      <c r="Y30" s="7" t="s">
        <v>310</v>
      </c>
      <c r="Z30" s="7" t="s">
        <v>50</v>
      </c>
      <c r="AA30" s="7" t="s">
        <v>308</v>
      </c>
      <c r="AB30" s="13" t="s">
        <v>51</v>
      </c>
      <c r="AC30" s="7" t="s">
        <v>79</v>
      </c>
      <c r="AD30" s="13">
        <v>102082469288</v>
      </c>
      <c r="AE30" s="13"/>
    </row>
    <row r="31" spans="1:32" ht="14.25" customHeight="1" x14ac:dyDescent="0.3">
      <c r="A31" s="7">
        <v>202320008</v>
      </c>
      <c r="B31" s="7">
        <f>IF(EEmaster[[#This Row],[Firm]]="Ashil Shah &amp; Associates",COUNTIFS($Y$2:AB31,AB31)-17,COUNTIFS($Y$2:AB31,AB31))</f>
        <v>-9</v>
      </c>
      <c r="C31" s="8" t="s">
        <v>311</v>
      </c>
      <c r="D31" s="7" t="s">
        <v>33</v>
      </c>
      <c r="E31" s="9">
        <v>45565</v>
      </c>
      <c r="F31" s="7" t="s">
        <v>70</v>
      </c>
      <c r="G31" s="7" t="s">
        <v>282</v>
      </c>
      <c r="H31" s="7" t="s">
        <v>83</v>
      </c>
      <c r="I31" s="7"/>
      <c r="J31" s="7">
        <v>7278881326</v>
      </c>
      <c r="K31" s="7"/>
      <c r="L31" s="7" t="s">
        <v>39</v>
      </c>
      <c r="M31" s="7" t="s">
        <v>40</v>
      </c>
      <c r="N31" s="10">
        <v>35749</v>
      </c>
      <c r="O31" s="11">
        <v>45112</v>
      </c>
      <c r="P31" s="7" t="s">
        <v>284</v>
      </c>
      <c r="Q31" s="7" t="s">
        <v>167</v>
      </c>
      <c r="R31" s="7" t="s">
        <v>294</v>
      </c>
      <c r="S31" s="7"/>
      <c r="T31" s="7" t="s">
        <v>124</v>
      </c>
      <c r="U31" s="12" t="s">
        <v>312</v>
      </c>
      <c r="V31" s="7" t="s">
        <v>313</v>
      </c>
      <c r="W31" s="7" t="s">
        <v>314</v>
      </c>
      <c r="X31" s="7" t="s">
        <v>315</v>
      </c>
      <c r="Y31" s="7" t="s">
        <v>316</v>
      </c>
      <c r="Z31" s="7" t="s">
        <v>50</v>
      </c>
      <c r="AA31" s="7" t="s">
        <v>314</v>
      </c>
      <c r="AB31" s="13" t="s">
        <v>67</v>
      </c>
      <c r="AC31" s="7" t="s">
        <v>50</v>
      </c>
      <c r="AD31" s="13">
        <v>10150239761</v>
      </c>
      <c r="AE31" s="13"/>
      <c r="AF31" t="s">
        <v>193</v>
      </c>
    </row>
    <row r="32" spans="1:32" ht="14.25" customHeight="1" x14ac:dyDescent="0.3">
      <c r="A32" s="7">
        <v>202320009</v>
      </c>
      <c r="B32" s="7">
        <f>IF(EEmaster[[#This Row],[Firm]]="Ashil Shah &amp; Associates",COUNTIFS($Y$2:AB32,AB32)-17,COUNTIFS($Y$2:AB32,AB32))</f>
        <v>-8</v>
      </c>
      <c r="C32" s="8" t="s">
        <v>317</v>
      </c>
      <c r="D32" s="7" t="s">
        <v>33</v>
      </c>
      <c r="E32" s="9" t="s">
        <v>34</v>
      </c>
      <c r="F32" s="7" t="s">
        <v>32</v>
      </c>
      <c r="G32" s="7" t="s">
        <v>119</v>
      </c>
      <c r="H32" s="7" t="s">
        <v>37</v>
      </c>
      <c r="I32" s="7" t="s">
        <v>120</v>
      </c>
      <c r="J32" s="7">
        <v>9727055572</v>
      </c>
      <c r="K32" s="7" t="s">
        <v>318</v>
      </c>
      <c r="L32" s="7" t="s">
        <v>39</v>
      </c>
      <c r="M32" s="7" t="s">
        <v>40</v>
      </c>
      <c r="N32" s="10">
        <v>33501</v>
      </c>
      <c r="O32" s="11">
        <v>45117</v>
      </c>
      <c r="P32" s="7" t="s">
        <v>319</v>
      </c>
      <c r="Q32" s="7" t="s">
        <v>6</v>
      </c>
      <c r="R32" s="7" t="s">
        <v>43</v>
      </c>
      <c r="S32" s="7"/>
      <c r="T32" s="7" t="s">
        <v>320</v>
      </c>
      <c r="U32" s="12" t="s">
        <v>321</v>
      </c>
      <c r="V32" s="7" t="s">
        <v>322</v>
      </c>
      <c r="W32" s="7" t="s">
        <v>323</v>
      </c>
      <c r="X32" s="7" t="s">
        <v>324</v>
      </c>
      <c r="Y32" s="7" t="s">
        <v>325</v>
      </c>
      <c r="Z32" s="7" t="s">
        <v>50</v>
      </c>
      <c r="AA32" s="7" t="s">
        <v>326</v>
      </c>
      <c r="AB32" s="13" t="s">
        <v>67</v>
      </c>
      <c r="AC32" s="7" t="s">
        <v>50</v>
      </c>
      <c r="AD32" s="13">
        <v>101088840867</v>
      </c>
      <c r="AE32" s="13"/>
    </row>
    <row r="33" spans="1:32" ht="14.25" customHeight="1" x14ac:dyDescent="0.3">
      <c r="A33" s="7">
        <v>202318023</v>
      </c>
      <c r="B33" s="7">
        <f>IF(EEmaster[[#This Row],[Firm]]="Ashil Shah &amp; Associates",COUNTIFS($Y$2:AB33,AB33)-17,COUNTIFS($Y$2:AB33,AB33))</f>
        <v>23</v>
      </c>
      <c r="C33" s="8" t="s">
        <v>327</v>
      </c>
      <c r="D33" s="7" t="s">
        <v>33</v>
      </c>
      <c r="E33" s="9" t="s">
        <v>34</v>
      </c>
      <c r="F33" s="7" t="s">
        <v>70</v>
      </c>
      <c r="G33" s="7" t="s">
        <v>70</v>
      </c>
      <c r="H33" s="7" t="s">
        <v>37</v>
      </c>
      <c r="I33" s="7" t="s">
        <v>120</v>
      </c>
      <c r="J33" s="7" t="s">
        <v>328</v>
      </c>
      <c r="K33" s="7" t="s">
        <v>329</v>
      </c>
      <c r="L33" s="7" t="s">
        <v>39</v>
      </c>
      <c r="M33" s="7" t="s">
        <v>40</v>
      </c>
      <c r="N33" s="10">
        <v>34345</v>
      </c>
      <c r="O33" s="11">
        <v>45121</v>
      </c>
      <c r="P33" s="7" t="s">
        <v>330</v>
      </c>
      <c r="Q33" s="7" t="s">
        <v>59</v>
      </c>
      <c r="R33" s="7" t="s">
        <v>43</v>
      </c>
      <c r="S33" s="7"/>
      <c r="T33" s="7" t="s">
        <v>331</v>
      </c>
      <c r="U33" s="16" t="s">
        <v>332</v>
      </c>
      <c r="V33" s="7" t="s">
        <v>333</v>
      </c>
      <c r="W33" s="15" t="s">
        <v>334</v>
      </c>
      <c r="X33" s="7" t="s">
        <v>335</v>
      </c>
      <c r="Y33" s="7" t="s">
        <v>336</v>
      </c>
      <c r="Z33" s="7" t="s">
        <v>50</v>
      </c>
      <c r="AA33" s="7" t="s">
        <v>337</v>
      </c>
      <c r="AB33" s="13" t="s">
        <v>51</v>
      </c>
      <c r="AC33" s="7" t="s">
        <v>50</v>
      </c>
      <c r="AD33" s="13" t="s">
        <v>52</v>
      </c>
      <c r="AE33" s="13"/>
    </row>
    <row r="34" spans="1:32" ht="14.25" customHeight="1" x14ac:dyDescent="0.3">
      <c r="A34" s="7">
        <v>202320010</v>
      </c>
      <c r="B34" s="7">
        <f>IF(EEmaster[[#This Row],[Firm]]="Ashil Shah &amp; Associates",COUNTIFS($Y$2:AB34,AB34)-17,COUNTIFS($Y$2:AB34,AB34))</f>
        <v>-7</v>
      </c>
      <c r="C34" s="8" t="s">
        <v>338</v>
      </c>
      <c r="D34" s="7" t="s">
        <v>33</v>
      </c>
      <c r="E34" s="9" t="s">
        <v>34</v>
      </c>
      <c r="F34" s="7" t="s">
        <v>110</v>
      </c>
      <c r="G34" s="7" t="s">
        <v>111</v>
      </c>
      <c r="H34" s="7" t="s">
        <v>37</v>
      </c>
      <c r="I34" s="7" t="s">
        <v>56</v>
      </c>
      <c r="J34" s="7">
        <v>9510545750</v>
      </c>
      <c r="K34" s="7" t="s">
        <v>339</v>
      </c>
      <c r="L34" s="7" t="s">
        <v>39</v>
      </c>
      <c r="M34" s="7" t="s">
        <v>40</v>
      </c>
      <c r="N34" s="10">
        <v>36996</v>
      </c>
      <c r="O34" s="11">
        <v>45139</v>
      </c>
      <c r="P34" s="7" t="s">
        <v>340</v>
      </c>
      <c r="Q34" s="7" t="s">
        <v>167</v>
      </c>
      <c r="R34" s="7" t="s">
        <v>43</v>
      </c>
      <c r="S34" s="7"/>
      <c r="T34" s="7" t="s">
        <v>205</v>
      </c>
      <c r="U34" s="12" t="s">
        <v>341</v>
      </c>
      <c r="V34" s="7" t="s">
        <v>342</v>
      </c>
      <c r="W34" s="7" t="s">
        <v>343</v>
      </c>
      <c r="X34" s="7" t="s">
        <v>344</v>
      </c>
      <c r="Y34" s="7" t="s">
        <v>345</v>
      </c>
      <c r="Z34" s="13"/>
      <c r="AA34" s="7" t="s">
        <v>343</v>
      </c>
      <c r="AB34" s="13" t="s">
        <v>67</v>
      </c>
      <c r="AC34" s="7" t="s">
        <v>50</v>
      </c>
      <c r="AD34" s="13">
        <v>101544327852</v>
      </c>
      <c r="AE34" s="13"/>
      <c r="AF34" t="s">
        <v>53</v>
      </c>
    </row>
    <row r="35" spans="1:32" ht="15" customHeight="1" x14ac:dyDescent="0.3">
      <c r="A35" s="7">
        <v>202318024</v>
      </c>
      <c r="B35" s="7">
        <f>IF(EEmaster[[#This Row],[Firm]]="Ashil Shah &amp; Associates",COUNTIFS($Y$2:AB35,AB35)-17,COUNTIFS($Y$2:AB35,AB35))</f>
        <v>24</v>
      </c>
      <c r="C35" s="8" t="s">
        <v>346</v>
      </c>
      <c r="D35" s="7" t="s">
        <v>33</v>
      </c>
      <c r="E35" s="9">
        <v>45439</v>
      </c>
      <c r="F35" s="7" t="s">
        <v>110</v>
      </c>
      <c r="G35" s="7" t="s">
        <v>111</v>
      </c>
      <c r="H35" s="7" t="s">
        <v>37</v>
      </c>
      <c r="I35" s="7" t="s">
        <v>56</v>
      </c>
      <c r="J35" s="7">
        <v>8200689713</v>
      </c>
      <c r="K35" s="7" t="s">
        <v>347</v>
      </c>
      <c r="L35" s="7" t="s">
        <v>39</v>
      </c>
      <c r="M35" s="7" t="s">
        <v>40</v>
      </c>
      <c r="N35" s="10">
        <v>35375</v>
      </c>
      <c r="O35" s="11">
        <v>45170</v>
      </c>
      <c r="P35" s="7" t="s">
        <v>166</v>
      </c>
      <c r="Q35" s="7" t="s">
        <v>167</v>
      </c>
      <c r="R35" s="7" t="s">
        <v>43</v>
      </c>
      <c r="S35" s="7" t="s">
        <v>43</v>
      </c>
      <c r="T35" s="7" t="s">
        <v>142</v>
      </c>
      <c r="U35" s="12" t="s">
        <v>348</v>
      </c>
      <c r="V35" s="7" t="s">
        <v>349</v>
      </c>
      <c r="W35" s="7" t="s">
        <v>350</v>
      </c>
      <c r="X35" s="7" t="s">
        <v>351</v>
      </c>
      <c r="Y35" s="7" t="s">
        <v>352</v>
      </c>
      <c r="Z35" s="7" t="s">
        <v>50</v>
      </c>
      <c r="AA35" s="7" t="s">
        <v>350</v>
      </c>
      <c r="AB35" s="13" t="s">
        <v>51</v>
      </c>
      <c r="AC35" s="7" t="s">
        <v>50</v>
      </c>
      <c r="AD35" s="13" t="s">
        <v>52</v>
      </c>
      <c r="AF35" t="s">
        <v>193</v>
      </c>
    </row>
    <row r="36" spans="1:32" ht="14.25" customHeight="1" x14ac:dyDescent="0.3">
      <c r="A36" s="7">
        <v>202318025</v>
      </c>
      <c r="B36" s="7">
        <f>IF(EEmaster[[#This Row],[Firm]]="Ashil Shah &amp; Associates",COUNTIFS($Y$2:AB36,AB36)-17,COUNTIFS($Y$2:AB36,AB36))</f>
        <v>25</v>
      </c>
      <c r="C36" s="8" t="s">
        <v>353</v>
      </c>
      <c r="D36" s="7" t="s">
        <v>33</v>
      </c>
      <c r="E36" s="9" t="s">
        <v>34</v>
      </c>
      <c r="F36" s="7" t="s">
        <v>36</v>
      </c>
      <c r="G36" s="7" t="s">
        <v>110</v>
      </c>
      <c r="H36" s="7" t="s">
        <v>37</v>
      </c>
      <c r="I36" s="7"/>
      <c r="J36" s="7">
        <v>8884124449</v>
      </c>
      <c r="K36" s="7" t="s">
        <v>354</v>
      </c>
      <c r="L36" s="7" t="s">
        <v>84</v>
      </c>
      <c r="M36" s="7" t="s">
        <v>40</v>
      </c>
      <c r="N36" s="10">
        <v>22551</v>
      </c>
      <c r="O36" s="11">
        <v>45139</v>
      </c>
      <c r="P36" s="7" t="s">
        <v>355</v>
      </c>
      <c r="Q36" s="7" t="s">
        <v>68</v>
      </c>
      <c r="R36" s="7" t="s">
        <v>43</v>
      </c>
      <c r="S36" s="7" t="s">
        <v>356</v>
      </c>
      <c r="T36" s="7" t="s">
        <v>357</v>
      </c>
      <c r="U36" s="12" t="s">
        <v>358</v>
      </c>
      <c r="V36" s="7" t="s">
        <v>359</v>
      </c>
      <c r="W36" s="7" t="s">
        <v>360</v>
      </c>
      <c r="X36" s="7" t="s">
        <v>361</v>
      </c>
      <c r="Y36" s="7" t="s">
        <v>362</v>
      </c>
      <c r="Z36" s="7" t="s">
        <v>50</v>
      </c>
      <c r="AA36" s="7" t="s">
        <v>363</v>
      </c>
      <c r="AB36" s="13" t="s">
        <v>51</v>
      </c>
      <c r="AC36" s="7" t="s">
        <v>50</v>
      </c>
      <c r="AD36" s="13">
        <v>100101229709</v>
      </c>
      <c r="AE36" s="13"/>
    </row>
    <row r="37" spans="1:32" ht="14.25" customHeight="1" x14ac:dyDescent="0.3">
      <c r="A37" s="7">
        <v>202320011</v>
      </c>
      <c r="B37" s="7">
        <f>IF(EEmaster[[#This Row],[Firm]]="Ashil Shah &amp; Associates",COUNTIFS($Y$2:AB37,AB37)-17,COUNTIFS($Y$2:AB37,AB37))</f>
        <v>-6</v>
      </c>
      <c r="C37" s="8" t="s">
        <v>364</v>
      </c>
      <c r="D37" s="7" t="s">
        <v>33</v>
      </c>
      <c r="E37" s="9">
        <v>45473</v>
      </c>
      <c r="F37" s="7" t="s">
        <v>70</v>
      </c>
      <c r="G37" s="7" t="s">
        <v>282</v>
      </c>
      <c r="H37" s="7" t="s">
        <v>37</v>
      </c>
      <c r="I37" s="7" t="s">
        <v>120</v>
      </c>
      <c r="J37" s="7">
        <v>7004266990</v>
      </c>
      <c r="K37" s="7" t="s">
        <v>365</v>
      </c>
      <c r="L37" s="7" t="s">
        <v>84</v>
      </c>
      <c r="M37" s="7" t="s">
        <v>40</v>
      </c>
      <c r="N37" s="10">
        <v>35876</v>
      </c>
      <c r="O37" s="11">
        <v>45189</v>
      </c>
      <c r="P37" s="7" t="s">
        <v>72</v>
      </c>
      <c r="Q37" s="7" t="s">
        <v>167</v>
      </c>
      <c r="R37" s="7" t="s">
        <v>43</v>
      </c>
      <c r="S37" s="7"/>
      <c r="T37" s="7" t="s">
        <v>195</v>
      </c>
      <c r="U37" s="12" t="s">
        <v>366</v>
      </c>
      <c r="V37" s="7" t="s">
        <v>367</v>
      </c>
      <c r="W37" s="7" t="s">
        <v>368</v>
      </c>
      <c r="X37" s="7" t="s">
        <v>369</v>
      </c>
      <c r="Y37" s="7" t="s">
        <v>370</v>
      </c>
      <c r="Z37" s="7" t="s">
        <v>50</v>
      </c>
      <c r="AA37" s="7" t="s">
        <v>371</v>
      </c>
      <c r="AB37" s="13" t="s">
        <v>67</v>
      </c>
      <c r="AC37" s="7" t="s">
        <v>50</v>
      </c>
      <c r="AD37" s="13">
        <v>101769711043</v>
      </c>
      <c r="AE37" s="13"/>
      <c r="AF37" t="s">
        <v>193</v>
      </c>
    </row>
    <row r="38" spans="1:32" ht="14.25" customHeight="1" x14ac:dyDescent="0.3">
      <c r="A38" s="7">
        <v>202318026</v>
      </c>
      <c r="B38" s="7">
        <f>IF(EEmaster[[#This Row],[Firm]]="Ashil Shah &amp; Associates",COUNTIFS($Y$2:AB38,AB38)-17,COUNTIFS($Y$2:AB38,AB38))</f>
        <v>26</v>
      </c>
      <c r="C38" s="8" t="s">
        <v>372</v>
      </c>
      <c r="D38" s="7" t="s">
        <v>33</v>
      </c>
      <c r="E38" s="9" t="s">
        <v>34</v>
      </c>
      <c r="F38" s="7" t="s">
        <v>32</v>
      </c>
      <c r="G38" s="7" t="s">
        <v>301</v>
      </c>
      <c r="H38" s="7" t="s">
        <v>37</v>
      </c>
      <c r="I38" s="7" t="s">
        <v>56</v>
      </c>
      <c r="J38" s="7">
        <v>8485936656</v>
      </c>
      <c r="K38" s="7" t="s">
        <v>373</v>
      </c>
      <c r="L38" s="7" t="s">
        <v>39</v>
      </c>
      <c r="M38" s="7" t="s">
        <v>96</v>
      </c>
      <c r="N38" s="10">
        <v>34574</v>
      </c>
      <c r="O38" s="11">
        <v>45201</v>
      </c>
      <c r="P38" s="7" t="s">
        <v>374</v>
      </c>
      <c r="Q38" s="7" t="s">
        <v>6</v>
      </c>
      <c r="R38" s="7" t="s">
        <v>43</v>
      </c>
      <c r="S38" s="7" t="s">
        <v>375</v>
      </c>
      <c r="T38" s="7" t="s">
        <v>73</v>
      </c>
      <c r="U38" s="12" t="s">
        <v>376</v>
      </c>
      <c r="V38" s="7" t="s">
        <v>377</v>
      </c>
      <c r="W38" s="7" t="s">
        <v>378</v>
      </c>
      <c r="X38" s="7" t="s">
        <v>379</v>
      </c>
      <c r="Y38" s="7" t="s">
        <v>380</v>
      </c>
      <c r="Z38" s="7"/>
      <c r="AA38" s="7" t="s">
        <v>378</v>
      </c>
      <c r="AB38" s="13" t="s">
        <v>51</v>
      </c>
      <c r="AC38" s="7" t="s">
        <v>79</v>
      </c>
      <c r="AD38" s="13">
        <v>101399494149</v>
      </c>
      <c r="AE38" s="13"/>
    </row>
    <row r="39" spans="1:32" ht="14.25" customHeight="1" x14ac:dyDescent="0.3">
      <c r="A39" s="7">
        <v>202318027</v>
      </c>
      <c r="B39" s="7">
        <f>IF(EEmaster[[#This Row],[Firm]]="Ashil Shah &amp; Associates",COUNTIFS($Y$2:AB39,AB39)-17,COUNTIFS($Y$2:AB39,AB39))</f>
        <v>27</v>
      </c>
      <c r="C39" s="8" t="s">
        <v>381</v>
      </c>
      <c r="D39" s="7" t="s">
        <v>33</v>
      </c>
      <c r="E39" s="9" t="s">
        <v>34</v>
      </c>
      <c r="F39" s="7" t="s">
        <v>36</v>
      </c>
      <c r="G39" s="7" t="s">
        <v>36</v>
      </c>
      <c r="H39" s="7" t="s">
        <v>37</v>
      </c>
      <c r="I39" s="7" t="s">
        <v>120</v>
      </c>
      <c r="J39" s="7">
        <v>7048183262</v>
      </c>
      <c r="K39" s="7" t="s">
        <v>382</v>
      </c>
      <c r="L39" s="7" t="s">
        <v>84</v>
      </c>
      <c r="M39" s="7" t="s">
        <v>40</v>
      </c>
      <c r="N39" s="10">
        <v>32796</v>
      </c>
      <c r="O39" s="11">
        <v>45211</v>
      </c>
      <c r="P39" s="7" t="s">
        <v>383</v>
      </c>
      <c r="Q39" s="7" t="s">
        <v>304</v>
      </c>
      <c r="R39" s="7" t="s">
        <v>43</v>
      </c>
      <c r="S39" s="7"/>
      <c r="T39" s="7" t="s">
        <v>384</v>
      </c>
      <c r="U39" s="12" t="s">
        <v>385</v>
      </c>
      <c r="V39" s="7" t="s">
        <v>386</v>
      </c>
      <c r="W39" s="7" t="s">
        <v>387</v>
      </c>
      <c r="X39" s="7" t="s">
        <v>388</v>
      </c>
      <c r="Y39" s="7" t="s">
        <v>389</v>
      </c>
      <c r="Z39" s="7" t="s">
        <v>181</v>
      </c>
      <c r="AA39" s="7" t="s">
        <v>387</v>
      </c>
      <c r="AB39" s="13" t="s">
        <v>51</v>
      </c>
      <c r="AC39" s="7" t="s">
        <v>79</v>
      </c>
      <c r="AD39" s="13">
        <v>100073500214</v>
      </c>
      <c r="AE39" s="13"/>
    </row>
    <row r="40" spans="1:32" ht="14.25" customHeight="1" x14ac:dyDescent="0.3">
      <c r="A40" s="7">
        <v>202320012</v>
      </c>
      <c r="B40" s="7">
        <f>IF(EEmaster[[#This Row],[Firm]]="Ashil Shah &amp; Associates",COUNTIFS($Y$2:AB40,AB40)-17,COUNTIFS($Y$2:AB40,AB40))</f>
        <v>-5</v>
      </c>
      <c r="C40" s="8" t="s">
        <v>390</v>
      </c>
      <c r="D40" s="7" t="s">
        <v>33</v>
      </c>
      <c r="E40" s="9">
        <v>45581</v>
      </c>
      <c r="F40" s="7" t="s">
        <v>70</v>
      </c>
      <c r="G40" s="7" t="s">
        <v>70</v>
      </c>
      <c r="H40" s="7" t="s">
        <v>37</v>
      </c>
      <c r="I40" s="7" t="s">
        <v>56</v>
      </c>
      <c r="J40" s="7">
        <v>9737724254</v>
      </c>
      <c r="K40" s="7" t="s">
        <v>391</v>
      </c>
      <c r="L40" s="7" t="s">
        <v>84</v>
      </c>
      <c r="M40" s="7" t="s">
        <v>96</v>
      </c>
      <c r="N40" s="10">
        <v>31425</v>
      </c>
      <c r="O40" s="11">
        <v>45215</v>
      </c>
      <c r="P40" s="7" t="s">
        <v>72</v>
      </c>
      <c r="Q40" s="7" t="s">
        <v>167</v>
      </c>
      <c r="R40" s="7" t="s">
        <v>392</v>
      </c>
      <c r="S40" s="7"/>
      <c r="T40" s="7" t="s">
        <v>393</v>
      </c>
      <c r="U40" s="12" t="s">
        <v>394</v>
      </c>
      <c r="V40" s="7" t="s">
        <v>395</v>
      </c>
      <c r="W40" s="7" t="s">
        <v>396</v>
      </c>
      <c r="X40" s="7" t="s">
        <v>397</v>
      </c>
      <c r="Y40" s="7" t="s">
        <v>398</v>
      </c>
      <c r="Z40" s="7" t="s">
        <v>50</v>
      </c>
      <c r="AA40" s="7" t="s">
        <v>396</v>
      </c>
      <c r="AB40" s="13" t="s">
        <v>67</v>
      </c>
      <c r="AC40" s="7" t="s">
        <v>50</v>
      </c>
      <c r="AD40" s="13">
        <v>101013129777</v>
      </c>
      <c r="AE40" s="13"/>
      <c r="AF40" t="s">
        <v>193</v>
      </c>
    </row>
    <row r="41" spans="1:32" ht="14.25" customHeight="1" x14ac:dyDescent="0.3">
      <c r="A41" s="7">
        <v>202320013</v>
      </c>
      <c r="B41" s="7">
        <f>IF(EEmaster[[#This Row],[Firm]]="Ashil Shah &amp; Associates",COUNTIFS($Y$2:AB41,AB41)-17,COUNTIFS($Y$2:AB41,AB41))</f>
        <v>-4</v>
      </c>
      <c r="C41" s="8" t="s">
        <v>399</v>
      </c>
      <c r="D41" s="7" t="s">
        <v>33</v>
      </c>
      <c r="E41" s="9">
        <v>45567</v>
      </c>
      <c r="F41" s="7" t="s">
        <v>110</v>
      </c>
      <c r="G41" s="7" t="s">
        <v>183</v>
      </c>
      <c r="H41" s="7" t="s">
        <v>37</v>
      </c>
      <c r="I41" s="7" t="s">
        <v>56</v>
      </c>
      <c r="J41" s="7">
        <v>9737066107</v>
      </c>
      <c r="K41" s="7"/>
      <c r="L41" s="7" t="s">
        <v>39</v>
      </c>
      <c r="M41" s="7" t="s">
        <v>96</v>
      </c>
      <c r="N41" s="10">
        <v>36533</v>
      </c>
      <c r="O41" s="11">
        <v>45231</v>
      </c>
      <c r="P41" s="7" t="s">
        <v>400</v>
      </c>
      <c r="Q41" s="7" t="s">
        <v>167</v>
      </c>
      <c r="R41" s="7" t="s">
        <v>43</v>
      </c>
      <c r="S41" s="7"/>
      <c r="T41" s="7" t="s">
        <v>401</v>
      </c>
      <c r="U41" s="12" t="s">
        <v>402</v>
      </c>
      <c r="V41" s="7" t="s">
        <v>403</v>
      </c>
      <c r="W41" s="7" t="s">
        <v>404</v>
      </c>
      <c r="X41" s="7" t="s">
        <v>405</v>
      </c>
      <c r="Y41" s="7" t="s">
        <v>406</v>
      </c>
      <c r="Z41" s="7" t="s">
        <v>181</v>
      </c>
      <c r="AA41" s="7" t="s">
        <v>257</v>
      </c>
      <c r="AB41" s="13" t="s">
        <v>67</v>
      </c>
      <c r="AC41" s="7" t="s">
        <v>50</v>
      </c>
      <c r="AD41" s="13">
        <v>101920888245</v>
      </c>
      <c r="AE41" s="13"/>
      <c r="AF41" t="s">
        <v>53</v>
      </c>
    </row>
    <row r="42" spans="1:32" ht="14.25" customHeight="1" x14ac:dyDescent="0.3">
      <c r="A42" s="7">
        <v>202318028</v>
      </c>
      <c r="B42" s="7">
        <f>IF(EEmaster[[#This Row],[Firm]]="Ashil Shah &amp; Associates",COUNTIFS($Y$2:AB42,AB42)-17,COUNTIFS($Y$2:AB42,AB42))</f>
        <v>28</v>
      </c>
      <c r="C42" s="8" t="s">
        <v>407</v>
      </c>
      <c r="D42" s="7" t="s">
        <v>33</v>
      </c>
      <c r="E42" s="9" t="s">
        <v>34</v>
      </c>
      <c r="F42" s="7" t="s">
        <v>32</v>
      </c>
      <c r="G42" s="7" t="s">
        <v>32</v>
      </c>
      <c r="H42" s="7" t="s">
        <v>37</v>
      </c>
      <c r="I42" s="7" t="s">
        <v>120</v>
      </c>
      <c r="J42" s="7">
        <v>9624357127</v>
      </c>
      <c r="K42" s="7" t="s">
        <v>408</v>
      </c>
      <c r="L42" s="7" t="s">
        <v>84</v>
      </c>
      <c r="M42" s="7" t="s">
        <v>40</v>
      </c>
      <c r="N42" s="10">
        <v>32853</v>
      </c>
      <c r="O42" s="11">
        <v>45232</v>
      </c>
      <c r="P42" s="7" t="s">
        <v>409</v>
      </c>
      <c r="Q42" s="7" t="s">
        <v>68</v>
      </c>
      <c r="R42" s="7" t="s">
        <v>43</v>
      </c>
      <c r="S42" s="7"/>
      <c r="T42" s="7" t="s">
        <v>410</v>
      </c>
      <c r="U42" s="12" t="s">
        <v>411</v>
      </c>
      <c r="V42" s="7" t="s">
        <v>412</v>
      </c>
      <c r="W42" s="7" t="s">
        <v>201</v>
      </c>
      <c r="X42" s="7" t="s">
        <v>413</v>
      </c>
      <c r="Y42" s="7" t="s">
        <v>414</v>
      </c>
      <c r="Z42" s="7" t="s">
        <v>79</v>
      </c>
      <c r="AA42" s="7" t="s">
        <v>201</v>
      </c>
      <c r="AB42" s="13" t="s">
        <v>51</v>
      </c>
      <c r="AC42" s="7" t="s">
        <v>79</v>
      </c>
      <c r="AD42" s="13">
        <v>100454297104</v>
      </c>
      <c r="AE42" s="13"/>
    </row>
    <row r="43" spans="1:32" ht="14.25" customHeight="1" x14ac:dyDescent="0.3">
      <c r="A43" s="7">
        <v>202320014</v>
      </c>
      <c r="B43" s="7">
        <f>IF(EEmaster[[#This Row],[Firm]]="Ashil Shah &amp; Associates",COUNTIFS($Y$2:AB43,AB43)-17,COUNTIFS($Y$2:AB43,AB43))</f>
        <v>-3</v>
      </c>
      <c r="C43" s="8" t="s">
        <v>415</v>
      </c>
      <c r="D43" s="7" t="s">
        <v>33</v>
      </c>
      <c r="E43" s="9" t="s">
        <v>34</v>
      </c>
      <c r="F43" s="7" t="s">
        <v>32</v>
      </c>
      <c r="G43" s="7" t="s">
        <v>32</v>
      </c>
      <c r="H43" s="7" t="s">
        <v>83</v>
      </c>
      <c r="I43" s="7"/>
      <c r="J43" s="7">
        <v>9179202775</v>
      </c>
      <c r="K43" s="7" t="s">
        <v>416</v>
      </c>
      <c r="L43" s="7" t="s">
        <v>39</v>
      </c>
      <c r="M43" s="7" t="s">
        <v>40</v>
      </c>
      <c r="N43" s="10">
        <v>36656</v>
      </c>
      <c r="O43" s="11">
        <v>45239</v>
      </c>
      <c r="P43" s="7" t="s">
        <v>417</v>
      </c>
      <c r="Q43" s="7" t="s">
        <v>59</v>
      </c>
      <c r="R43" s="7" t="s">
        <v>418</v>
      </c>
      <c r="S43" s="7"/>
      <c r="T43" s="7" t="s">
        <v>124</v>
      </c>
      <c r="U43" s="12" t="s">
        <v>419</v>
      </c>
      <c r="V43" s="7" t="s">
        <v>420</v>
      </c>
      <c r="W43" s="7" t="s">
        <v>421</v>
      </c>
      <c r="X43" s="7" t="s">
        <v>422</v>
      </c>
      <c r="Y43" s="7" t="s">
        <v>423</v>
      </c>
      <c r="Z43" s="7" t="s">
        <v>50</v>
      </c>
      <c r="AA43" s="7" t="s">
        <v>421</v>
      </c>
      <c r="AB43" s="13" t="s">
        <v>67</v>
      </c>
      <c r="AC43" s="7" t="s">
        <v>50</v>
      </c>
      <c r="AD43" s="7" t="s">
        <v>52</v>
      </c>
      <c r="AE43" s="13"/>
    </row>
    <row r="44" spans="1:32" ht="14.25" customHeight="1" x14ac:dyDescent="0.3">
      <c r="A44" s="7">
        <v>202318029</v>
      </c>
      <c r="B44" s="7">
        <f>IF(EEmaster[[#This Row],[Firm]]="Ashil Shah &amp; Associates",COUNTIFS($Y$2:AB44,AB44)-17,COUNTIFS($Y$2:AB44,AB44))</f>
        <v>29</v>
      </c>
      <c r="C44" s="8" t="s">
        <v>424</v>
      </c>
      <c r="D44" s="7" t="s">
        <v>33</v>
      </c>
      <c r="E44" s="9" t="s">
        <v>34</v>
      </c>
      <c r="F44" s="7" t="s">
        <v>70</v>
      </c>
      <c r="G44" s="7" t="s">
        <v>282</v>
      </c>
      <c r="H44" s="7" t="s">
        <v>37</v>
      </c>
      <c r="I44" s="7" t="s">
        <v>56</v>
      </c>
      <c r="J44" s="7">
        <v>9693439969</v>
      </c>
      <c r="K44" s="7" t="s">
        <v>425</v>
      </c>
      <c r="L44" s="7" t="s">
        <v>39</v>
      </c>
      <c r="M44" s="7" t="s">
        <v>40</v>
      </c>
      <c r="N44" s="10">
        <v>36526</v>
      </c>
      <c r="O44" s="11">
        <v>45261</v>
      </c>
      <c r="P44" s="7" t="s">
        <v>166</v>
      </c>
      <c r="Q44" s="7" t="s">
        <v>167</v>
      </c>
      <c r="R44" s="7" t="s">
        <v>43</v>
      </c>
      <c r="S44" s="7"/>
      <c r="T44" s="7" t="s">
        <v>426</v>
      </c>
      <c r="U44" s="12" t="s">
        <v>427</v>
      </c>
      <c r="V44" s="7" t="s">
        <v>428</v>
      </c>
      <c r="W44" s="7" t="s">
        <v>429</v>
      </c>
      <c r="X44" s="7" t="s">
        <v>430</v>
      </c>
      <c r="Y44" s="7" t="s">
        <v>431</v>
      </c>
      <c r="Z44" s="7" t="s">
        <v>181</v>
      </c>
      <c r="AA44" s="7" t="s">
        <v>429</v>
      </c>
      <c r="AB44" s="13" t="s">
        <v>51</v>
      </c>
      <c r="AC44" s="7" t="s">
        <v>50</v>
      </c>
      <c r="AD44" s="13" t="s">
        <v>52</v>
      </c>
      <c r="AE44" s="13"/>
      <c r="AF44" t="s">
        <v>193</v>
      </c>
    </row>
    <row r="45" spans="1:32" ht="14.25" customHeight="1" x14ac:dyDescent="0.3">
      <c r="A45" s="7">
        <v>202418030</v>
      </c>
      <c r="B45" s="7">
        <f>IF(EEmaster[[#This Row],[Firm]]="Ashil Shah &amp; Associates",COUNTIFS($Y$2:AB45,AB45)-17,COUNTIFS($Y$2:AB45,AB45))</f>
        <v>30</v>
      </c>
      <c r="C45" s="8" t="s">
        <v>432</v>
      </c>
      <c r="D45" s="7" t="s">
        <v>33</v>
      </c>
      <c r="E45" s="9">
        <v>45555</v>
      </c>
      <c r="F45" t="s">
        <v>32</v>
      </c>
      <c r="G45" s="7" t="s">
        <v>32</v>
      </c>
      <c r="H45" t="s">
        <v>83</v>
      </c>
      <c r="I45" s="13"/>
      <c r="J45" s="17">
        <v>9987672551</v>
      </c>
      <c r="K45" s="17" t="s">
        <v>433</v>
      </c>
      <c r="L45" t="s">
        <v>84</v>
      </c>
      <c r="M45" t="s">
        <v>96</v>
      </c>
      <c r="N45" s="18" t="s">
        <v>167</v>
      </c>
      <c r="O45" s="11" t="e">
        <f>VLOOKUP(ROW(),[1]!EEmaster[[#All],[Column1]:[Join Date]],22,0)</f>
        <v>#REF!</v>
      </c>
      <c r="P45"/>
      <c r="Q45" s="7" t="s">
        <v>167</v>
      </c>
      <c r="R45" t="s">
        <v>434</v>
      </c>
      <c r="T45" t="s">
        <v>435</v>
      </c>
      <c r="U45" s="12" t="s">
        <v>436</v>
      </c>
      <c r="V45" s="7" t="s">
        <v>437</v>
      </c>
      <c r="W45" s="19" t="s">
        <v>438</v>
      </c>
      <c r="AA45" s="7" t="s">
        <v>438</v>
      </c>
      <c r="AB45" s="13" t="s">
        <v>51</v>
      </c>
      <c r="AC45" s="7" t="s">
        <v>50</v>
      </c>
      <c r="AD45" s="13" t="s">
        <v>52</v>
      </c>
      <c r="AE45" s="13"/>
      <c r="AF45" t="s">
        <v>53</v>
      </c>
    </row>
    <row r="46" spans="1:32" ht="14.25" customHeight="1" x14ac:dyDescent="0.3">
      <c r="A46" s="7">
        <v>202401001</v>
      </c>
      <c r="B46" s="7">
        <f>IF(EEmaster[[#This Row],[Firm]]="Ashil Shah &amp; Associates",COUNTIFS($Y$2:AB46,AB46)-17,COUNTIFS($Y$2:AB46,AB46))</f>
        <v>-2</v>
      </c>
      <c r="C46" s="8" t="s">
        <v>439</v>
      </c>
      <c r="D46" s="7" t="s">
        <v>33</v>
      </c>
      <c r="E46" s="9" t="s">
        <v>34</v>
      </c>
      <c r="F46" s="7" t="s">
        <v>70</v>
      </c>
      <c r="G46" s="7" t="s">
        <v>282</v>
      </c>
      <c r="H46" s="7" t="s">
        <v>83</v>
      </c>
      <c r="I46" s="7"/>
      <c r="J46" s="7">
        <v>9304977510</v>
      </c>
      <c r="K46" s="7" t="s">
        <v>440</v>
      </c>
      <c r="L46" s="7" t="s">
        <v>39</v>
      </c>
      <c r="M46" s="7" t="s">
        <v>96</v>
      </c>
      <c r="N46" s="10">
        <v>36709</v>
      </c>
      <c r="O46" s="11">
        <v>45342</v>
      </c>
      <c r="P46" s="7" t="s">
        <v>417</v>
      </c>
      <c r="Q46" s="7" t="s">
        <v>59</v>
      </c>
      <c r="R46" s="7" t="s">
        <v>441</v>
      </c>
      <c r="S46" s="7" t="s">
        <v>442</v>
      </c>
      <c r="T46" s="7" t="s">
        <v>443</v>
      </c>
      <c r="U46" s="12" t="s">
        <v>444</v>
      </c>
      <c r="V46" s="7" t="s">
        <v>445</v>
      </c>
      <c r="W46" s="7" t="s">
        <v>446</v>
      </c>
      <c r="X46" s="7" t="s">
        <v>447</v>
      </c>
      <c r="Y46" s="7" t="s">
        <v>448</v>
      </c>
      <c r="Z46" s="13"/>
      <c r="AA46" s="7" t="s">
        <v>449</v>
      </c>
      <c r="AB46" s="13" t="s">
        <v>67</v>
      </c>
      <c r="AC46" s="7" t="s">
        <v>50</v>
      </c>
      <c r="AD46" s="13" t="s">
        <v>52</v>
      </c>
      <c r="AE46" s="13"/>
    </row>
    <row r="47" spans="1:32" ht="14.25" customHeight="1" x14ac:dyDescent="0.3">
      <c r="A47" s="7">
        <v>202418031</v>
      </c>
      <c r="B47" s="7">
        <f>IF(EEmaster[[#This Row],[Firm]]="Ashil Shah &amp; Associates",COUNTIFS($Y$2:AB47,AB47)-17,COUNTIFS($Y$2:AB47,AB47))</f>
        <v>31</v>
      </c>
      <c r="C47" s="8" t="s">
        <v>450</v>
      </c>
      <c r="D47" s="7" t="s">
        <v>33</v>
      </c>
      <c r="E47" s="9" t="s">
        <v>34</v>
      </c>
      <c r="F47" t="s">
        <v>36</v>
      </c>
      <c r="G47" t="s">
        <v>111</v>
      </c>
      <c r="H47" t="s">
        <v>83</v>
      </c>
      <c r="J47" s="17">
        <v>7575853573</v>
      </c>
      <c r="K47" s="17" t="s">
        <v>451</v>
      </c>
      <c r="L47" t="s">
        <v>39</v>
      </c>
      <c r="M47" t="s">
        <v>40</v>
      </c>
      <c r="N47" s="18">
        <v>36161</v>
      </c>
      <c r="O47" s="11">
        <v>45799</v>
      </c>
      <c r="P47"/>
      <c r="Q47" s="7" t="s">
        <v>59</v>
      </c>
      <c r="R47" t="s">
        <v>43</v>
      </c>
      <c r="T47" t="s">
        <v>452</v>
      </c>
      <c r="U47" s="16" t="s">
        <v>453</v>
      </c>
      <c r="V47" s="7" t="s">
        <v>454</v>
      </c>
      <c r="AA47" s="7" t="s">
        <v>455</v>
      </c>
      <c r="AB47" s="13" t="s">
        <v>51</v>
      </c>
      <c r="AC47" s="7" t="s">
        <v>50</v>
      </c>
      <c r="AD47" s="13" t="s">
        <v>52</v>
      </c>
      <c r="AE47" s="13"/>
    </row>
    <row r="48" spans="1:32" ht="14.25" customHeight="1" x14ac:dyDescent="0.3">
      <c r="A48" s="7">
        <v>202418032</v>
      </c>
      <c r="B48" s="7">
        <f>IF(EEmaster[[#This Row],[Firm]]="Ashil Shah &amp; Associates",COUNTIFS($Y$2:AB48,AB48)-17,COUNTIFS($Y$2:AB48,AB48))</f>
        <v>32</v>
      </c>
      <c r="C48" s="8" t="s">
        <v>456</v>
      </c>
      <c r="D48" s="7" t="s">
        <v>33</v>
      </c>
      <c r="E48" s="9">
        <v>45492</v>
      </c>
      <c r="F48" t="s">
        <v>32</v>
      </c>
      <c r="G48" t="s">
        <v>32</v>
      </c>
      <c r="H48" t="s">
        <v>83</v>
      </c>
      <c r="J48" s="7">
        <v>9381026090</v>
      </c>
      <c r="K48" s="17" t="s">
        <v>457</v>
      </c>
      <c r="L48" t="s">
        <v>84</v>
      </c>
      <c r="M48" t="s">
        <v>40</v>
      </c>
      <c r="N48" s="18" t="s">
        <v>167</v>
      </c>
      <c r="O48" s="11" t="e">
        <f>VLOOKUP(ROW(),[1]!EEmaster[[#All],[Column1]:[Join Date]],22,0)</f>
        <v>#REF!</v>
      </c>
      <c r="P48"/>
      <c r="Q48" s="7" t="s">
        <v>167</v>
      </c>
      <c r="R48" t="s">
        <v>458</v>
      </c>
      <c r="T48" t="s">
        <v>91</v>
      </c>
      <c r="U48" s="12" t="s">
        <v>459</v>
      </c>
      <c r="V48" s="7" t="s">
        <v>460</v>
      </c>
      <c r="AA48" s="7" t="s">
        <v>461</v>
      </c>
      <c r="AB48" s="13" t="s">
        <v>51</v>
      </c>
      <c r="AC48" s="7" t="s">
        <v>50</v>
      </c>
      <c r="AD48" s="13" t="s">
        <v>52</v>
      </c>
      <c r="AE48" s="13"/>
      <c r="AF48" t="s">
        <v>53</v>
      </c>
    </row>
    <row r="49" spans="1:32" ht="14.25" customHeight="1" x14ac:dyDescent="0.3">
      <c r="A49" s="7">
        <v>202420015</v>
      </c>
      <c r="B49" s="7">
        <f>IF(EEmaster[[#This Row],[Firm]]="Ashil Shah &amp; Associates",COUNTIFS($Y$2:AB49,AB49)-17,COUNTIFS($Y$2:AB49,AB49))</f>
        <v>-1</v>
      </c>
      <c r="C49" s="8" t="s">
        <v>462</v>
      </c>
      <c r="D49" s="7" t="s">
        <v>33</v>
      </c>
      <c r="E49" s="9" t="s">
        <v>34</v>
      </c>
      <c r="F49" t="s">
        <v>36</v>
      </c>
      <c r="G49" t="s">
        <v>70</v>
      </c>
      <c r="H49" t="s">
        <v>83</v>
      </c>
      <c r="J49" s="7">
        <v>8788399011</v>
      </c>
      <c r="K49" s="17" t="s">
        <v>463</v>
      </c>
      <c r="L49" t="s">
        <v>84</v>
      </c>
      <c r="M49" t="s">
        <v>96</v>
      </c>
      <c r="N49" s="18">
        <v>35217</v>
      </c>
      <c r="O49" s="11" t="e">
        <f>VLOOKUP(ROW(),[1]!EEmaster[[#All],[Column1]:[Join Date]],22,0)</f>
        <v>#REF!</v>
      </c>
      <c r="P49"/>
      <c r="Q49" s="7" t="s">
        <v>59</v>
      </c>
      <c r="R49" t="s">
        <v>43</v>
      </c>
      <c r="T49" t="s">
        <v>401</v>
      </c>
      <c r="U49" s="12" t="s">
        <v>464</v>
      </c>
      <c r="V49" s="7" t="s">
        <v>465</v>
      </c>
      <c r="AA49" s="7" t="s">
        <v>466</v>
      </c>
      <c r="AB49" s="13" t="s">
        <v>67</v>
      </c>
      <c r="AC49" s="7" t="s">
        <v>50</v>
      </c>
      <c r="AD49" s="13" t="s">
        <v>52</v>
      </c>
      <c r="AE49" s="13"/>
    </row>
    <row r="50" spans="1:32" ht="14.25" customHeight="1" x14ac:dyDescent="0.3">
      <c r="A50" s="7">
        <v>202418033</v>
      </c>
      <c r="B50" s="7">
        <f>IF(EEmaster[[#This Row],[Firm]]="Ashil Shah &amp; Associates",COUNTIFS($Y$2:AB50,AB50)-17,COUNTIFS($Y$2:AB50,AB50))</f>
        <v>33</v>
      </c>
      <c r="C50" s="8" t="s">
        <v>467</v>
      </c>
      <c r="D50" s="7" t="s">
        <v>33</v>
      </c>
      <c r="E50" s="9" t="s">
        <v>34</v>
      </c>
      <c r="F50" s="7" t="s">
        <v>32</v>
      </c>
      <c r="G50" s="7" t="s">
        <v>140</v>
      </c>
      <c r="H50" s="7" t="s">
        <v>83</v>
      </c>
      <c r="I50" s="20"/>
      <c r="J50" s="7">
        <v>7259779091</v>
      </c>
      <c r="K50" s="7" t="s">
        <v>468</v>
      </c>
      <c r="L50" s="7" t="s">
        <v>84</v>
      </c>
      <c r="M50" s="7" t="s">
        <v>96</v>
      </c>
      <c r="N50" s="10">
        <v>31847</v>
      </c>
      <c r="O50" s="11">
        <v>45376</v>
      </c>
      <c r="P50" s="7"/>
      <c r="Q50" s="7" t="s">
        <v>59</v>
      </c>
      <c r="R50" s="7" t="s">
        <v>458</v>
      </c>
      <c r="S50" s="7"/>
      <c r="T50" s="7" t="s">
        <v>91</v>
      </c>
      <c r="U50" s="12" t="s">
        <v>469</v>
      </c>
      <c r="V50" s="7" t="s">
        <v>470</v>
      </c>
      <c r="W50" s="15" t="s">
        <v>471</v>
      </c>
      <c r="X50" s="7"/>
      <c r="Y50" s="7"/>
      <c r="Z50" s="7"/>
      <c r="AA50" s="7" t="s">
        <v>472</v>
      </c>
      <c r="AB50" s="13" t="s">
        <v>51</v>
      </c>
      <c r="AC50" s="7" t="s">
        <v>50</v>
      </c>
      <c r="AD50" s="13" t="s">
        <v>52</v>
      </c>
      <c r="AE50" s="13"/>
    </row>
    <row r="51" spans="1:32" ht="14.25" customHeight="1" x14ac:dyDescent="0.3">
      <c r="A51" s="7">
        <v>202218034</v>
      </c>
      <c r="B51" s="7">
        <f>IF(EEmaster[[#This Row],[Firm]]="Ashil Shah &amp; Associates",COUNTIFS($Y$2:AB51,AB51)-17,COUNTIFS($Y$2:AB51,AB51))</f>
        <v>34</v>
      </c>
      <c r="C51" s="8" t="s">
        <v>473</v>
      </c>
      <c r="D51" s="7" t="s">
        <v>33</v>
      </c>
      <c r="E51" s="9">
        <v>45458</v>
      </c>
      <c r="F51" t="s">
        <v>36</v>
      </c>
      <c r="G51" t="s">
        <v>36</v>
      </c>
      <c r="H51" t="s">
        <v>83</v>
      </c>
      <c r="J51" s="7">
        <v>7016612758</v>
      </c>
      <c r="K51" s="17"/>
      <c r="L51" t="s">
        <v>84</v>
      </c>
      <c r="M51" t="s">
        <v>40</v>
      </c>
      <c r="N51" s="18" t="s">
        <v>167</v>
      </c>
      <c r="O51" s="11">
        <v>44621</v>
      </c>
      <c r="P51"/>
      <c r="Q51" s="7" t="s">
        <v>167</v>
      </c>
      <c r="R51" t="s">
        <v>43</v>
      </c>
      <c r="T51" t="s">
        <v>401</v>
      </c>
      <c r="U51" s="21" t="s">
        <v>474</v>
      </c>
      <c r="V51" t="s">
        <v>475</v>
      </c>
      <c r="AA51" s="7" t="s">
        <v>47</v>
      </c>
      <c r="AB51" s="13" t="s">
        <v>51</v>
      </c>
      <c r="AC51" s="7" t="s">
        <v>50</v>
      </c>
      <c r="AD51" s="13" t="s">
        <v>52</v>
      </c>
      <c r="AE51" s="13"/>
      <c r="AF51" t="s">
        <v>53</v>
      </c>
    </row>
    <row r="52" spans="1:32" ht="15" customHeight="1" x14ac:dyDescent="0.3">
      <c r="A52" s="22">
        <v>202418035</v>
      </c>
      <c r="B52" s="7">
        <f>IF(EEmaster[[#This Row],[Firm]]="Ashil Shah &amp; Associates",COUNTIFS($Y$2:AB52,AB52)-17,COUNTIFS($Y$2:AB52,AB52))</f>
        <v>35</v>
      </c>
      <c r="C52" s="23" t="s">
        <v>476</v>
      </c>
      <c r="D52" s="7" t="s">
        <v>33</v>
      </c>
      <c r="E52" s="9" t="s">
        <v>34</v>
      </c>
      <c r="F52" t="s">
        <v>32</v>
      </c>
      <c r="G52" t="s">
        <v>183</v>
      </c>
      <c r="H52" t="s">
        <v>37</v>
      </c>
      <c r="I52" t="s">
        <v>120</v>
      </c>
      <c r="J52" s="7">
        <v>7621958160</v>
      </c>
      <c r="K52" s="24" t="s">
        <v>477</v>
      </c>
      <c r="L52" s="17" t="s">
        <v>39</v>
      </c>
      <c r="M52" s="24" t="s">
        <v>40</v>
      </c>
      <c r="N52" s="25">
        <v>36326</v>
      </c>
      <c r="O52" s="18">
        <v>45462</v>
      </c>
      <c r="P52"/>
      <c r="Q52" s="7" t="s">
        <v>59</v>
      </c>
      <c r="R52" s="7" t="s">
        <v>43</v>
      </c>
      <c r="T52" s="7" t="s">
        <v>124</v>
      </c>
      <c r="U52" s="16" t="s">
        <v>478</v>
      </c>
      <c r="V52" s="7" t="s">
        <v>479</v>
      </c>
      <c r="W52" t="s">
        <v>480</v>
      </c>
      <c r="AA52" s="7" t="s">
        <v>481</v>
      </c>
      <c r="AB52" s="13" t="s">
        <v>51</v>
      </c>
      <c r="AC52" s="7" t="s">
        <v>79</v>
      </c>
      <c r="AD52" s="13" t="s">
        <v>482</v>
      </c>
    </row>
    <row r="53" spans="1:32" ht="15" customHeight="1" x14ac:dyDescent="0.3">
      <c r="A53" s="7">
        <v>202421001</v>
      </c>
      <c r="B53" s="7">
        <f>IF(EEmaster[[#This Row],[Firm]]="Ashil Shah &amp; Associates",COUNTIFS($Y$2:AB53,AB53)-17,COUNTIFS($Y$2:AB53,AB53))</f>
        <v>1</v>
      </c>
      <c r="C53" s="8" t="s">
        <v>483</v>
      </c>
      <c r="D53" s="7" t="s">
        <v>33</v>
      </c>
      <c r="E53" s="9" t="s">
        <v>34</v>
      </c>
      <c r="F53" t="s">
        <v>484</v>
      </c>
      <c r="G53" t="s">
        <v>119</v>
      </c>
      <c r="H53" t="s">
        <v>37</v>
      </c>
      <c r="J53" s="7">
        <v>7477224883</v>
      </c>
      <c r="K53" s="17" t="s">
        <v>485</v>
      </c>
      <c r="L53" s="17" t="s">
        <v>39</v>
      </c>
      <c r="M53" t="s">
        <v>96</v>
      </c>
      <c r="N53" s="18">
        <v>37868</v>
      </c>
      <c r="O53" s="11">
        <v>45352</v>
      </c>
      <c r="P53"/>
      <c r="Q53" s="7" t="s">
        <v>6</v>
      </c>
      <c r="R53" t="s">
        <v>43</v>
      </c>
      <c r="T53" t="s">
        <v>97</v>
      </c>
      <c r="U53" s="16" t="s">
        <v>486</v>
      </c>
      <c r="V53" s="7" t="s">
        <v>487</v>
      </c>
      <c r="AA53" s="7" t="s">
        <v>488</v>
      </c>
      <c r="AB53" s="13" t="s">
        <v>489</v>
      </c>
      <c r="AC53" s="7" t="s">
        <v>50</v>
      </c>
      <c r="AD53" s="13" t="s">
        <v>52</v>
      </c>
    </row>
    <row r="54" spans="1:32" ht="15" customHeight="1" x14ac:dyDescent="0.3">
      <c r="A54" s="7">
        <v>202421002</v>
      </c>
      <c r="B54" s="7">
        <f>IF(EEmaster[[#This Row],[Firm]]="Ashil Shah &amp; Associates",COUNTIFS($Y$2:AB54,AB54)-17,COUNTIFS($Y$2:AB54,AB54))</f>
        <v>2</v>
      </c>
      <c r="C54" s="8" t="s">
        <v>490</v>
      </c>
      <c r="D54" s="7" t="s">
        <v>33</v>
      </c>
      <c r="E54" s="9" t="s">
        <v>34</v>
      </c>
      <c r="F54" t="s">
        <v>484</v>
      </c>
      <c r="G54" t="s">
        <v>119</v>
      </c>
      <c r="H54" t="s">
        <v>37</v>
      </c>
      <c r="J54" s="7">
        <v>7224090516</v>
      </c>
      <c r="K54" s="17" t="s">
        <v>491</v>
      </c>
      <c r="L54" s="17" t="s">
        <v>39</v>
      </c>
      <c r="M54" s="24" t="s">
        <v>40</v>
      </c>
      <c r="N54" s="18">
        <v>37479</v>
      </c>
      <c r="O54" s="11">
        <v>45352</v>
      </c>
      <c r="P54"/>
      <c r="Q54" s="7" t="s">
        <v>6</v>
      </c>
      <c r="R54" t="s">
        <v>43</v>
      </c>
      <c r="T54" t="s">
        <v>103</v>
      </c>
      <c r="U54" s="16" t="s">
        <v>492</v>
      </c>
      <c r="V54" s="7" t="s">
        <v>493</v>
      </c>
      <c r="AA54" s="7" t="s">
        <v>494</v>
      </c>
      <c r="AB54" s="13" t="s">
        <v>489</v>
      </c>
      <c r="AC54" s="7" t="s">
        <v>50</v>
      </c>
      <c r="AD54" s="13" t="s">
        <v>52</v>
      </c>
    </row>
    <row r="55" spans="1:32" ht="15" customHeight="1" x14ac:dyDescent="0.3">
      <c r="A55" s="7">
        <v>202418036</v>
      </c>
      <c r="B55" s="7">
        <f>IF(EEmaster[[#This Row],[Firm]]="Ashil Shah &amp; Associates",COUNTIFS($Y$2:AB55,AB55)-17,COUNTIFS($Y$2:AB55,AB55))</f>
        <v>36</v>
      </c>
      <c r="C55" s="8" t="s">
        <v>495</v>
      </c>
      <c r="D55" s="7" t="s">
        <v>33</v>
      </c>
      <c r="E55" s="9" t="s">
        <v>34</v>
      </c>
      <c r="F55" t="s">
        <v>36</v>
      </c>
      <c r="G55" t="s">
        <v>183</v>
      </c>
      <c r="H55" t="s">
        <v>37</v>
      </c>
      <c r="J55" s="7">
        <v>9773206182</v>
      </c>
      <c r="K55" s="17"/>
      <c r="L55" s="17" t="s">
        <v>39</v>
      </c>
      <c r="M55" t="s">
        <v>96</v>
      </c>
      <c r="N55" s="18">
        <v>34340</v>
      </c>
      <c r="O55" s="11">
        <v>45495</v>
      </c>
      <c r="P55" t="s">
        <v>284</v>
      </c>
      <c r="Q55" s="7" t="s">
        <v>68</v>
      </c>
      <c r="R55" s="7" t="s">
        <v>43</v>
      </c>
      <c r="T55" t="s">
        <v>496</v>
      </c>
      <c r="U55" s="16" t="s">
        <v>497</v>
      </c>
      <c r="V55" s="7" t="s">
        <v>498</v>
      </c>
      <c r="W55" s="26" t="s">
        <v>499</v>
      </c>
      <c r="AA55" s="7" t="s">
        <v>499</v>
      </c>
      <c r="AB55" s="13" t="s">
        <v>51</v>
      </c>
      <c r="AC55" s="7" t="s">
        <v>79</v>
      </c>
      <c r="AD55" s="13" t="s">
        <v>482</v>
      </c>
      <c r="AF55" t="s">
        <v>193</v>
      </c>
    </row>
    <row r="56" spans="1:32" ht="15" customHeight="1" x14ac:dyDescent="0.3">
      <c r="A56" s="7">
        <v>202421003</v>
      </c>
      <c r="B56" s="7">
        <f>IF(EEmaster[[#This Row],[Firm]]="Ashil Shah &amp; Associates",COUNTIFS($Y$2:AB56,AB56)-17,COUNTIFS($Y$2:AB56,AB56))</f>
        <v>0</v>
      </c>
      <c r="C56" s="8" t="s">
        <v>500</v>
      </c>
      <c r="D56" s="7" t="s">
        <v>33</v>
      </c>
      <c r="E56" s="9" t="s">
        <v>34</v>
      </c>
      <c r="F56" t="s">
        <v>484</v>
      </c>
      <c r="G56" t="s">
        <v>119</v>
      </c>
      <c r="H56" t="s">
        <v>37</v>
      </c>
      <c r="I56" s="7" t="s">
        <v>120</v>
      </c>
      <c r="J56" s="7">
        <v>8347464549</v>
      </c>
      <c r="K56" s="17" t="s">
        <v>501</v>
      </c>
      <c r="L56" s="17" t="s">
        <v>39</v>
      </c>
      <c r="M56" t="s">
        <v>40</v>
      </c>
      <c r="N56" s="18">
        <v>35440</v>
      </c>
      <c r="O56" s="11">
        <v>45474</v>
      </c>
      <c r="P56"/>
      <c r="Q56" s="7" t="s">
        <v>59</v>
      </c>
      <c r="R56" t="s">
        <v>43</v>
      </c>
      <c r="T56" t="s">
        <v>103</v>
      </c>
      <c r="U56" s="16" t="s">
        <v>502</v>
      </c>
      <c r="V56" s="7" t="s">
        <v>503</v>
      </c>
      <c r="W56" t="s">
        <v>504</v>
      </c>
      <c r="AA56" s="7" t="s">
        <v>505</v>
      </c>
      <c r="AB56" s="13" t="s">
        <v>67</v>
      </c>
      <c r="AC56" s="7" t="s">
        <v>50</v>
      </c>
      <c r="AD56" s="13" t="s">
        <v>52</v>
      </c>
      <c r="AF56" t="s">
        <v>193</v>
      </c>
    </row>
    <row r="57" spans="1:32" ht="15" customHeight="1" x14ac:dyDescent="0.3">
      <c r="A57" s="7">
        <v>202418037</v>
      </c>
      <c r="B57" s="7">
        <f>IF(EEmaster[[#This Row],[Firm]]="Ashil Shah &amp; Associates",COUNTIFS($Y$2:AB57,AB57)-17,COUNTIFS($Y$2:AB57,AB57))</f>
        <v>37</v>
      </c>
      <c r="C57" s="8" t="s">
        <v>506</v>
      </c>
      <c r="D57" s="7" t="s">
        <v>33</v>
      </c>
      <c r="E57" s="9" t="s">
        <v>34</v>
      </c>
      <c r="F57" t="s">
        <v>32</v>
      </c>
      <c r="G57" t="s">
        <v>32</v>
      </c>
      <c r="H57" t="s">
        <v>37</v>
      </c>
      <c r="I57" s="7" t="s">
        <v>120</v>
      </c>
      <c r="J57" s="7">
        <v>9737089411</v>
      </c>
      <c r="K57" s="17" t="s">
        <v>507</v>
      </c>
      <c r="L57" s="17" t="s">
        <v>39</v>
      </c>
      <c r="M57" t="s">
        <v>96</v>
      </c>
      <c r="N57" s="18">
        <v>37248</v>
      </c>
      <c r="O57" s="11">
        <v>45509</v>
      </c>
      <c r="P57"/>
      <c r="Q57" s="7" t="s">
        <v>167</v>
      </c>
      <c r="R57" t="s">
        <v>43</v>
      </c>
      <c r="T57" t="s">
        <v>97</v>
      </c>
      <c r="U57" s="16" t="s">
        <v>508</v>
      </c>
      <c r="V57" s="7" t="s">
        <v>509</v>
      </c>
      <c r="AA57" s="7" t="s">
        <v>510</v>
      </c>
      <c r="AB57" s="13" t="s">
        <v>51</v>
      </c>
      <c r="AC57" s="7" t="s">
        <v>79</v>
      </c>
      <c r="AD57" s="27" t="s">
        <v>511</v>
      </c>
      <c r="AF57" t="s">
        <v>193</v>
      </c>
    </row>
    <row r="58" spans="1:32" ht="15" customHeight="1" x14ac:dyDescent="0.3">
      <c r="A58" s="7">
        <v>202418038</v>
      </c>
      <c r="B58" s="7">
        <f>IF(EEmaster[[#This Row],[Firm]]="Ashil Shah &amp; Associates",COUNTIFS($Y$2:AB58,AB58)-17,COUNTIFS($Y$2:AB58,AB58))</f>
        <v>38</v>
      </c>
      <c r="C58" s="8" t="s">
        <v>512</v>
      </c>
      <c r="D58" s="7" t="s">
        <v>33</v>
      </c>
      <c r="E58" s="9" t="s">
        <v>34</v>
      </c>
      <c r="F58" t="s">
        <v>119</v>
      </c>
      <c r="G58" t="s">
        <v>35</v>
      </c>
      <c r="H58" t="s">
        <v>37</v>
      </c>
      <c r="J58" s="7">
        <v>8128325735</v>
      </c>
      <c r="K58" s="17" t="s">
        <v>513</v>
      </c>
      <c r="L58" s="17"/>
      <c r="M58" t="s">
        <v>96</v>
      </c>
      <c r="N58" s="18">
        <v>33482</v>
      </c>
      <c r="O58" s="11">
        <v>45516</v>
      </c>
      <c r="P58"/>
      <c r="Q58" s="7" t="s">
        <v>68</v>
      </c>
      <c r="R58" t="s">
        <v>43</v>
      </c>
      <c r="T58" t="s">
        <v>91</v>
      </c>
      <c r="U58" s="16" t="s">
        <v>514</v>
      </c>
      <c r="V58" s="7" t="s">
        <v>235</v>
      </c>
      <c r="W58" s="26" t="s">
        <v>515</v>
      </c>
      <c r="AA58" s="7" t="s">
        <v>515</v>
      </c>
      <c r="AB58" s="13" t="s">
        <v>51</v>
      </c>
      <c r="AC58" s="7" t="s">
        <v>79</v>
      </c>
      <c r="AD58" s="27" t="s">
        <v>516</v>
      </c>
    </row>
    <row r="59" spans="1:32" ht="15" customHeight="1" x14ac:dyDescent="0.3">
      <c r="A59" s="7">
        <v>202421004</v>
      </c>
      <c r="B59" s="7">
        <f>IF(EEmaster[[#This Row],[Firm]]="Ashil Shah &amp; Associates",COUNTIFS($Y$2:AB59,AB59)-17,COUNTIFS($Y$2:AB59,AB59))</f>
        <v>3</v>
      </c>
      <c r="C59" s="8" t="s">
        <v>517</v>
      </c>
      <c r="D59" s="7" t="s">
        <v>33</v>
      </c>
      <c r="E59" s="9" t="s">
        <v>34</v>
      </c>
      <c r="F59" t="s">
        <v>484</v>
      </c>
      <c r="G59" t="s">
        <v>119</v>
      </c>
      <c r="H59" t="s">
        <v>37</v>
      </c>
      <c r="J59" s="7">
        <v>7357152835</v>
      </c>
      <c r="K59" s="17" t="s">
        <v>518</v>
      </c>
      <c r="L59" s="17" t="s">
        <v>39</v>
      </c>
      <c r="M59" t="s">
        <v>40</v>
      </c>
      <c r="N59" s="18">
        <v>36682</v>
      </c>
      <c r="O59" s="11">
        <v>45536</v>
      </c>
      <c r="P59"/>
      <c r="Q59" s="7" t="s">
        <v>6</v>
      </c>
      <c r="R59" t="s">
        <v>43</v>
      </c>
      <c r="T59" t="s">
        <v>97</v>
      </c>
      <c r="U59" s="12" t="s">
        <v>519</v>
      </c>
      <c r="V59" s="7" t="s">
        <v>520</v>
      </c>
      <c r="W59" t="s">
        <v>521</v>
      </c>
      <c r="AA59" s="7" t="s">
        <v>521</v>
      </c>
      <c r="AB59" s="13" t="s">
        <v>489</v>
      </c>
      <c r="AC59" s="7" t="s">
        <v>50</v>
      </c>
      <c r="AD59" s="13" t="s">
        <v>52</v>
      </c>
    </row>
    <row r="60" spans="1:32" ht="15" customHeight="1" x14ac:dyDescent="0.3">
      <c r="A60" s="7">
        <v>202421005</v>
      </c>
      <c r="B60" s="7">
        <f>IF(EEmaster[[#This Row],[Firm]]="Ashil Shah &amp; Associates",COUNTIFS($Y$2:AB60,AB60)-17,COUNTIFS($Y$2:AB60,AB60))</f>
        <v>4</v>
      </c>
      <c r="C60" s="28" t="s">
        <v>522</v>
      </c>
      <c r="D60" s="7" t="s">
        <v>33</v>
      </c>
      <c r="E60" s="9" t="s">
        <v>34</v>
      </c>
      <c r="F60" t="s">
        <v>484</v>
      </c>
      <c r="G60" t="s">
        <v>119</v>
      </c>
      <c r="H60" t="s">
        <v>37</v>
      </c>
      <c r="J60" s="7">
        <v>7990460358</v>
      </c>
      <c r="K60" s="17" t="s">
        <v>523</v>
      </c>
      <c r="L60" s="17" t="s">
        <v>39</v>
      </c>
      <c r="M60" t="s">
        <v>96</v>
      </c>
      <c r="N60" s="18">
        <v>37107</v>
      </c>
      <c r="O60" s="11">
        <v>45536</v>
      </c>
      <c r="P60"/>
      <c r="Q60" s="7" t="s">
        <v>59</v>
      </c>
      <c r="R60" t="s">
        <v>43</v>
      </c>
      <c r="T60" t="s">
        <v>401</v>
      </c>
      <c r="U60" s="16" t="str">
        <f>"727410053840"</f>
        <v>727410053840</v>
      </c>
      <c r="V60" s="7" t="s">
        <v>524</v>
      </c>
      <c r="W60" t="s">
        <v>525</v>
      </c>
      <c r="AA60" s="7" t="s">
        <v>525</v>
      </c>
      <c r="AB60" s="13" t="s">
        <v>489</v>
      </c>
      <c r="AC60" s="7" t="s">
        <v>50</v>
      </c>
      <c r="AD60" s="13" t="s">
        <v>52</v>
      </c>
      <c r="AF60" t="s">
        <v>193</v>
      </c>
    </row>
    <row r="61" spans="1:32" ht="15" customHeight="1" x14ac:dyDescent="0.3">
      <c r="A61" s="7">
        <v>202421006</v>
      </c>
      <c r="B61" s="7">
        <f>IF(EEmaster[[#This Row],[Firm]]="Ashil Shah &amp; Associates",COUNTIFS($Y$2:AB61,AB61)-17,COUNTIFS($Y$2:AB61,AB61))</f>
        <v>5</v>
      </c>
      <c r="C61" s="28" t="s">
        <v>526</v>
      </c>
      <c r="D61" s="7" t="s">
        <v>33</v>
      </c>
      <c r="E61" s="9">
        <v>45559</v>
      </c>
      <c r="F61" t="s">
        <v>484</v>
      </c>
      <c r="G61" t="s">
        <v>119</v>
      </c>
      <c r="H61" t="s">
        <v>37</v>
      </c>
      <c r="J61" s="7">
        <v>8511830227</v>
      </c>
      <c r="K61" s="17" t="s">
        <v>123</v>
      </c>
      <c r="L61" s="17" t="s">
        <v>39</v>
      </c>
      <c r="M61" t="s">
        <v>40</v>
      </c>
      <c r="N61" s="18">
        <v>37288</v>
      </c>
      <c r="O61" s="11">
        <v>45536</v>
      </c>
      <c r="P61"/>
      <c r="Q61" s="7" t="s">
        <v>167</v>
      </c>
      <c r="R61" t="s">
        <v>43</v>
      </c>
      <c r="T61" t="s">
        <v>44</v>
      </c>
      <c r="U61" s="16" t="s">
        <v>527</v>
      </c>
      <c r="V61" s="7" t="s">
        <v>528</v>
      </c>
      <c r="W61" t="s">
        <v>529</v>
      </c>
      <c r="AA61" s="7" t="s">
        <v>529</v>
      </c>
      <c r="AB61" s="13" t="s">
        <v>489</v>
      </c>
      <c r="AC61" s="7" t="s">
        <v>50</v>
      </c>
      <c r="AD61" s="13" t="s">
        <v>52</v>
      </c>
      <c r="AF61" t="s">
        <v>193</v>
      </c>
    </row>
    <row r="62" spans="1:32" ht="15" customHeight="1" x14ac:dyDescent="0.3">
      <c r="A62" s="7">
        <v>202421007</v>
      </c>
      <c r="B62" s="7">
        <f>IF(EEmaster[[#This Row],[Firm]]="Ashil Shah &amp; Associates",COUNTIFS($Y$2:AB62,AB62)-17,COUNTIFS($Y$2:AB62,AB62))</f>
        <v>6</v>
      </c>
      <c r="C62" s="28" t="s">
        <v>530</v>
      </c>
      <c r="D62" s="7" t="s">
        <v>33</v>
      </c>
      <c r="E62" s="9" t="s">
        <v>34</v>
      </c>
      <c r="F62" t="s">
        <v>484</v>
      </c>
      <c r="G62" t="s">
        <v>119</v>
      </c>
      <c r="H62" t="s">
        <v>83</v>
      </c>
      <c r="J62" s="7">
        <v>7398829240</v>
      </c>
      <c r="K62" s="17" t="s">
        <v>531</v>
      </c>
      <c r="L62" s="17" t="s">
        <v>39</v>
      </c>
      <c r="M62" t="s">
        <v>40</v>
      </c>
      <c r="N62" s="18">
        <v>43669</v>
      </c>
      <c r="O62" s="11">
        <v>45536</v>
      </c>
      <c r="P62"/>
      <c r="Q62" s="7" t="s">
        <v>59</v>
      </c>
      <c r="R62" t="s">
        <v>532</v>
      </c>
      <c r="T62" t="s">
        <v>142</v>
      </c>
      <c r="U62" s="12" t="s">
        <v>533</v>
      </c>
      <c r="V62" s="7" t="s">
        <v>534</v>
      </c>
      <c r="W62" t="s">
        <v>535</v>
      </c>
      <c r="AA62" s="7" t="s">
        <v>535</v>
      </c>
      <c r="AB62" s="13" t="s">
        <v>489</v>
      </c>
      <c r="AC62" s="7" t="s">
        <v>50</v>
      </c>
      <c r="AD62" s="13" t="s">
        <v>52</v>
      </c>
      <c r="AF62" t="s">
        <v>193</v>
      </c>
    </row>
    <row r="63" spans="1:32" ht="15" customHeight="1" x14ac:dyDescent="0.3">
      <c r="A63" s="7">
        <v>202421008</v>
      </c>
      <c r="B63" s="7">
        <f>IF(EEmaster[[#This Row],[Firm]]="Ashil Shah &amp; Associates",COUNTIFS($Y$2:AB63,AB63)-17,COUNTIFS($Y$2:AB63,AB63))</f>
        <v>7</v>
      </c>
      <c r="C63" s="28" t="s">
        <v>536</v>
      </c>
      <c r="D63" s="7" t="s">
        <v>33</v>
      </c>
      <c r="E63" s="9" t="s">
        <v>34</v>
      </c>
      <c r="F63" t="s">
        <v>484</v>
      </c>
      <c r="G63" t="s">
        <v>119</v>
      </c>
      <c r="H63" t="s">
        <v>83</v>
      </c>
      <c r="J63" s="7">
        <v>9756355982</v>
      </c>
      <c r="K63" s="17" t="s">
        <v>537</v>
      </c>
      <c r="L63" t="s">
        <v>84</v>
      </c>
      <c r="M63" t="s">
        <v>40</v>
      </c>
      <c r="N63" s="18">
        <v>34880</v>
      </c>
      <c r="O63" s="11">
        <v>45536</v>
      </c>
      <c r="P63"/>
      <c r="Q63" s="7" t="s">
        <v>6</v>
      </c>
      <c r="R63" t="s">
        <v>538</v>
      </c>
      <c r="T63" s="29" t="s">
        <v>186</v>
      </c>
      <c r="U63" s="16" t="s">
        <v>539</v>
      </c>
      <c r="V63" s="7" t="s">
        <v>540</v>
      </c>
      <c r="W63" t="s">
        <v>541</v>
      </c>
      <c r="AA63" s="7" t="s">
        <v>541</v>
      </c>
      <c r="AB63" s="13" t="s">
        <v>489</v>
      </c>
      <c r="AC63" s="7" t="s">
        <v>50</v>
      </c>
      <c r="AD63" s="13" t="s">
        <v>52</v>
      </c>
      <c r="AF63" t="s">
        <v>193</v>
      </c>
    </row>
    <row r="64" spans="1:32" ht="15" customHeight="1" x14ac:dyDescent="0.3">
      <c r="A64" s="7">
        <v>202421009</v>
      </c>
      <c r="B64" s="7">
        <f>IF(EEmaster[[#This Row],[Firm]]="Ashil Shah &amp; Associates",COUNTIFS($Y$2:AB64,AB64)-17,COUNTIFS($Y$2:AB64,AB64))</f>
        <v>8</v>
      </c>
      <c r="C64" s="8" t="s">
        <v>542</v>
      </c>
      <c r="D64" s="7" t="s">
        <v>33</v>
      </c>
      <c r="E64" s="9" t="s">
        <v>34</v>
      </c>
      <c r="F64" t="s">
        <v>484</v>
      </c>
      <c r="G64" t="s">
        <v>119</v>
      </c>
      <c r="H64" t="s">
        <v>37</v>
      </c>
      <c r="J64" s="7">
        <v>8264121941</v>
      </c>
      <c r="K64" s="17" t="s">
        <v>543</v>
      </c>
      <c r="L64" t="s">
        <v>544</v>
      </c>
      <c r="M64" t="s">
        <v>40</v>
      </c>
      <c r="N64" s="18">
        <v>36523</v>
      </c>
      <c r="O64" s="11">
        <v>45470</v>
      </c>
      <c r="P64"/>
      <c r="Q64" s="7" t="s">
        <v>59</v>
      </c>
      <c r="R64" t="s">
        <v>545</v>
      </c>
      <c r="T64" t="s">
        <v>251</v>
      </c>
      <c r="U64" s="16" t="s">
        <v>546</v>
      </c>
      <c r="V64" s="7" t="s">
        <v>547</v>
      </c>
      <c r="W64" t="s">
        <v>548</v>
      </c>
      <c r="AA64" s="7" t="s">
        <v>548</v>
      </c>
      <c r="AB64" s="13" t="s">
        <v>489</v>
      </c>
      <c r="AC64" s="7" t="s">
        <v>50</v>
      </c>
      <c r="AD64" s="13" t="s">
        <v>52</v>
      </c>
      <c r="AF64" t="s">
        <v>193</v>
      </c>
    </row>
    <row r="65" spans="1:32" ht="15" customHeight="1" x14ac:dyDescent="0.3">
      <c r="A65" s="7">
        <v>202420016</v>
      </c>
      <c r="B65" s="7">
        <f>IF(EEmaster[[#This Row],[Firm]]="Ashil Shah &amp; Associates",COUNTIFS($Y$2:AB65,AB65)-17,COUNTIFS($Y$2:AB65,AB65))</f>
        <v>1</v>
      </c>
      <c r="C65" s="8" t="s">
        <v>549</v>
      </c>
      <c r="D65" s="7" t="s">
        <v>33</v>
      </c>
      <c r="E65" s="9" t="s">
        <v>34</v>
      </c>
      <c r="F65" s="7" t="s">
        <v>70</v>
      </c>
      <c r="G65" s="7" t="s">
        <v>173</v>
      </c>
      <c r="H65" t="s">
        <v>101</v>
      </c>
      <c r="J65" s="7"/>
      <c r="K65" s="17" t="s">
        <v>550</v>
      </c>
      <c r="L65" t="s">
        <v>84</v>
      </c>
      <c r="M65" t="s">
        <v>40</v>
      </c>
      <c r="N65" s="18">
        <v>26117</v>
      </c>
      <c r="O65" s="11">
        <v>45506</v>
      </c>
      <c r="P65"/>
      <c r="Q65" s="7" t="s">
        <v>59</v>
      </c>
      <c r="R65" t="s">
        <v>43</v>
      </c>
      <c r="T65" t="s">
        <v>426</v>
      </c>
      <c r="U65" s="16" t="s">
        <v>551</v>
      </c>
      <c r="V65" s="7" t="s">
        <v>552</v>
      </c>
      <c r="AA65" s="7" t="s">
        <v>106</v>
      </c>
      <c r="AB65" s="13" t="s">
        <v>67</v>
      </c>
      <c r="AC65" s="7" t="s">
        <v>50</v>
      </c>
      <c r="AD65" s="13" t="s">
        <v>52</v>
      </c>
    </row>
    <row r="66" spans="1:32" ht="15" customHeight="1" x14ac:dyDescent="0.3">
      <c r="A66" s="7">
        <v>202421010</v>
      </c>
      <c r="B66" s="7">
        <f>IF(EEmaster[[#This Row],[Firm]]="Ashil Shah &amp; Associates",COUNTIFS($Y$2:AB66,AB66)-17,COUNTIFS($Y$2:AB66,AB66))</f>
        <v>9</v>
      </c>
      <c r="C66" s="8" t="s">
        <v>553</v>
      </c>
      <c r="D66" s="7" t="s">
        <v>33</v>
      </c>
      <c r="E66" s="9" t="s">
        <v>34</v>
      </c>
      <c r="F66" t="s">
        <v>484</v>
      </c>
      <c r="G66" t="s">
        <v>119</v>
      </c>
      <c r="H66" t="s">
        <v>37</v>
      </c>
      <c r="J66" s="7"/>
      <c r="K66" s="17" t="s">
        <v>554</v>
      </c>
      <c r="M66"/>
      <c r="N66" s="18">
        <v>36608</v>
      </c>
      <c r="O66" s="11">
        <v>45537</v>
      </c>
      <c r="P66"/>
      <c r="Q66" s="7" t="s">
        <v>59</v>
      </c>
      <c r="R66" t="s">
        <v>43</v>
      </c>
      <c r="T66" t="s">
        <v>91</v>
      </c>
      <c r="U66" s="12" t="str">
        <f>"50100576111770"</f>
        <v>50100576111770</v>
      </c>
      <c r="V66" s="7" t="s">
        <v>555</v>
      </c>
      <c r="W66" s="26" t="s">
        <v>556</v>
      </c>
      <c r="AA66" s="7" t="s">
        <v>557</v>
      </c>
      <c r="AB66" s="13" t="s">
        <v>489</v>
      </c>
      <c r="AC66" s="7" t="s">
        <v>50</v>
      </c>
      <c r="AD66" s="13" t="s">
        <v>52</v>
      </c>
      <c r="AF66" t="s">
        <v>193</v>
      </c>
    </row>
    <row r="67" spans="1:32" ht="15" customHeight="1" x14ac:dyDescent="0.3">
      <c r="A67" s="7">
        <v>202418039</v>
      </c>
      <c r="B67" s="7">
        <f>IF(EEmaster[[#This Row],[Firm]]="Ashil Shah &amp; Associates",COUNTIFS($Y$2:AB67,AB67)-17,COUNTIFS($Y$2:AB67,AB67))</f>
        <v>39</v>
      </c>
      <c r="C67" s="8" t="s">
        <v>558</v>
      </c>
      <c r="D67" s="7" t="s">
        <v>33</v>
      </c>
      <c r="E67" s="9">
        <v>45609</v>
      </c>
      <c r="H67" t="s">
        <v>37</v>
      </c>
      <c r="J67" s="7">
        <v>9016375542</v>
      </c>
      <c r="K67" s="17" t="s">
        <v>559</v>
      </c>
      <c r="M67" t="s">
        <v>40</v>
      </c>
      <c r="N67" s="18">
        <v>34562</v>
      </c>
      <c r="O67" s="11">
        <v>45548</v>
      </c>
      <c r="P67"/>
      <c r="Q67" s="7" t="s">
        <v>167</v>
      </c>
      <c r="R67" t="s">
        <v>43</v>
      </c>
      <c r="T67" t="s">
        <v>73</v>
      </c>
      <c r="U67" s="12" t="str">
        <f>"36290725697"</f>
        <v>36290725697</v>
      </c>
      <c r="V67" s="7" t="s">
        <v>560</v>
      </c>
      <c r="W67" s="26" t="s">
        <v>561</v>
      </c>
      <c r="AA67" s="7" t="s">
        <v>561</v>
      </c>
      <c r="AB67" s="13" t="s">
        <v>51</v>
      </c>
      <c r="AC67" s="7" t="s">
        <v>79</v>
      </c>
      <c r="AD67" s="27" t="s">
        <v>562</v>
      </c>
      <c r="AF67" t="s">
        <v>193</v>
      </c>
    </row>
    <row r="68" spans="1:32" ht="15" customHeight="1" x14ac:dyDescent="0.3">
      <c r="A68" s="7">
        <v>202421011</v>
      </c>
      <c r="B68" s="7">
        <f>IF(EEmaster[[#This Row],[Firm]]="Ashil Shah &amp; Associates",COUNTIFS($Y$2:AB68,AB68)-17,COUNTIFS($Y$2:AB68,AB68))</f>
        <v>10</v>
      </c>
      <c r="C68" s="8" t="s">
        <v>563</v>
      </c>
      <c r="D68" s="7" t="s">
        <v>33</v>
      </c>
      <c r="E68" s="9" t="s">
        <v>34</v>
      </c>
      <c r="F68" t="s">
        <v>484</v>
      </c>
      <c r="G68" t="s">
        <v>119</v>
      </c>
      <c r="H68" t="s">
        <v>37</v>
      </c>
      <c r="J68" s="7">
        <v>7698672501</v>
      </c>
      <c r="K68" s="17" t="s">
        <v>564</v>
      </c>
      <c r="M68" t="s">
        <v>96</v>
      </c>
      <c r="N68" s="18">
        <v>36903</v>
      </c>
      <c r="O68" s="11">
        <v>45559</v>
      </c>
      <c r="P68"/>
      <c r="Q68" s="7" t="s">
        <v>59</v>
      </c>
      <c r="R68" t="s">
        <v>43</v>
      </c>
      <c r="T68" t="s">
        <v>44</v>
      </c>
      <c r="U68" s="12" t="str">
        <f>"520481033925268"</f>
        <v>520481033925268</v>
      </c>
      <c r="V68" s="7" t="s">
        <v>565</v>
      </c>
      <c r="W68" s="26" t="s">
        <v>566</v>
      </c>
      <c r="AA68" s="7" t="s">
        <v>567</v>
      </c>
      <c r="AB68" s="13" t="s">
        <v>489</v>
      </c>
      <c r="AC68" s="7" t="s">
        <v>50</v>
      </c>
      <c r="AD68" s="13" t="s">
        <v>52</v>
      </c>
      <c r="AF68" t="s">
        <v>193</v>
      </c>
    </row>
    <row r="69" spans="1:32" ht="15" customHeight="1" x14ac:dyDescent="0.3">
      <c r="A69" s="7">
        <v>202401002</v>
      </c>
      <c r="B69" s="7">
        <f>IF(EEmaster[[#This Row],[Firm]]="Ashil Shah &amp; Associates",COUNTIFS($Y$2:AB69,AB69)-17,COUNTIFS($Y$2:AB69,AB69))</f>
        <v>2</v>
      </c>
      <c r="C69" s="30" t="s">
        <v>568</v>
      </c>
      <c r="D69" s="7" t="s">
        <v>33</v>
      </c>
      <c r="E69" s="9" t="s">
        <v>34</v>
      </c>
      <c r="F69" t="s">
        <v>36</v>
      </c>
      <c r="G69" t="s">
        <v>36</v>
      </c>
      <c r="H69" t="s">
        <v>83</v>
      </c>
      <c r="J69" s="7"/>
      <c r="K69" s="17"/>
      <c r="M69" t="s">
        <v>40</v>
      </c>
      <c r="N69" s="14" t="s">
        <v>85</v>
      </c>
      <c r="O69" s="11">
        <v>45292</v>
      </c>
      <c r="P69"/>
      <c r="Q69" s="7" t="s">
        <v>569</v>
      </c>
      <c r="R69" t="s">
        <v>43</v>
      </c>
      <c r="T69" t="s">
        <v>570</v>
      </c>
      <c r="U69" s="30" t="str">
        <f>"113100050303023"</f>
        <v>113100050303023</v>
      </c>
      <c r="V69" s="31" t="s">
        <v>571</v>
      </c>
      <c r="AA69" s="7" t="s">
        <v>572</v>
      </c>
      <c r="AB69" s="13" t="s">
        <v>67</v>
      </c>
      <c r="AC69" s="7" t="s">
        <v>50</v>
      </c>
      <c r="AD69" s="13" t="s">
        <v>52</v>
      </c>
    </row>
    <row r="70" spans="1:32" ht="15" customHeight="1" x14ac:dyDescent="0.3">
      <c r="A70" s="7">
        <v>202418040</v>
      </c>
      <c r="B70" s="7">
        <f>IF(EEmaster[[#This Row],[Firm]]="Ashil Shah &amp; Associates",COUNTIFS($Y$2:AB70,AB70)-17,COUNTIFS($Y$2:AB70,AB70))</f>
        <v>40</v>
      </c>
      <c r="C70" s="8" t="s">
        <v>573</v>
      </c>
      <c r="D70" s="7" t="s">
        <v>33</v>
      </c>
      <c r="E70" s="9" t="s">
        <v>34</v>
      </c>
      <c r="F70" s="7" t="s">
        <v>110</v>
      </c>
      <c r="G70" s="7" t="s">
        <v>111</v>
      </c>
      <c r="H70" t="s">
        <v>37</v>
      </c>
      <c r="J70" s="7">
        <v>9924402366</v>
      </c>
      <c r="K70" s="24" t="s">
        <v>574</v>
      </c>
      <c r="M70" t="s">
        <v>40</v>
      </c>
      <c r="N70" s="18">
        <v>31900</v>
      </c>
      <c r="O70" s="11">
        <v>45579</v>
      </c>
      <c r="P70" t="s">
        <v>284</v>
      </c>
      <c r="Q70" s="7" t="s">
        <v>59</v>
      </c>
      <c r="R70" t="s">
        <v>43</v>
      </c>
      <c r="T70" t="s">
        <v>91</v>
      </c>
      <c r="U70" s="16" t="s">
        <v>575</v>
      </c>
      <c r="V70" s="7" t="s">
        <v>359</v>
      </c>
      <c r="W70" s="26" t="s">
        <v>576</v>
      </c>
      <c r="AA70" s="7" t="s">
        <v>577</v>
      </c>
      <c r="AB70" s="13" t="s">
        <v>51</v>
      </c>
      <c r="AC70" s="7" t="s">
        <v>79</v>
      </c>
      <c r="AD70" s="27" t="s">
        <v>578</v>
      </c>
      <c r="AF70" t="s">
        <v>53</v>
      </c>
    </row>
    <row r="71" spans="1:32" ht="15" customHeight="1" x14ac:dyDescent="0.3">
      <c r="A71" s="7">
        <v>202420017</v>
      </c>
      <c r="B71" s="7">
        <f>IF(EEmaster[[#This Row],[Firm]]="Ashil Shah &amp; Associates",COUNTIFS($Y$2:AB71,AB71)-17,COUNTIFS($Y$2:AB71,AB71))</f>
        <v>3</v>
      </c>
      <c r="C71" s="8" t="s">
        <v>580</v>
      </c>
      <c r="D71" s="7" t="s">
        <v>33</v>
      </c>
      <c r="E71" s="9" t="s">
        <v>34</v>
      </c>
      <c r="H71" t="s">
        <v>37</v>
      </c>
      <c r="J71" s="7"/>
      <c r="K71" s="17" t="s">
        <v>581</v>
      </c>
      <c r="M71" t="s">
        <v>40</v>
      </c>
      <c r="N71" s="18">
        <v>35431</v>
      </c>
      <c r="O71" s="11">
        <v>45616</v>
      </c>
      <c r="P71" t="s">
        <v>284</v>
      </c>
      <c r="Q71" s="7" t="s">
        <v>579</v>
      </c>
      <c r="R71" t="s">
        <v>43</v>
      </c>
      <c r="S71" t="s">
        <v>401</v>
      </c>
      <c r="T71" t="s">
        <v>426</v>
      </c>
      <c r="U71" s="16" t="s">
        <v>582</v>
      </c>
      <c r="V71" s="7" t="s">
        <v>583</v>
      </c>
      <c r="W71" s="26" t="s">
        <v>584</v>
      </c>
      <c r="AA71" s="7" t="s">
        <v>584</v>
      </c>
      <c r="AB71" s="13" t="s">
        <v>67</v>
      </c>
      <c r="AC71" s="7" t="s">
        <v>50</v>
      </c>
      <c r="AD71" s="13" t="s">
        <v>52</v>
      </c>
      <c r="AF71" t="s">
        <v>193</v>
      </c>
    </row>
    <row r="72" spans="1:32" ht="15" customHeight="1" x14ac:dyDescent="0.3">
      <c r="A72" s="7">
        <v>202418041</v>
      </c>
      <c r="B72" s="7">
        <f>IF(EEmaster[[#This Row],[Firm]]="Ashil Shah &amp; Associates",COUNTIFS($Y$2:AB72,AB72)-17,COUNTIFS($Y$2:AB72,AB72))</f>
        <v>41</v>
      </c>
      <c r="C72" s="8" t="s">
        <v>585</v>
      </c>
      <c r="D72" s="7" t="s">
        <v>33</v>
      </c>
      <c r="E72" s="9" t="s">
        <v>34</v>
      </c>
      <c r="H72" t="s">
        <v>37</v>
      </c>
      <c r="J72" s="7">
        <v>9834944614</v>
      </c>
      <c r="K72" s="24" t="s">
        <v>586</v>
      </c>
      <c r="L72" s="29" t="s">
        <v>39</v>
      </c>
      <c r="M72" t="s">
        <v>40</v>
      </c>
      <c r="N72" s="18">
        <v>37012</v>
      </c>
      <c r="O72" s="11">
        <v>45622</v>
      </c>
      <c r="P72" t="s">
        <v>284</v>
      </c>
      <c r="Q72" s="7" t="s">
        <v>59</v>
      </c>
      <c r="R72" t="s">
        <v>43</v>
      </c>
      <c r="T72" t="s">
        <v>73</v>
      </c>
      <c r="U72" s="8" t="s">
        <v>587</v>
      </c>
      <c r="V72" s="7" t="s">
        <v>588</v>
      </c>
      <c r="AA72" s="7" t="s">
        <v>589</v>
      </c>
      <c r="AB72" s="13" t="s">
        <v>51</v>
      </c>
      <c r="AC72" s="7" t="s">
        <v>50</v>
      </c>
      <c r="AD72" s="13" t="s">
        <v>52</v>
      </c>
    </row>
    <row r="73" spans="1:32" ht="15" customHeight="1" x14ac:dyDescent="0.3">
      <c r="A73" s="7">
        <v>202421012</v>
      </c>
      <c r="B73" s="7">
        <f>IF(EEmaster[[#This Row],[Firm]]="Ashil Shah &amp; Associates",COUNTIFS($Y$2:AB73,AB73)-17,COUNTIFS($Y$2:AB73,AB73))</f>
        <v>11</v>
      </c>
      <c r="C73" s="8" t="s">
        <v>590</v>
      </c>
      <c r="D73" s="7" t="s">
        <v>33</v>
      </c>
      <c r="E73" s="9" t="s">
        <v>34</v>
      </c>
      <c r="F73" t="s">
        <v>484</v>
      </c>
      <c r="G73" t="s">
        <v>119</v>
      </c>
      <c r="H73" t="s">
        <v>37</v>
      </c>
      <c r="J73" s="7"/>
      <c r="K73" s="17" t="s">
        <v>591</v>
      </c>
      <c r="M73" t="s">
        <v>96</v>
      </c>
      <c r="N73" s="18">
        <v>35120</v>
      </c>
      <c r="O73" s="11">
        <v>45566</v>
      </c>
      <c r="P73"/>
      <c r="Q73" s="7" t="s">
        <v>59</v>
      </c>
      <c r="R73" t="s">
        <v>43</v>
      </c>
      <c r="T73" t="s">
        <v>142</v>
      </c>
      <c r="U73" s="8" t="s">
        <v>592</v>
      </c>
      <c r="V73" s="7" t="s">
        <v>593</v>
      </c>
      <c r="AA73" s="7" t="s">
        <v>594</v>
      </c>
      <c r="AB73" s="13" t="s">
        <v>489</v>
      </c>
      <c r="AC73" s="7" t="s">
        <v>50</v>
      </c>
      <c r="AD73" s="13" t="s">
        <v>52</v>
      </c>
      <c r="AF73" t="s">
        <v>193</v>
      </c>
    </row>
    <row r="74" spans="1:32" ht="15" customHeight="1" x14ac:dyDescent="0.3">
      <c r="A74" s="7">
        <v>202421013</v>
      </c>
      <c r="B74" s="7">
        <f>IF(EEmaster[[#This Row],[Firm]]="Ashil Shah &amp; Associates",COUNTIFS($Y$2:AB74,AB74)-17,COUNTIFS($Y$2:AB74,AB74))</f>
        <v>12</v>
      </c>
      <c r="C74" s="8" t="s">
        <v>595</v>
      </c>
      <c r="D74" s="7" t="s">
        <v>33</v>
      </c>
      <c r="E74" s="9" t="s">
        <v>34</v>
      </c>
      <c r="F74" t="s">
        <v>484</v>
      </c>
      <c r="G74" t="s">
        <v>119</v>
      </c>
      <c r="H74" t="s">
        <v>37</v>
      </c>
      <c r="J74" s="7"/>
      <c r="K74" s="24" t="s">
        <v>596</v>
      </c>
      <c r="M74" t="s">
        <v>96</v>
      </c>
      <c r="N74" s="18">
        <v>35982</v>
      </c>
      <c r="O74" s="11">
        <v>45652</v>
      </c>
      <c r="P74"/>
      <c r="Q74" s="7" t="s">
        <v>59</v>
      </c>
      <c r="R74" t="s">
        <v>43</v>
      </c>
      <c r="T74" t="s">
        <v>97</v>
      </c>
      <c r="U74" s="16" t="s">
        <v>597</v>
      </c>
      <c r="V74" s="7" t="s">
        <v>598</v>
      </c>
      <c r="AA74" s="7" t="s">
        <v>599</v>
      </c>
      <c r="AB74" s="13" t="s">
        <v>489</v>
      </c>
      <c r="AC74" s="7" t="s">
        <v>50</v>
      </c>
      <c r="AD74" s="13" t="s">
        <v>52</v>
      </c>
    </row>
    <row r="75" spans="1:32" ht="15" customHeight="1" x14ac:dyDescent="0.3">
      <c r="A75" s="7">
        <v>202418042</v>
      </c>
      <c r="B75" s="7">
        <f>IF(EEmaster[[#This Row],[Firm]]="Ashil Shah &amp; Associates",COUNTIFS($Y$2:AB75,AB75)-17,COUNTIFS($Y$2:AB75,AB75))</f>
        <v>42</v>
      </c>
      <c r="C75" s="8" t="s">
        <v>600</v>
      </c>
      <c r="D75" s="7" t="s">
        <v>33</v>
      </c>
      <c r="E75" s="9" t="s">
        <v>34</v>
      </c>
      <c r="F75" t="s">
        <v>70</v>
      </c>
      <c r="G75" t="s">
        <v>111</v>
      </c>
      <c r="H75" t="s">
        <v>37</v>
      </c>
      <c r="J75" s="32" t="s">
        <v>601</v>
      </c>
      <c r="K75" s="17" t="s">
        <v>602</v>
      </c>
      <c r="M75" t="s">
        <v>96</v>
      </c>
      <c r="N75" s="18">
        <v>37130</v>
      </c>
      <c r="O75" s="11">
        <v>45642</v>
      </c>
      <c r="P75"/>
      <c r="Q75" s="7" t="s">
        <v>59</v>
      </c>
      <c r="R75" t="s">
        <v>43</v>
      </c>
      <c r="T75" t="s">
        <v>603</v>
      </c>
      <c r="U75" s="16" t="s">
        <v>604</v>
      </c>
      <c r="V75" s="7" t="s">
        <v>605</v>
      </c>
      <c r="AA75" s="7" t="s">
        <v>606</v>
      </c>
      <c r="AB75" s="13" t="s">
        <v>51</v>
      </c>
      <c r="AC75" s="7" t="s">
        <v>50</v>
      </c>
      <c r="AD75" s="13" t="s">
        <v>52</v>
      </c>
    </row>
    <row r="76" spans="1:32" ht="15" customHeight="1" x14ac:dyDescent="0.3">
      <c r="A76" s="7">
        <v>202518043</v>
      </c>
      <c r="B76" s="7">
        <f>IF(EEmaster[[#This Row],[Firm]]="Ashil Shah &amp; Associates",COUNTIFS($Y$2:AB76,AB76)-17,COUNTIFS($Y$2:AB76,AB76))</f>
        <v>43</v>
      </c>
      <c r="C76" s="8" t="s">
        <v>607</v>
      </c>
      <c r="D76" s="7" t="s">
        <v>33</v>
      </c>
      <c r="E76" s="9" t="s">
        <v>34</v>
      </c>
      <c r="F76" t="s">
        <v>110</v>
      </c>
      <c r="G76" t="s">
        <v>36</v>
      </c>
      <c r="H76" t="s">
        <v>37</v>
      </c>
      <c r="J76" s="32" t="s">
        <v>608</v>
      </c>
      <c r="K76" s="7" t="s">
        <v>609</v>
      </c>
      <c r="L76" t="s">
        <v>39</v>
      </c>
      <c r="M76" t="s">
        <v>40</v>
      </c>
      <c r="N76" s="18">
        <v>35693</v>
      </c>
      <c r="O76" s="11">
        <v>45663</v>
      </c>
      <c r="P76" t="s">
        <v>284</v>
      </c>
      <c r="Q76" s="7" t="s">
        <v>59</v>
      </c>
      <c r="R76" t="s">
        <v>43</v>
      </c>
      <c r="T76" s="7" t="s">
        <v>124</v>
      </c>
      <c r="U76" s="16" t="s">
        <v>610</v>
      </c>
      <c r="V76" s="7" t="s">
        <v>611</v>
      </c>
      <c r="AA76" s="7" t="s">
        <v>612</v>
      </c>
      <c r="AB76" s="13" t="s">
        <v>51</v>
      </c>
      <c r="AC76" s="7" t="s">
        <v>50</v>
      </c>
      <c r="AD76" s="13" t="s">
        <v>52</v>
      </c>
    </row>
    <row r="77" spans="1:32" ht="15" customHeight="1" x14ac:dyDescent="0.3">
      <c r="A77" s="7">
        <v>202521014</v>
      </c>
      <c r="B77" s="7">
        <f>IF(EEmaster[[#This Row],[Firm]]="Ashil Shah &amp; Associates",COUNTIFS($Y$2:AB77,AB77)-17,COUNTIFS($Y$2:AB77,AB77))</f>
        <v>13</v>
      </c>
      <c r="C77" s="8" t="s">
        <v>613</v>
      </c>
      <c r="D77" s="7" t="s">
        <v>33</v>
      </c>
      <c r="E77" s="9" t="s">
        <v>34</v>
      </c>
      <c r="F77" t="s">
        <v>484</v>
      </c>
      <c r="G77" t="s">
        <v>119</v>
      </c>
      <c r="H77" t="s">
        <v>83</v>
      </c>
      <c r="J77" s="32" t="s">
        <v>614</v>
      </c>
      <c r="K77" s="17" t="s">
        <v>615</v>
      </c>
      <c r="L77" t="s">
        <v>39</v>
      </c>
      <c r="M77" t="s">
        <v>40</v>
      </c>
      <c r="N77" s="18">
        <v>35972</v>
      </c>
      <c r="O77" s="11">
        <v>45664</v>
      </c>
      <c r="P77"/>
      <c r="Q77" s="7" t="s">
        <v>6</v>
      </c>
      <c r="R77" t="s">
        <v>616</v>
      </c>
      <c r="T77" s="7" t="s">
        <v>124</v>
      </c>
      <c r="U77" s="16" t="s">
        <v>617</v>
      </c>
      <c r="V77" s="7" t="s">
        <v>618</v>
      </c>
      <c r="Y77" s="21" t="s">
        <v>619</v>
      </c>
      <c r="AA77" s="7" t="s">
        <v>620</v>
      </c>
      <c r="AB77" s="13" t="s">
        <v>489</v>
      </c>
      <c r="AC77" s="7" t="s">
        <v>50</v>
      </c>
      <c r="AD77" s="13" t="s">
        <v>52</v>
      </c>
    </row>
    <row r="78" spans="1:32" ht="15" customHeight="1" x14ac:dyDescent="0.3">
      <c r="A78" s="7">
        <v>202518044</v>
      </c>
      <c r="B78" s="7">
        <f>IF(EEmaster[[#This Row],[Firm]]="Ashil Shah &amp; Associates",COUNTIFS($Y$2:AB78,AB78)-17,COUNTIFS($Y$2:AB78,AB78))</f>
        <v>44</v>
      </c>
      <c r="C78" s="8" t="s">
        <v>621</v>
      </c>
      <c r="D78" s="7" t="s">
        <v>33</v>
      </c>
      <c r="E78" s="9" t="s">
        <v>34</v>
      </c>
      <c r="H78" t="s">
        <v>37</v>
      </c>
      <c r="J78" s="32" t="s">
        <v>622</v>
      </c>
      <c r="K78" s="17" t="s">
        <v>623</v>
      </c>
      <c r="L78" t="s">
        <v>39</v>
      </c>
      <c r="M78" t="s">
        <v>96</v>
      </c>
      <c r="N78" s="18">
        <v>36594</v>
      </c>
      <c r="O78" s="11">
        <v>45673</v>
      </c>
      <c r="P78" t="s">
        <v>284</v>
      </c>
      <c r="Q78" s="7" t="s">
        <v>59</v>
      </c>
      <c r="R78" t="s">
        <v>43</v>
      </c>
      <c r="T78" t="s">
        <v>91</v>
      </c>
      <c r="U78" s="16" t="s">
        <v>624</v>
      </c>
      <c r="V78" s="7" t="s">
        <v>625</v>
      </c>
      <c r="Y78" s="21" t="s">
        <v>626</v>
      </c>
      <c r="AA78" s="7" t="s">
        <v>627</v>
      </c>
      <c r="AB78" s="13" t="s">
        <v>51</v>
      </c>
      <c r="AC78" s="7" t="s">
        <v>79</v>
      </c>
      <c r="AD78" s="27" t="s">
        <v>628</v>
      </c>
      <c r="AF78" t="s">
        <v>53</v>
      </c>
    </row>
    <row r="79" spans="1:32" ht="15" customHeight="1" x14ac:dyDescent="0.3">
      <c r="A79" s="7">
        <v>202521015</v>
      </c>
      <c r="B79" s="7">
        <f>IF(EEmaster[[#This Row],[Firm]]="Ashil Shah &amp; Associates",COUNTIFS($Y$2:AB79,AB79)-17,COUNTIFS($Y$2:AB79,AB79))</f>
        <v>14</v>
      </c>
      <c r="C79" s="8" t="s">
        <v>629</v>
      </c>
      <c r="D79" s="7" t="s">
        <v>33</v>
      </c>
      <c r="E79" s="9" t="s">
        <v>34</v>
      </c>
      <c r="F79" t="s">
        <v>484</v>
      </c>
      <c r="G79" t="s">
        <v>119</v>
      </c>
      <c r="H79" t="s">
        <v>83</v>
      </c>
      <c r="J79" s="32" t="s">
        <v>630</v>
      </c>
      <c r="K79" s="17" t="s">
        <v>631</v>
      </c>
      <c r="L79" t="s">
        <v>84</v>
      </c>
      <c r="M79" t="s">
        <v>96</v>
      </c>
      <c r="N79" s="18">
        <v>33734</v>
      </c>
      <c r="O79" s="11">
        <v>45709</v>
      </c>
      <c r="P79"/>
      <c r="Q79" s="7" t="s">
        <v>6</v>
      </c>
      <c r="R79" t="s">
        <v>43</v>
      </c>
      <c r="T79" t="s">
        <v>91</v>
      </c>
      <c r="U79" s="16" t="s">
        <v>632</v>
      </c>
      <c r="V79" s="7" t="s">
        <v>633</v>
      </c>
      <c r="W79" s="17" t="s">
        <v>634</v>
      </c>
      <c r="AA79" s="17" t="s">
        <v>634</v>
      </c>
      <c r="AB79" s="13" t="s">
        <v>489</v>
      </c>
      <c r="AC79" s="7" t="s">
        <v>50</v>
      </c>
      <c r="AD79" s="13" t="s">
        <v>52</v>
      </c>
      <c r="AF79" t="s">
        <v>193</v>
      </c>
    </row>
    <row r="80" spans="1:32" ht="15" customHeight="1" x14ac:dyDescent="0.3">
      <c r="A80" s="7">
        <v>202518045</v>
      </c>
      <c r="B80" s="7">
        <f>IF(EEmaster[[#This Row],[Firm]]="Ashil Shah &amp; Associates",COUNTIFS($Y$2:AB80,AB80)-17,COUNTIFS($Y$2:AB80,AB80))</f>
        <v>45</v>
      </c>
      <c r="C80" s="8" t="s">
        <v>635</v>
      </c>
      <c r="D80" s="7" t="s">
        <v>33</v>
      </c>
      <c r="E80" s="9" t="s">
        <v>34</v>
      </c>
      <c r="F80" s="7" t="s">
        <v>70</v>
      </c>
      <c r="G80" s="7" t="s">
        <v>70</v>
      </c>
      <c r="H80" s="7" t="s">
        <v>37</v>
      </c>
      <c r="I80" s="7" t="s">
        <v>56</v>
      </c>
      <c r="J80" s="7">
        <v>8469651843</v>
      </c>
      <c r="K80" s="7" t="s">
        <v>203</v>
      </c>
      <c r="L80" s="7" t="s">
        <v>39</v>
      </c>
      <c r="M80" s="7" t="s">
        <v>96</v>
      </c>
      <c r="N80" s="18">
        <v>36651</v>
      </c>
      <c r="O80" s="11">
        <v>45730</v>
      </c>
      <c r="P80" s="7"/>
      <c r="Q80" s="7" t="s">
        <v>59</v>
      </c>
      <c r="R80" s="7" t="s">
        <v>43</v>
      </c>
      <c r="S80" s="7"/>
      <c r="T80" t="s">
        <v>205</v>
      </c>
      <c r="U80" s="12" t="s">
        <v>206</v>
      </c>
      <c r="V80" s="7" t="s">
        <v>207</v>
      </c>
      <c r="W80" s="7" t="s">
        <v>208</v>
      </c>
      <c r="X80" s="7" t="s">
        <v>209</v>
      </c>
      <c r="Y80" s="7" t="s">
        <v>210</v>
      </c>
      <c r="Z80" s="7" t="s">
        <v>50</v>
      </c>
      <c r="AA80" s="7" t="s">
        <v>211</v>
      </c>
      <c r="AB80" s="13" t="s">
        <v>51</v>
      </c>
      <c r="AC80" s="7" t="s">
        <v>50</v>
      </c>
      <c r="AD80" s="13" t="s">
        <v>52</v>
      </c>
      <c r="AE80" s="13"/>
      <c r="AF80" t="s">
        <v>193</v>
      </c>
    </row>
    <row r="81" spans="1:32" ht="15" customHeight="1" x14ac:dyDescent="0.3">
      <c r="A81" s="7">
        <v>202501003</v>
      </c>
      <c r="B81" s="7">
        <f>IF(EEmaster[[#This Row],[Firm]]="Ashil Shah &amp; Associates",COUNTIFS($Y$2:AB81,AB81)-17,COUNTIFS($Y$2:AB81,AB81))</f>
        <v>4</v>
      </c>
      <c r="C81" s="8" t="s">
        <v>636</v>
      </c>
      <c r="D81" s="7" t="s">
        <v>33</v>
      </c>
      <c r="E81" s="9" t="s">
        <v>34</v>
      </c>
      <c r="F81" s="7" t="s">
        <v>637</v>
      </c>
      <c r="G81" t="s">
        <v>123</v>
      </c>
      <c r="H81" s="7" t="s">
        <v>37</v>
      </c>
      <c r="J81" s="7">
        <v>9825586597</v>
      </c>
      <c r="K81" s="17" t="s">
        <v>638</v>
      </c>
      <c r="L81" t="s">
        <v>84</v>
      </c>
      <c r="M81" t="s">
        <v>40</v>
      </c>
      <c r="N81" s="18">
        <v>22051</v>
      </c>
      <c r="O81" s="11">
        <v>45717</v>
      </c>
      <c r="P81"/>
      <c r="Q81" s="7" t="s">
        <v>54</v>
      </c>
      <c r="R81" s="7" t="s">
        <v>43</v>
      </c>
      <c r="T81" t="s">
        <v>496</v>
      </c>
      <c r="U81" s="16" t="s">
        <v>639</v>
      </c>
      <c r="V81" s="7" t="s">
        <v>640</v>
      </c>
      <c r="AA81" s="17" t="s">
        <v>641</v>
      </c>
      <c r="AB81" s="13" t="s">
        <v>67</v>
      </c>
      <c r="AC81" s="7" t="s">
        <v>50</v>
      </c>
      <c r="AD81" s="13" t="s">
        <v>52</v>
      </c>
    </row>
    <row r="82" spans="1:32" ht="15" customHeight="1" x14ac:dyDescent="0.3">
      <c r="A82" s="7">
        <v>202501005</v>
      </c>
      <c r="B82" s="7">
        <f>IF(EEmaster[[#This Row],[Firm]]="Ashil Shah &amp; Associates",COUNTIFS($Y$2:AB82,AB82)-17,COUNTIFS($Y$2:AB82,AB82))</f>
        <v>5</v>
      </c>
      <c r="C82" s="8" t="s">
        <v>642</v>
      </c>
      <c r="D82" s="7" t="s">
        <v>33</v>
      </c>
      <c r="E82" s="9" t="s">
        <v>34</v>
      </c>
      <c r="F82" t="s">
        <v>69</v>
      </c>
      <c r="H82" t="s">
        <v>83</v>
      </c>
      <c r="J82" s="7">
        <v>9742932288</v>
      </c>
      <c r="K82" s="17" t="s">
        <v>643</v>
      </c>
      <c r="L82" t="s">
        <v>84</v>
      </c>
      <c r="M82" t="s">
        <v>40</v>
      </c>
      <c r="N82" s="18">
        <v>31641</v>
      </c>
      <c r="O82" s="11">
        <v>45728</v>
      </c>
      <c r="P82"/>
      <c r="Q82" s="7" t="s">
        <v>212</v>
      </c>
      <c r="R82" t="s">
        <v>458</v>
      </c>
      <c r="T82" t="s">
        <v>91</v>
      </c>
      <c r="U82" s="16" t="s">
        <v>644</v>
      </c>
      <c r="V82" s="7" t="s">
        <v>645</v>
      </c>
      <c r="AA82" s="7" t="s">
        <v>646</v>
      </c>
      <c r="AB82" s="13" t="s">
        <v>67</v>
      </c>
      <c r="AC82" s="7" t="s">
        <v>50</v>
      </c>
      <c r="AD82" s="13" t="s">
        <v>52</v>
      </c>
      <c r="AF82" t="s">
        <v>53</v>
      </c>
    </row>
    <row r="83" spans="1:32" ht="15" customHeight="1" x14ac:dyDescent="0.3">
      <c r="A83" s="7">
        <v>202518046</v>
      </c>
      <c r="B83" s="7">
        <f>IF(EEmaster[[#This Row],[Firm]]="Ashil Shah &amp; Associates",COUNTIFS($Y$2:AB83,AB83)-17,COUNTIFS($Y$2:AB83,AB83))</f>
        <v>46</v>
      </c>
      <c r="C83" s="8" t="s">
        <v>647</v>
      </c>
      <c r="D83" s="7" t="s">
        <v>33</v>
      </c>
      <c r="E83" s="9" t="s">
        <v>34</v>
      </c>
      <c r="F83" t="s">
        <v>35</v>
      </c>
      <c r="G83" t="s">
        <v>36</v>
      </c>
      <c r="H83" t="s">
        <v>37</v>
      </c>
      <c r="I83" s="7" t="s">
        <v>120</v>
      </c>
      <c r="J83" s="32" t="s">
        <v>648</v>
      </c>
      <c r="K83" s="24" t="s">
        <v>649</v>
      </c>
      <c r="L83" s="29" t="s">
        <v>84</v>
      </c>
      <c r="M83" s="29" t="s">
        <v>40</v>
      </c>
      <c r="N83" s="18">
        <v>34726</v>
      </c>
      <c r="O83" s="11">
        <v>45778</v>
      </c>
      <c r="P83" s="29" t="s">
        <v>650</v>
      </c>
      <c r="Q83" s="7" t="s">
        <v>651</v>
      </c>
      <c r="R83" s="29" t="s">
        <v>43</v>
      </c>
      <c r="T83" t="s">
        <v>91</v>
      </c>
      <c r="U83" s="16" t="s">
        <v>652</v>
      </c>
      <c r="V83" s="7" t="s">
        <v>653</v>
      </c>
      <c r="W83" t="s">
        <v>654</v>
      </c>
      <c r="AA83" s="7" t="s">
        <v>654</v>
      </c>
      <c r="AB83" s="13" t="s">
        <v>51</v>
      </c>
      <c r="AC83" s="7" t="s">
        <v>79</v>
      </c>
      <c r="AD83" s="21" t="s">
        <v>655</v>
      </c>
      <c r="AE83" s="18">
        <v>45777</v>
      </c>
    </row>
    <row r="84" spans="1:32" ht="15" customHeight="1" x14ac:dyDescent="0.3">
      <c r="A84" s="7">
        <v>202501006</v>
      </c>
      <c r="B84" s="7">
        <f>IF(EEmaster[[#This Row],[Firm]]="Ashil Shah &amp; Associates",COUNTIFS($Y$2:AB84,AB84)-17,COUNTIFS($Y$2:AB84,AB84))</f>
        <v>6</v>
      </c>
      <c r="C84" s="8" t="s">
        <v>656</v>
      </c>
      <c r="D84" s="7" t="s">
        <v>33</v>
      </c>
      <c r="E84" s="9" t="s">
        <v>34</v>
      </c>
      <c r="F84" t="s">
        <v>69</v>
      </c>
      <c r="G84" t="s">
        <v>36</v>
      </c>
      <c r="H84" t="s">
        <v>83</v>
      </c>
      <c r="J84" s="7"/>
      <c r="K84" s="17" t="s">
        <v>657</v>
      </c>
      <c r="L84" s="29" t="s">
        <v>84</v>
      </c>
      <c r="M84" s="29" t="s">
        <v>40</v>
      </c>
      <c r="N84" s="18">
        <v>31265</v>
      </c>
      <c r="O84" s="11">
        <v>45778</v>
      </c>
      <c r="P84"/>
      <c r="Q84" s="7" t="s">
        <v>59</v>
      </c>
      <c r="R84" t="s">
        <v>458</v>
      </c>
      <c r="T84" t="s">
        <v>91</v>
      </c>
      <c r="U84" s="16" t="s">
        <v>658</v>
      </c>
      <c r="V84" s="7" t="s">
        <v>659</v>
      </c>
      <c r="W84" t="s">
        <v>660</v>
      </c>
      <c r="AA84" s="7" t="s">
        <v>660</v>
      </c>
      <c r="AB84" s="13" t="s">
        <v>67</v>
      </c>
      <c r="AC84" s="7" t="s">
        <v>50</v>
      </c>
      <c r="AD84" s="27" t="s">
        <v>661</v>
      </c>
      <c r="AE84" s="18">
        <v>45777</v>
      </c>
    </row>
    <row r="85" spans="1:32" ht="15" customHeight="1" x14ac:dyDescent="0.3">
      <c r="A85" s="7">
        <v>202501007</v>
      </c>
      <c r="B85" s="7">
        <f>IF(EEmaster[[#This Row],[Firm]]="Ashil Shah &amp; Associates",COUNTIFS($Y$2:AB85,AB85)-17,COUNTIFS($Y$2:AB85,AB85))</f>
        <v>7</v>
      </c>
      <c r="C85" s="8" t="s">
        <v>662</v>
      </c>
      <c r="D85" s="7" t="s">
        <v>33</v>
      </c>
      <c r="E85" s="9" t="s">
        <v>34</v>
      </c>
      <c r="H85" t="s">
        <v>37</v>
      </c>
      <c r="J85" s="7"/>
      <c r="K85" s="17" t="s">
        <v>663</v>
      </c>
      <c r="L85" t="s">
        <v>39</v>
      </c>
      <c r="M85" s="29" t="s">
        <v>40</v>
      </c>
      <c r="N85" s="18">
        <v>36506</v>
      </c>
      <c r="O85" s="11">
        <v>45792</v>
      </c>
      <c r="P85"/>
      <c r="Q85" s="7" t="s">
        <v>59</v>
      </c>
      <c r="R85" t="s">
        <v>43</v>
      </c>
      <c r="T85" t="s">
        <v>73</v>
      </c>
      <c r="U85" s="16" t="s">
        <v>664</v>
      </c>
      <c r="V85" s="7" t="s">
        <v>665</v>
      </c>
      <c r="W85" s="26" t="s">
        <v>666</v>
      </c>
      <c r="AA85" s="7" t="s">
        <v>666</v>
      </c>
      <c r="AB85" s="13" t="s">
        <v>67</v>
      </c>
      <c r="AC85" s="7" t="s">
        <v>50</v>
      </c>
      <c r="AD85" s="13" t="s">
        <v>52</v>
      </c>
      <c r="AE85" s="18">
        <v>45790</v>
      </c>
    </row>
    <row r="86" spans="1:32" ht="15" customHeight="1" x14ac:dyDescent="0.3">
      <c r="A86" s="7">
        <v>202501008</v>
      </c>
      <c r="B86" s="7">
        <f>IF(EEmaster[[#This Row],[Firm]]="Ashil Shah &amp; Associates",COUNTIFS($Y$2:AB86,AB86)-17,COUNTIFS($Y$2:AB86,AB86))</f>
        <v>8</v>
      </c>
      <c r="C86" s="8" t="s">
        <v>667</v>
      </c>
      <c r="D86" s="7" t="s">
        <v>33</v>
      </c>
      <c r="E86" s="9" t="s">
        <v>34</v>
      </c>
      <c r="H86" t="s">
        <v>37</v>
      </c>
      <c r="J86" s="7">
        <v>7359205015</v>
      </c>
      <c r="K86" s="17" t="s">
        <v>668</v>
      </c>
      <c r="L86" t="s">
        <v>39</v>
      </c>
      <c r="M86" s="29" t="s">
        <v>40</v>
      </c>
      <c r="N86" s="18">
        <v>38322</v>
      </c>
      <c r="O86" s="11">
        <v>45800</v>
      </c>
      <c r="P86"/>
      <c r="Q86" s="7" t="s">
        <v>59</v>
      </c>
      <c r="R86" t="s">
        <v>43</v>
      </c>
      <c r="T86" t="s">
        <v>73</v>
      </c>
      <c r="U86" s="16" t="s">
        <v>669</v>
      </c>
      <c r="V86" s="7" t="s">
        <v>503</v>
      </c>
      <c r="W86" t="s">
        <v>670</v>
      </c>
      <c r="Y86" s="21" t="s">
        <v>671</v>
      </c>
      <c r="AA86" s="7" t="s">
        <v>670</v>
      </c>
      <c r="AB86" s="13" t="s">
        <v>67</v>
      </c>
      <c r="AC86" s="7" t="s">
        <v>50</v>
      </c>
      <c r="AD86" s="27" t="s">
        <v>672</v>
      </c>
      <c r="AE86" s="18">
        <v>45800</v>
      </c>
    </row>
    <row r="87" spans="1:32" ht="15" customHeight="1" x14ac:dyDescent="0.3">
      <c r="A87" s="7">
        <v>202501009</v>
      </c>
      <c r="B87" s="7">
        <f>IF(EEmaster[[#This Row],[Firm]]="Ashil Shah &amp; Associates",COUNTIFS($Y$2:AB87,AB87)-17,COUNTIFS($Y$2:AB87,AB87))</f>
        <v>9</v>
      </c>
      <c r="C87" s="8" t="s">
        <v>673</v>
      </c>
      <c r="D87" s="7" t="s">
        <v>33</v>
      </c>
      <c r="E87" s="9" t="s">
        <v>34</v>
      </c>
      <c r="H87" t="s">
        <v>83</v>
      </c>
      <c r="J87" s="7"/>
      <c r="K87" s="17" t="s">
        <v>674</v>
      </c>
      <c r="L87" t="s">
        <v>84</v>
      </c>
      <c r="M87" t="s">
        <v>96</v>
      </c>
      <c r="N87" s="18">
        <v>33021</v>
      </c>
      <c r="O87" s="11">
        <v>45748</v>
      </c>
      <c r="P87"/>
      <c r="Q87" s="7" t="s">
        <v>59</v>
      </c>
      <c r="R87" t="s">
        <v>43</v>
      </c>
      <c r="T87" t="s">
        <v>73</v>
      </c>
      <c r="U87" s="16" t="s">
        <v>675</v>
      </c>
      <c r="V87" s="7" t="s">
        <v>676</v>
      </c>
      <c r="W87" t="s">
        <v>201</v>
      </c>
      <c r="Y87" s="21" t="s">
        <v>677</v>
      </c>
      <c r="AA87" s="7" t="s">
        <v>201</v>
      </c>
      <c r="AB87" s="13" t="s">
        <v>67</v>
      </c>
      <c r="AC87" s="7" t="s">
        <v>50</v>
      </c>
      <c r="AD87" s="13" t="s">
        <v>52</v>
      </c>
      <c r="AE87" s="18">
        <v>45748</v>
      </c>
    </row>
    <row r="88" spans="1:32" ht="15" customHeight="1" x14ac:dyDescent="0.3">
      <c r="A88" s="7">
        <v>202501010</v>
      </c>
      <c r="B88" s="7">
        <f>IF(EEmaster[[#This Row],[Firm]]="Ashil Shah &amp; Associates",COUNTIFS($Y$2:AB88,AB88)-17,COUNTIFS($Y$2:AB88,AB88))</f>
        <v>10</v>
      </c>
      <c r="C88" s="8" t="s">
        <v>678</v>
      </c>
      <c r="D88" s="7" t="s">
        <v>33</v>
      </c>
      <c r="E88" s="9" t="s">
        <v>34</v>
      </c>
      <c r="H88" t="s">
        <v>83</v>
      </c>
      <c r="J88" s="7">
        <v>7878089829</v>
      </c>
      <c r="K88" s="17" t="s">
        <v>679</v>
      </c>
      <c r="L88" t="s">
        <v>84</v>
      </c>
      <c r="M88" t="s">
        <v>40</v>
      </c>
      <c r="N88" s="18">
        <v>34043</v>
      </c>
      <c r="O88" s="11">
        <v>45789</v>
      </c>
      <c r="P88"/>
      <c r="Q88" s="7" t="s">
        <v>680</v>
      </c>
      <c r="R88" t="s">
        <v>43</v>
      </c>
      <c r="T88" t="s">
        <v>681</v>
      </c>
      <c r="U88" s="16" t="s">
        <v>682</v>
      </c>
      <c r="V88" s="7" t="s">
        <v>683</v>
      </c>
      <c r="W88" s="7" t="s">
        <v>684</v>
      </c>
      <c r="Y88" s="21" t="s">
        <v>685</v>
      </c>
      <c r="AA88" s="7" t="s">
        <v>684</v>
      </c>
      <c r="AB88" s="13" t="s">
        <v>67</v>
      </c>
      <c r="AC88" s="7" t="s">
        <v>50</v>
      </c>
      <c r="AD88" s="13" t="s">
        <v>52</v>
      </c>
      <c r="AE88" s="18">
        <v>45789</v>
      </c>
      <c r="AF88" t="s">
        <v>193</v>
      </c>
    </row>
    <row r="89" spans="1:32" ht="15" customHeight="1" x14ac:dyDescent="0.3">
      <c r="A89" s="7">
        <v>202501011</v>
      </c>
      <c r="B89" s="7">
        <f>IF(EEmaster[[#This Row],[Firm]]="Ashil Shah &amp; Associates",COUNTIFS($Y$2:AB89,AB89)-17,COUNTIFS($Y$2:AB89,AB89))</f>
        <v>11</v>
      </c>
      <c r="C89" s="8" t="s">
        <v>686</v>
      </c>
      <c r="D89" s="7" t="s">
        <v>33</v>
      </c>
      <c r="E89" s="9" t="s">
        <v>34</v>
      </c>
      <c r="H89" t="s">
        <v>37</v>
      </c>
      <c r="J89" s="7">
        <v>8320571311</v>
      </c>
      <c r="K89" s="17" t="s">
        <v>687</v>
      </c>
      <c r="L89" t="s">
        <v>39</v>
      </c>
      <c r="M89" t="s">
        <v>40</v>
      </c>
      <c r="N89" s="18">
        <v>37120</v>
      </c>
      <c r="O89" s="11">
        <v>45831</v>
      </c>
      <c r="P89"/>
      <c r="Q89" s="7" t="s">
        <v>59</v>
      </c>
      <c r="R89" t="s">
        <v>43</v>
      </c>
      <c r="T89" t="s">
        <v>142</v>
      </c>
      <c r="U89" s="16" t="s">
        <v>688</v>
      </c>
      <c r="V89" s="7" t="s">
        <v>689</v>
      </c>
      <c r="W89" s="26" t="s">
        <v>690</v>
      </c>
      <c r="Y89" s="21" t="s">
        <v>691</v>
      </c>
      <c r="AA89" s="7" t="s">
        <v>692</v>
      </c>
      <c r="AB89" s="13" t="s">
        <v>67</v>
      </c>
      <c r="AC89" s="7" t="s">
        <v>50</v>
      </c>
      <c r="AD89" s="13" t="s">
        <v>52</v>
      </c>
      <c r="AE89" s="18">
        <v>45826</v>
      </c>
    </row>
    <row r="90" spans="1:32" ht="15" customHeight="1" x14ac:dyDescent="0.3">
      <c r="A90" s="7">
        <v>202501012</v>
      </c>
      <c r="B90" s="7">
        <f>IF(EEmaster[[#This Row],[Firm]]="Ashil Shah &amp; Associates",COUNTIFS($Y$2:AB90,AB90)-17,COUNTIFS($Y$2:AB90,AB90))</f>
        <v>12</v>
      </c>
      <c r="C90" s="8" t="s">
        <v>693</v>
      </c>
      <c r="D90" s="7" t="s">
        <v>33</v>
      </c>
      <c r="E90" s="9" t="s">
        <v>34</v>
      </c>
      <c r="H90" t="s">
        <v>37</v>
      </c>
      <c r="J90" s="7">
        <v>7486837236</v>
      </c>
      <c r="K90" s="17" t="s">
        <v>694</v>
      </c>
      <c r="L90" t="s">
        <v>39</v>
      </c>
      <c r="M90" t="s">
        <v>96</v>
      </c>
      <c r="N90" s="18">
        <v>37583</v>
      </c>
      <c r="O90" s="11">
        <v>45809</v>
      </c>
      <c r="P90"/>
      <c r="Q90" s="7" t="s">
        <v>59</v>
      </c>
      <c r="R90" t="s">
        <v>43</v>
      </c>
      <c r="T90" t="s">
        <v>91</v>
      </c>
      <c r="U90" s="16" t="s">
        <v>695</v>
      </c>
      <c r="V90" s="7" t="s">
        <v>696</v>
      </c>
      <c r="W90" s="33" t="s">
        <v>697</v>
      </c>
      <c r="Y90" s="21" t="s">
        <v>698</v>
      </c>
      <c r="AA90" s="7" t="s">
        <v>699</v>
      </c>
      <c r="AB90" s="13" t="s">
        <v>67</v>
      </c>
      <c r="AC90" s="7" t="s">
        <v>50</v>
      </c>
      <c r="AD90" s="13" t="s">
        <v>52</v>
      </c>
      <c r="AE90" s="18">
        <v>45790</v>
      </c>
    </row>
    <row r="91" spans="1:32" ht="15" customHeight="1" x14ac:dyDescent="0.3">
      <c r="A91" s="7">
        <v>202501013</v>
      </c>
      <c r="B91" s="7">
        <f>IF(EEmaster[[#This Row],[Firm]]="Ashil Shah &amp; Associates",COUNTIFS($Y$2:AB91,AB91)-17,COUNTIFS($Y$2:AB91,AB91))</f>
        <v>13</v>
      </c>
      <c r="C91" s="8" t="s">
        <v>700</v>
      </c>
      <c r="D91" s="7" t="s">
        <v>33</v>
      </c>
      <c r="E91" s="9" t="s">
        <v>34</v>
      </c>
      <c r="H91" t="s">
        <v>37</v>
      </c>
      <c r="J91" s="7"/>
      <c r="K91" s="17" t="s">
        <v>701</v>
      </c>
      <c r="L91" t="s">
        <v>39</v>
      </c>
      <c r="M91" t="s">
        <v>40</v>
      </c>
      <c r="N91" s="18">
        <v>37199</v>
      </c>
      <c r="O91" s="11">
        <v>45810</v>
      </c>
      <c r="P91"/>
      <c r="Q91" s="7" t="s">
        <v>59</v>
      </c>
      <c r="R91" t="s">
        <v>43</v>
      </c>
      <c r="T91" t="s">
        <v>401</v>
      </c>
      <c r="U91" s="16" t="s">
        <v>702</v>
      </c>
      <c r="V91" s="7" t="s">
        <v>703</v>
      </c>
      <c r="W91" s="7" t="s">
        <v>704</v>
      </c>
      <c r="Y91" s="21" t="s">
        <v>705</v>
      </c>
      <c r="AA91" s="7" t="s">
        <v>704</v>
      </c>
      <c r="AB91" s="13" t="s">
        <v>67</v>
      </c>
      <c r="AC91" s="7" t="s">
        <v>50</v>
      </c>
      <c r="AD91" s="13" t="s">
        <v>52</v>
      </c>
      <c r="AE91" s="18">
        <v>45818</v>
      </c>
    </row>
    <row r="92" spans="1:32" ht="15" customHeight="1" x14ac:dyDescent="0.3">
      <c r="A92" s="7">
        <v>202501014</v>
      </c>
      <c r="B92" s="7">
        <f>IF(EEmaster[[#This Row],[Firm]]="Ashil Shah &amp; Associates",COUNTIFS($Y$2:AB92,AB92)-17,COUNTIFS($Y$2:AB92,AB92))</f>
        <v>14</v>
      </c>
      <c r="C92" s="8" t="s">
        <v>706</v>
      </c>
      <c r="D92" s="7" t="s">
        <v>33</v>
      </c>
      <c r="E92" s="9" t="s">
        <v>34</v>
      </c>
      <c r="H92" t="s">
        <v>37</v>
      </c>
      <c r="J92" s="7"/>
      <c r="K92" s="17" t="s">
        <v>707</v>
      </c>
      <c r="L92" t="s">
        <v>39</v>
      </c>
      <c r="M92" t="s">
        <v>40</v>
      </c>
      <c r="N92" s="18">
        <v>37979</v>
      </c>
      <c r="O92" s="11">
        <v>45810</v>
      </c>
      <c r="P92"/>
      <c r="Q92" s="7" t="s">
        <v>59</v>
      </c>
      <c r="R92" t="s">
        <v>43</v>
      </c>
      <c r="T92" s="7" t="s">
        <v>124</v>
      </c>
      <c r="U92" s="16" t="s">
        <v>708</v>
      </c>
      <c r="V92" s="7" t="s">
        <v>709</v>
      </c>
      <c r="W92" s="7" t="s">
        <v>710</v>
      </c>
      <c r="Y92" s="21" t="s">
        <v>711</v>
      </c>
      <c r="AA92" s="7" t="s">
        <v>710</v>
      </c>
      <c r="AB92" s="13" t="s">
        <v>67</v>
      </c>
      <c r="AC92" s="7" t="s">
        <v>50</v>
      </c>
      <c r="AD92" s="13" t="s">
        <v>52</v>
      </c>
      <c r="AE92" s="18">
        <v>45818</v>
      </c>
    </row>
    <row r="93" spans="1:32" ht="15" customHeight="1" x14ac:dyDescent="0.3">
      <c r="A93" s="7">
        <v>202501015</v>
      </c>
      <c r="B93" s="7">
        <f>IF(EEmaster[[#This Row],[Firm]]="Ashil Shah &amp; Associates",COUNTIFS($Y$2:AB93,AB93)-17,COUNTIFS($Y$2:AB93,AB93))</f>
        <v>15</v>
      </c>
      <c r="C93" s="8" t="s">
        <v>712</v>
      </c>
      <c r="D93" s="7" t="s">
        <v>33</v>
      </c>
      <c r="E93" s="9" t="s">
        <v>34</v>
      </c>
      <c r="H93" t="s">
        <v>37</v>
      </c>
      <c r="J93" s="7"/>
      <c r="K93" s="17" t="s">
        <v>713</v>
      </c>
      <c r="L93" t="s">
        <v>39</v>
      </c>
      <c r="M93" t="s">
        <v>40</v>
      </c>
      <c r="N93" s="18">
        <v>31789</v>
      </c>
      <c r="O93" s="11">
        <v>45833</v>
      </c>
      <c r="P93"/>
      <c r="Q93" s="7" t="s">
        <v>304</v>
      </c>
      <c r="R93" t="s">
        <v>43</v>
      </c>
      <c r="T93" t="s">
        <v>73</v>
      </c>
      <c r="U93" s="16" t="s">
        <v>714</v>
      </c>
      <c r="V93" s="7" t="s">
        <v>715</v>
      </c>
      <c r="W93" s="7" t="s">
        <v>716</v>
      </c>
      <c r="Y93" s="21" t="s">
        <v>717</v>
      </c>
      <c r="AA93" s="7" t="s">
        <v>716</v>
      </c>
      <c r="AB93" s="13" t="s">
        <v>67</v>
      </c>
      <c r="AC93" s="7" t="s">
        <v>50</v>
      </c>
      <c r="AD93" s="27" t="s">
        <v>718</v>
      </c>
      <c r="AE93" s="18">
        <v>45832</v>
      </c>
    </row>
    <row r="94" spans="1:32" ht="15" customHeight="1" x14ac:dyDescent="0.3">
      <c r="A94" s="7">
        <v>202501016</v>
      </c>
      <c r="B94" s="7">
        <f>IF(EEmaster[[#This Row],[Firm]]="Ashil Shah &amp; Associates",COUNTIFS($Y$2:AB94,AB94)-17,COUNTIFS($Y$2:AB94,AB94))</f>
        <v>16</v>
      </c>
      <c r="C94" s="8" t="s">
        <v>719</v>
      </c>
      <c r="D94" s="7" t="s">
        <v>33</v>
      </c>
      <c r="E94" s="9" t="s">
        <v>34</v>
      </c>
      <c r="H94" t="s">
        <v>37</v>
      </c>
      <c r="J94" s="7"/>
      <c r="K94" s="17" t="s">
        <v>720</v>
      </c>
      <c r="L94" t="s">
        <v>39</v>
      </c>
      <c r="M94" t="s">
        <v>96</v>
      </c>
      <c r="N94" s="18">
        <v>37233</v>
      </c>
      <c r="O94" s="11">
        <v>45867</v>
      </c>
      <c r="P94"/>
      <c r="Q94" s="7" t="s">
        <v>59</v>
      </c>
      <c r="R94" t="s">
        <v>43</v>
      </c>
      <c r="T94" t="s">
        <v>73</v>
      </c>
      <c r="U94" s="16" t="s">
        <v>721</v>
      </c>
      <c r="V94" s="7" t="s">
        <v>722</v>
      </c>
      <c r="W94" s="7" t="s">
        <v>723</v>
      </c>
      <c r="Y94" s="21" t="s">
        <v>724</v>
      </c>
      <c r="AA94" s="7" t="s">
        <v>723</v>
      </c>
      <c r="AB94" s="13" t="s">
        <v>67</v>
      </c>
      <c r="AC94" s="7" t="s">
        <v>50</v>
      </c>
      <c r="AD94" s="27" t="s">
        <v>725</v>
      </c>
      <c r="AE94" s="18">
        <v>45868</v>
      </c>
    </row>
    <row r="95" spans="1:32" ht="15" customHeight="1" x14ac:dyDescent="0.3">
      <c r="A95" s="7">
        <v>202518047</v>
      </c>
      <c r="B95" s="7">
        <f>IF(EEmaster[[#This Row],[Firm]]="Ashil Shah &amp; Associates",COUNTIFS($Y$2:AB95,AB95)-17,COUNTIFS($Y$2:AB95,AB95))</f>
        <v>47</v>
      </c>
      <c r="C95" s="8" t="s">
        <v>726</v>
      </c>
      <c r="D95" s="7" t="s">
        <v>33</v>
      </c>
      <c r="E95" s="9" t="s">
        <v>34</v>
      </c>
      <c r="F95" t="s">
        <v>36</v>
      </c>
      <c r="H95" t="s">
        <v>83</v>
      </c>
      <c r="J95" s="7">
        <v>9342640367</v>
      </c>
      <c r="K95" s="17" t="s">
        <v>727</v>
      </c>
      <c r="L95" t="s">
        <v>84</v>
      </c>
      <c r="M95" t="s">
        <v>40</v>
      </c>
      <c r="N95" s="18">
        <v>30759</v>
      </c>
      <c r="O95" s="11">
        <v>45853</v>
      </c>
      <c r="P95"/>
      <c r="Q95" s="7" t="s">
        <v>81</v>
      </c>
      <c r="R95" t="s">
        <v>458</v>
      </c>
      <c r="T95" t="s">
        <v>91</v>
      </c>
      <c r="U95" s="16" t="s">
        <v>728</v>
      </c>
      <c r="V95" s="7" t="s">
        <v>729</v>
      </c>
      <c r="AA95" s="7" t="s">
        <v>730</v>
      </c>
      <c r="AB95" s="13" t="s">
        <v>51</v>
      </c>
      <c r="AC95" s="7" t="s">
        <v>79</v>
      </c>
      <c r="AD95" s="13" t="s">
        <v>731</v>
      </c>
    </row>
    <row r="96" spans="1:32" ht="15" customHeight="1" x14ac:dyDescent="0.3">
      <c r="A96" s="7">
        <v>202501017</v>
      </c>
      <c r="B96" s="7">
        <f>IF(EEmaster[[#This Row],[Firm]]="Ashil Shah &amp; Associates",COUNTIFS($Y$2:AB96,AB96)-17,COUNTIFS($Y$2:AB96,AB96))</f>
        <v>17</v>
      </c>
      <c r="C96" s="8" t="s">
        <v>732</v>
      </c>
      <c r="D96" s="7" t="s">
        <v>33</v>
      </c>
      <c r="E96" s="9" t="s">
        <v>34</v>
      </c>
      <c r="H96" t="s">
        <v>733</v>
      </c>
      <c r="J96" s="7"/>
      <c r="K96" s="17" t="s">
        <v>734</v>
      </c>
      <c r="L96" t="s">
        <v>84</v>
      </c>
      <c r="M96" t="s">
        <v>40</v>
      </c>
      <c r="N96" s="18">
        <v>34263</v>
      </c>
      <c r="O96" s="11">
        <v>45870</v>
      </c>
      <c r="P96"/>
      <c r="Q96" s="7" t="s">
        <v>59</v>
      </c>
      <c r="R96" t="s">
        <v>43</v>
      </c>
      <c r="T96" t="s">
        <v>73</v>
      </c>
      <c r="U96" s="16" t="s">
        <v>735</v>
      </c>
      <c r="V96" s="7" t="s">
        <v>736</v>
      </c>
      <c r="W96" t="s">
        <v>737</v>
      </c>
      <c r="Y96" s="21" t="s">
        <v>738</v>
      </c>
      <c r="AA96" s="7" t="s">
        <v>737</v>
      </c>
      <c r="AB96" s="13" t="s">
        <v>67</v>
      </c>
      <c r="AC96" s="7" t="s">
        <v>50</v>
      </c>
      <c r="AD96" s="13"/>
      <c r="AE96" s="18">
        <v>45868</v>
      </c>
    </row>
    <row r="97" spans="1:31" ht="15" customHeight="1" x14ac:dyDescent="0.3">
      <c r="A97" s="7">
        <v>202501018</v>
      </c>
      <c r="B97" s="7">
        <f>IF(EEmaster[[#This Row],[Firm]]="Ashil Shah &amp; Associates",COUNTIFS($Y$2:AB97,AB97)-17,COUNTIFS($Y$2:AB97,AB97))</f>
        <v>18</v>
      </c>
      <c r="C97" s="8" t="s">
        <v>739</v>
      </c>
      <c r="D97" s="7" t="s">
        <v>33</v>
      </c>
      <c r="E97" s="9" t="s">
        <v>34</v>
      </c>
      <c r="H97" t="s">
        <v>37</v>
      </c>
      <c r="J97" s="7"/>
      <c r="K97" s="17" t="s">
        <v>740</v>
      </c>
      <c r="L97" t="s">
        <v>39</v>
      </c>
      <c r="M97" t="s">
        <v>40</v>
      </c>
      <c r="N97" s="18">
        <v>37275</v>
      </c>
      <c r="O97" s="11">
        <v>45894</v>
      </c>
      <c r="P97"/>
      <c r="Q97" s="7" t="s">
        <v>59</v>
      </c>
      <c r="R97" t="s">
        <v>43</v>
      </c>
      <c r="T97" t="s">
        <v>73</v>
      </c>
      <c r="U97" s="16" t="s">
        <v>741</v>
      </c>
      <c r="V97" s="7" t="s">
        <v>742</v>
      </c>
      <c r="W97" t="s">
        <v>743</v>
      </c>
      <c r="Y97" s="21" t="s">
        <v>744</v>
      </c>
      <c r="AA97" s="7" t="s">
        <v>743</v>
      </c>
      <c r="AB97" s="13" t="s">
        <v>67</v>
      </c>
      <c r="AC97" s="7" t="s">
        <v>50</v>
      </c>
      <c r="AD97" s="13"/>
      <c r="AE97" s="18">
        <v>45895</v>
      </c>
    </row>
    <row r="98" spans="1:31" ht="15" customHeight="1" x14ac:dyDescent="0.3">
      <c r="A98" s="7">
        <v>202501019</v>
      </c>
      <c r="B98" s="7">
        <f>IF(EEmaster[[#This Row],[Firm]]="Ashil Shah &amp; Associates",COUNTIFS($Y$2:AB98,AB98)-17,COUNTIFS($Y$2:AB98,AB98))</f>
        <v>19</v>
      </c>
      <c r="C98" s="8" t="s">
        <v>745</v>
      </c>
      <c r="D98" s="7" t="s">
        <v>33</v>
      </c>
      <c r="E98" s="9" t="s">
        <v>34</v>
      </c>
      <c r="H98" t="s">
        <v>83</v>
      </c>
      <c r="J98" s="7"/>
      <c r="K98" s="17" t="s">
        <v>746</v>
      </c>
      <c r="L98" t="s">
        <v>84</v>
      </c>
      <c r="M98" t="s">
        <v>96</v>
      </c>
      <c r="N98" s="18">
        <v>35510</v>
      </c>
      <c r="O98" s="11">
        <v>45897</v>
      </c>
      <c r="P98"/>
      <c r="Q98" s="7" t="s">
        <v>747</v>
      </c>
      <c r="R98" t="s">
        <v>83</v>
      </c>
      <c r="T98" t="s">
        <v>91</v>
      </c>
      <c r="U98" s="16" t="s">
        <v>748</v>
      </c>
      <c r="V98" s="7" t="s">
        <v>749</v>
      </c>
      <c r="W98" t="s">
        <v>750</v>
      </c>
      <c r="Y98" s="21" t="s">
        <v>751</v>
      </c>
      <c r="AA98" s="7" t="s">
        <v>750</v>
      </c>
      <c r="AB98" s="13" t="s">
        <v>67</v>
      </c>
      <c r="AC98" s="7" t="s">
        <v>50</v>
      </c>
      <c r="AD98" s="13"/>
      <c r="AE98" s="18">
        <v>45901</v>
      </c>
    </row>
    <row r="99" spans="1:31" ht="15" customHeight="1" x14ac:dyDescent="0.3">
      <c r="A99" s="7">
        <v>202501020</v>
      </c>
      <c r="B99" s="7">
        <f>IF(EEmaster[[#This Row],[Firm]]="Ashil Shah &amp; Associates",COUNTIFS($Y$2:AB99,AB99)-17,COUNTIFS($Y$2:AB99,AB99))</f>
        <v>20</v>
      </c>
      <c r="C99" s="8" t="s">
        <v>752</v>
      </c>
      <c r="D99" s="7" t="s">
        <v>33</v>
      </c>
      <c r="E99" s="9" t="s">
        <v>34</v>
      </c>
      <c r="H99" t="s">
        <v>37</v>
      </c>
      <c r="J99" s="7"/>
      <c r="K99" s="17" t="s">
        <v>753</v>
      </c>
      <c r="L99" t="s">
        <v>39</v>
      </c>
      <c r="M99" t="s">
        <v>96</v>
      </c>
      <c r="N99" s="18">
        <v>37318</v>
      </c>
      <c r="O99" s="11">
        <v>45908</v>
      </c>
      <c r="P99"/>
      <c r="Q99" s="7" t="s">
        <v>59</v>
      </c>
      <c r="R99" t="s">
        <v>43</v>
      </c>
      <c r="T99" t="s">
        <v>496</v>
      </c>
      <c r="U99" s="16" t="s">
        <v>754</v>
      </c>
      <c r="V99" s="7" t="s">
        <v>755</v>
      </c>
      <c r="W99" s="33" t="s">
        <v>756</v>
      </c>
      <c r="Y99" s="21" t="s">
        <v>757</v>
      </c>
      <c r="AA99" s="33" t="s">
        <v>756</v>
      </c>
      <c r="AB99" s="13" t="s">
        <v>67</v>
      </c>
      <c r="AC99" s="7" t="s">
        <v>50</v>
      </c>
      <c r="AD99" s="13"/>
      <c r="AE99" s="18">
        <v>45906</v>
      </c>
    </row>
    <row r="100" spans="1:31" ht="15" customHeight="1" x14ac:dyDescent="0.3">
      <c r="A100" s="7">
        <v>202518048</v>
      </c>
      <c r="B100" s="7">
        <f>IF(EEmaster[[#This Row],[Firm]]="Ashil Shah &amp; Associates",COUNTIFS($Y$2:AB100,AB100)-17,COUNTIFS($Y$2:AB100,AB100))</f>
        <v>48</v>
      </c>
      <c r="C100" s="8" t="s">
        <v>758</v>
      </c>
      <c r="D100" s="7" t="s">
        <v>33</v>
      </c>
      <c r="E100" s="9" t="s">
        <v>34</v>
      </c>
      <c r="H100" t="s">
        <v>37</v>
      </c>
      <c r="J100" s="7"/>
      <c r="K100" s="17" t="s">
        <v>759</v>
      </c>
      <c r="L100" t="s">
        <v>39</v>
      </c>
      <c r="M100" t="s">
        <v>40</v>
      </c>
      <c r="N100" s="18">
        <v>36558</v>
      </c>
      <c r="O100" s="11">
        <v>45922</v>
      </c>
      <c r="P100"/>
      <c r="Q100" s="7" t="s">
        <v>59</v>
      </c>
      <c r="R100" t="s">
        <v>43</v>
      </c>
      <c r="T100" t="s">
        <v>91</v>
      </c>
      <c r="U100" s="16" t="s">
        <v>760</v>
      </c>
      <c r="V100" s="7" t="s">
        <v>761</v>
      </c>
      <c r="W100" s="26" t="s">
        <v>762</v>
      </c>
      <c r="Y100" s="21" t="s">
        <v>763</v>
      </c>
      <c r="AA100" s="7" t="s">
        <v>762</v>
      </c>
      <c r="AB100" s="13" t="s">
        <v>51</v>
      </c>
      <c r="AC100" s="7" t="s">
        <v>79</v>
      </c>
      <c r="AD100" s="27" t="s">
        <v>764</v>
      </c>
      <c r="AE100" s="18">
        <v>45906</v>
      </c>
    </row>
    <row r="101" spans="1:31" ht="15" customHeight="1" x14ac:dyDescent="0.3">
      <c r="A101" s="7">
        <v>202501021</v>
      </c>
      <c r="B101" s="7">
        <f>IF(EEmaster[[#This Row],[Firm]]="Ashil Shah &amp; Associates",COUNTIFS($Y$2:AB101,AB101)-17,COUNTIFS($Y$2:AB101,AB101))</f>
        <v>21</v>
      </c>
      <c r="C101" s="8" t="s">
        <v>765</v>
      </c>
      <c r="D101" s="7" t="s">
        <v>33</v>
      </c>
      <c r="E101" s="9" t="s">
        <v>34</v>
      </c>
      <c r="H101" t="s">
        <v>37</v>
      </c>
      <c r="J101" s="7"/>
      <c r="K101" s="17" t="s">
        <v>766</v>
      </c>
      <c r="L101" t="s">
        <v>39</v>
      </c>
      <c r="M101" t="s">
        <v>40</v>
      </c>
      <c r="N101" s="18">
        <v>37485</v>
      </c>
      <c r="O101" s="11">
        <v>45915</v>
      </c>
      <c r="P101"/>
      <c r="Q101" s="7" t="s">
        <v>59</v>
      </c>
      <c r="R101" t="s">
        <v>43</v>
      </c>
      <c r="T101" t="s">
        <v>142</v>
      </c>
      <c r="U101" s="16" t="s">
        <v>767</v>
      </c>
      <c r="V101" s="7" t="s">
        <v>768</v>
      </c>
      <c r="W101" t="s">
        <v>769</v>
      </c>
      <c r="Y101" s="21" t="s">
        <v>770</v>
      </c>
      <c r="AA101" s="7" t="s">
        <v>769</v>
      </c>
      <c r="AB101" s="13" t="s">
        <v>67</v>
      </c>
      <c r="AC101" s="7" t="s">
        <v>50</v>
      </c>
      <c r="AD101" s="13"/>
      <c r="AE101" s="18">
        <v>45906</v>
      </c>
    </row>
    <row r="102" spans="1:31" ht="15" customHeight="1" x14ac:dyDescent="0.3">
      <c r="A102" s="7">
        <v>202501022</v>
      </c>
      <c r="B102" s="7">
        <f>IF(EEmaster[[#This Row],[Firm]]="Ashil Shah &amp; Associates",COUNTIFS($Y$2:AB102,AB102)-17,COUNTIFS($Y$2:AB102,AB102))</f>
        <v>22</v>
      </c>
      <c r="C102" s="8" t="s">
        <v>771</v>
      </c>
      <c r="D102" s="7" t="s">
        <v>33</v>
      </c>
      <c r="E102" s="9" t="s">
        <v>34</v>
      </c>
      <c r="H102" t="s">
        <v>83</v>
      </c>
      <c r="J102" s="7"/>
      <c r="K102" s="17" t="s">
        <v>772</v>
      </c>
      <c r="L102" t="s">
        <v>39</v>
      </c>
      <c r="M102" t="s">
        <v>40</v>
      </c>
      <c r="N102" s="18"/>
      <c r="O102" s="11">
        <v>45819</v>
      </c>
      <c r="P102"/>
      <c r="Q102" s="7" t="s">
        <v>59</v>
      </c>
      <c r="R102" t="s">
        <v>83</v>
      </c>
      <c r="T102" t="s">
        <v>773</v>
      </c>
      <c r="U102" s="8" t="s">
        <v>774</v>
      </c>
      <c r="V102" s="7" t="s">
        <v>775</v>
      </c>
      <c r="W102" t="s">
        <v>776</v>
      </c>
      <c r="Y102" s="21" t="s">
        <v>777</v>
      </c>
      <c r="AA102" t="s">
        <v>776</v>
      </c>
      <c r="AB102" s="13" t="s">
        <v>67</v>
      </c>
      <c r="AC102" s="7" t="s">
        <v>50</v>
      </c>
      <c r="AD102" s="13"/>
      <c r="AE102" s="18">
        <v>45839</v>
      </c>
    </row>
    <row r="103" spans="1:31" ht="15" customHeight="1" x14ac:dyDescent="0.3">
      <c r="A103" s="7">
        <v>202618049</v>
      </c>
      <c r="B103" s="7">
        <f>IF(EEmaster[[#This Row],[Firm]]="Ashil Shah &amp; Associates",COUNTIFS($Y$2:AB103,AB103)-17,COUNTIFS($Y$2:AB103,AB103))</f>
        <v>49</v>
      </c>
      <c r="C103" s="8" t="s">
        <v>778</v>
      </c>
      <c r="D103" s="7" t="s">
        <v>33</v>
      </c>
      <c r="E103" s="9" t="s">
        <v>34</v>
      </c>
      <c r="H103" t="s">
        <v>37</v>
      </c>
      <c r="J103" s="7">
        <v>8490887154</v>
      </c>
      <c r="K103" s="17" t="s">
        <v>779</v>
      </c>
      <c r="L103" t="s">
        <v>39</v>
      </c>
      <c r="M103" t="s">
        <v>40</v>
      </c>
      <c r="N103" s="18">
        <v>34889</v>
      </c>
      <c r="O103" s="11">
        <v>46023</v>
      </c>
      <c r="P103"/>
      <c r="Q103" s="7" t="s">
        <v>81</v>
      </c>
      <c r="R103" t="s">
        <v>43</v>
      </c>
      <c r="T103" t="s">
        <v>426</v>
      </c>
      <c r="U103" s="16" t="s">
        <v>780</v>
      </c>
      <c r="V103" s="7" t="s">
        <v>781</v>
      </c>
      <c r="Y103" s="21" t="s">
        <v>782</v>
      </c>
      <c r="AA103" s="33" t="s">
        <v>783</v>
      </c>
      <c r="AB103" s="13" t="s">
        <v>51</v>
      </c>
      <c r="AC103" s="7" t="s">
        <v>79</v>
      </c>
      <c r="AD103" s="13"/>
      <c r="AE103" s="18">
        <v>46021</v>
      </c>
    </row>
    <row r="104" spans="1:31" ht="15" customHeight="1" x14ac:dyDescent="0.3">
      <c r="A104" s="7">
        <v>202618050</v>
      </c>
      <c r="B104" s="7">
        <f>IF(EEmaster[[#This Row],[Firm]]="Ashil Shah &amp; Associates",COUNTIFS($Y$2:AB104,AB104)-17,COUNTIFS($Y$2:AB104,AB104))</f>
        <v>50</v>
      </c>
      <c r="C104" s="8" t="s">
        <v>784</v>
      </c>
      <c r="D104" s="7" t="s">
        <v>33</v>
      </c>
      <c r="E104" s="9" t="s">
        <v>34</v>
      </c>
      <c r="F104" t="s">
        <v>637</v>
      </c>
      <c r="G104" t="s">
        <v>69</v>
      </c>
      <c r="H104" t="s">
        <v>83</v>
      </c>
      <c r="J104" s="7"/>
      <c r="K104" s="17" t="s">
        <v>785</v>
      </c>
      <c r="L104" t="s">
        <v>39</v>
      </c>
      <c r="M104" t="s">
        <v>96</v>
      </c>
      <c r="N104" s="18">
        <v>35437</v>
      </c>
      <c r="O104" s="11">
        <v>46065</v>
      </c>
      <c r="P104"/>
      <c r="Q104" s="7" t="s">
        <v>59</v>
      </c>
      <c r="R104" t="s">
        <v>83</v>
      </c>
      <c r="T104" t="s">
        <v>91</v>
      </c>
      <c r="U104" s="16" t="s">
        <v>786</v>
      </c>
      <c r="V104" t="s">
        <v>787</v>
      </c>
      <c r="W104" s="26" t="s">
        <v>788</v>
      </c>
      <c r="Y104" s="21" t="s">
        <v>789</v>
      </c>
      <c r="AA104" s="33" t="s">
        <v>790</v>
      </c>
      <c r="AB104" s="13" t="s">
        <v>51</v>
      </c>
      <c r="AC104" s="7" t="s">
        <v>50</v>
      </c>
      <c r="AD104" s="13" t="s">
        <v>52</v>
      </c>
    </row>
    <row r="105" spans="1:31" ht="15" customHeight="1" x14ac:dyDescent="0.3">
      <c r="A105" s="7">
        <v>202601023</v>
      </c>
      <c r="B105" s="7">
        <f>IF(EEmaster[[#This Row],[Firm]]="Ashil Shah &amp; Associates",COUNTIFS($Y$2:AB105,AB105)-17,COUNTIFS($Y$2:AB105,AB105))</f>
        <v>23</v>
      </c>
      <c r="C105" s="8" t="s">
        <v>791</v>
      </c>
      <c r="D105" s="7" t="s">
        <v>33</v>
      </c>
      <c r="E105" s="9" t="s">
        <v>34</v>
      </c>
      <c r="F105" t="s">
        <v>637</v>
      </c>
      <c r="G105" t="s">
        <v>69</v>
      </c>
      <c r="H105" t="s">
        <v>37</v>
      </c>
      <c r="J105" s="7"/>
      <c r="K105" s="17" t="s">
        <v>792</v>
      </c>
      <c r="L105" t="s">
        <v>39</v>
      </c>
      <c r="M105" t="s">
        <v>40</v>
      </c>
      <c r="N105" s="18">
        <v>36110</v>
      </c>
      <c r="O105" s="11">
        <v>46069</v>
      </c>
      <c r="P105"/>
      <c r="Q105" s="7" t="s">
        <v>59</v>
      </c>
      <c r="R105" t="s">
        <v>43</v>
      </c>
      <c r="T105" t="s">
        <v>142</v>
      </c>
      <c r="U105" s="16" t="s">
        <v>793</v>
      </c>
      <c r="V105" s="7" t="s">
        <v>794</v>
      </c>
      <c r="W105" s="26" t="s">
        <v>795</v>
      </c>
      <c r="AA105" s="33" t="s">
        <v>796</v>
      </c>
      <c r="AB105" s="13" t="s">
        <v>67</v>
      </c>
      <c r="AC105" s="7" t="s">
        <v>50</v>
      </c>
      <c r="AD105" s="13" t="s">
        <v>52</v>
      </c>
    </row>
    <row r="106" spans="1:31" ht="15" customHeight="1" x14ac:dyDescent="0.3">
      <c r="A106" s="7">
        <v>202601024</v>
      </c>
      <c r="B106" s="7">
        <f>IF(EEmaster[[#This Row],[Firm]]="Ashil Shah &amp; Associates",COUNTIFS($Y$2:AB106,AB106)-17,COUNTIFS($Y$2:AB106,AB106))</f>
        <v>24</v>
      </c>
      <c r="C106" s="8" t="s">
        <v>797</v>
      </c>
      <c r="D106" s="7" t="s">
        <v>33</v>
      </c>
      <c r="E106" s="9" t="s">
        <v>34</v>
      </c>
      <c r="F106" t="s">
        <v>637</v>
      </c>
      <c r="G106" t="s">
        <v>111</v>
      </c>
      <c r="H106" t="s">
        <v>37</v>
      </c>
      <c r="J106" s="7"/>
      <c r="K106" s="17" t="s">
        <v>798</v>
      </c>
      <c r="L106" t="s">
        <v>39</v>
      </c>
      <c r="M106" t="s">
        <v>40</v>
      </c>
      <c r="N106" s="18">
        <v>37524</v>
      </c>
      <c r="O106" s="11">
        <v>46078</v>
      </c>
      <c r="P106"/>
      <c r="Q106" s="7" t="s">
        <v>59</v>
      </c>
      <c r="R106" t="s">
        <v>43</v>
      </c>
      <c r="T106" t="s">
        <v>496</v>
      </c>
      <c r="U106" s="16" t="s">
        <v>799</v>
      </c>
      <c r="V106" s="7" t="s">
        <v>800</v>
      </c>
      <c r="W106" s="26" t="s">
        <v>801</v>
      </c>
      <c r="Y106" s="21" t="s">
        <v>802</v>
      </c>
      <c r="AA106" s="33" t="s">
        <v>803</v>
      </c>
      <c r="AB106" s="13" t="s">
        <v>67</v>
      </c>
      <c r="AC106" s="7" t="s">
        <v>50</v>
      </c>
      <c r="AD106" s="13" t="s">
        <v>52</v>
      </c>
    </row>
    <row r="107" spans="1:31" ht="15" customHeight="1" x14ac:dyDescent="0.3">
      <c r="A107" s="7">
        <v>202601025</v>
      </c>
      <c r="B107" s="7">
        <f>IF(EEmaster[[#This Row],[Firm]]="Ashil Shah &amp; Associates",COUNTIFS($Y$2:AB107,AB107)-17,COUNTIFS($Y$2:AB107,AB107))</f>
        <v>25</v>
      </c>
      <c r="C107" s="8" t="s">
        <v>804</v>
      </c>
      <c r="D107" s="7" t="s">
        <v>33</v>
      </c>
      <c r="E107" s="9" t="s">
        <v>34</v>
      </c>
      <c r="F107" t="s">
        <v>637</v>
      </c>
      <c r="G107" t="s">
        <v>805</v>
      </c>
      <c r="H107" t="s">
        <v>37</v>
      </c>
      <c r="J107" s="7"/>
      <c r="K107" s="17" t="s">
        <v>806</v>
      </c>
      <c r="L107" t="s">
        <v>39</v>
      </c>
      <c r="M107" t="s">
        <v>40</v>
      </c>
      <c r="N107" s="18">
        <v>37344</v>
      </c>
      <c r="O107" s="11">
        <v>46079</v>
      </c>
      <c r="P107"/>
      <c r="Q107" s="7" t="s">
        <v>59</v>
      </c>
      <c r="R107" t="s">
        <v>43</v>
      </c>
      <c r="T107" t="s">
        <v>142</v>
      </c>
      <c r="U107" s="16" t="s">
        <v>807</v>
      </c>
      <c r="V107" t="s">
        <v>808</v>
      </c>
      <c r="W107" s="26" t="s">
        <v>809</v>
      </c>
      <c r="Y107" s="21" t="s">
        <v>810</v>
      </c>
      <c r="AA107" s="33" t="s">
        <v>811</v>
      </c>
      <c r="AB107" s="13" t="s">
        <v>67</v>
      </c>
      <c r="AC107" s="7" t="s">
        <v>50</v>
      </c>
      <c r="AD107" s="13" t="s">
        <v>52</v>
      </c>
    </row>
    <row r="108" spans="1:31" ht="15" customHeight="1" x14ac:dyDescent="0.3">
      <c r="A108" s="7">
        <v>202601026</v>
      </c>
      <c r="B108" s="7">
        <f>IF(EEmaster[[#This Row],[Firm]]="Ashil Shah &amp; Associates",COUNTIFS($Y$2:AB108,AB108)-17,COUNTIFS($Y$2:AB108,AB108))</f>
        <v>26</v>
      </c>
      <c r="C108" s="8" t="s">
        <v>812</v>
      </c>
      <c r="D108" s="7" t="s">
        <v>33</v>
      </c>
      <c r="E108" s="9" t="s">
        <v>34</v>
      </c>
      <c r="F108" t="s">
        <v>637</v>
      </c>
      <c r="G108" t="s">
        <v>69</v>
      </c>
      <c r="H108" t="s">
        <v>83</v>
      </c>
      <c r="J108" s="7"/>
      <c r="K108" s="17" t="s">
        <v>813</v>
      </c>
      <c r="L108" t="s">
        <v>84</v>
      </c>
      <c r="M108" t="s">
        <v>96</v>
      </c>
      <c r="N108" s="18">
        <v>34853</v>
      </c>
      <c r="O108" s="11">
        <v>46079</v>
      </c>
      <c r="P108"/>
      <c r="Q108" s="7" t="s">
        <v>59</v>
      </c>
      <c r="R108" t="s">
        <v>83</v>
      </c>
      <c r="T108" t="s">
        <v>142</v>
      </c>
      <c r="U108" s="16" t="s">
        <v>814</v>
      </c>
      <c r="V108" t="s">
        <v>815</v>
      </c>
      <c r="W108" t="s">
        <v>816</v>
      </c>
      <c r="Y108" s="21" t="s">
        <v>817</v>
      </c>
      <c r="AA108" s="33" t="s">
        <v>818</v>
      </c>
      <c r="AB108" s="13" t="s">
        <v>67</v>
      </c>
      <c r="AC108" s="7" t="s">
        <v>50</v>
      </c>
      <c r="AD108" s="13" t="s">
        <v>52</v>
      </c>
    </row>
    <row r="109" spans="1:31" ht="15" customHeight="1" x14ac:dyDescent="0.3">
      <c r="A109" s="7">
        <v>202601027</v>
      </c>
      <c r="B109" s="7">
        <f>IF(EEmaster[[#This Row],[Firm]]="Ashil Shah &amp; Associates",COUNTIFS($Y$2:AB109,AB109)-17,COUNTIFS($Y$2:AB109,AB109))</f>
        <v>27</v>
      </c>
      <c r="C109" s="8" t="s">
        <v>819</v>
      </c>
      <c r="D109" s="7" t="s">
        <v>33</v>
      </c>
      <c r="E109" s="9" t="s">
        <v>34</v>
      </c>
      <c r="F109" t="s">
        <v>36</v>
      </c>
      <c r="G109" t="s">
        <v>36</v>
      </c>
      <c r="H109" t="s">
        <v>733</v>
      </c>
      <c r="J109" s="7"/>
      <c r="K109" s="17" t="s">
        <v>820</v>
      </c>
      <c r="L109" t="s">
        <v>84</v>
      </c>
      <c r="M109" t="s">
        <v>40</v>
      </c>
      <c r="N109" s="18">
        <v>36689</v>
      </c>
      <c r="O109" s="11">
        <v>46044</v>
      </c>
      <c r="P109"/>
      <c r="Q109" s="7" t="s">
        <v>59</v>
      </c>
      <c r="R109" t="s">
        <v>43</v>
      </c>
      <c r="T109" t="s">
        <v>142</v>
      </c>
      <c r="U109" s="16" t="s">
        <v>821</v>
      </c>
      <c r="V109" s="7" t="s">
        <v>822</v>
      </c>
      <c r="W109" s="26" t="s">
        <v>823</v>
      </c>
      <c r="Y109" s="21" t="s">
        <v>824</v>
      </c>
      <c r="AA109" s="26" t="s">
        <v>823</v>
      </c>
      <c r="AB109" s="13" t="s">
        <v>67</v>
      </c>
      <c r="AC109" s="7" t="s">
        <v>50</v>
      </c>
      <c r="AD109" s="13" t="s">
        <v>52</v>
      </c>
    </row>
    <row r="110" spans="1:31" ht="15" customHeight="1" x14ac:dyDescent="0.3">
      <c r="A110" s="7">
        <v>202620015</v>
      </c>
      <c r="B110" s="7">
        <f>IF(EEmaster[[#This Row],[Firm]]="Ashil Shah &amp; Associates",COUNTIFS($Y$2:AB110,AB110)-17,COUNTIFS($Y$2:AB110,AB110))</f>
        <v>15</v>
      </c>
      <c r="C110" s="8" t="s">
        <v>825</v>
      </c>
      <c r="D110" s="7" t="s">
        <v>33</v>
      </c>
      <c r="E110" s="9" t="s">
        <v>34</v>
      </c>
      <c r="F110" t="s">
        <v>119</v>
      </c>
      <c r="G110" t="s">
        <v>119</v>
      </c>
      <c r="H110" t="s">
        <v>37</v>
      </c>
      <c r="J110" s="7">
        <v>7874070899</v>
      </c>
      <c r="K110" s="17" t="s">
        <v>826</v>
      </c>
      <c r="L110" t="s">
        <v>84</v>
      </c>
      <c r="M110" t="s">
        <v>40</v>
      </c>
      <c r="N110" s="18">
        <v>34379</v>
      </c>
      <c r="O110" s="11">
        <v>46083</v>
      </c>
      <c r="P110"/>
      <c r="Q110" s="7" t="s">
        <v>827</v>
      </c>
      <c r="R110" t="s">
        <v>43</v>
      </c>
      <c r="T110" t="s">
        <v>91</v>
      </c>
      <c r="U110" s="16" t="s">
        <v>828</v>
      </c>
      <c r="V110" s="7" t="s">
        <v>829</v>
      </c>
      <c r="W110" s="26" t="s">
        <v>830</v>
      </c>
      <c r="Y110" s="21" t="s">
        <v>831</v>
      </c>
      <c r="AA110" s="33" t="s">
        <v>832</v>
      </c>
      <c r="AB110" s="13" t="s">
        <v>489</v>
      </c>
      <c r="AC110" s="7" t="s">
        <v>50</v>
      </c>
      <c r="AD110" s="13" t="s">
        <v>52</v>
      </c>
      <c r="AE110" s="18">
        <v>46080</v>
      </c>
    </row>
    <row r="111" spans="1:31" ht="15" customHeight="1" x14ac:dyDescent="0.3">
      <c r="A111" s="7">
        <v>202618051</v>
      </c>
      <c r="B111" s="7">
        <f>IF(EEmaster[[#This Row],[Firm]]="Ashil Shah &amp; Associates",COUNTIFS($Y$2:AB111,AB111)-17,COUNTIFS($Y$2:AB111,AB111))</f>
        <v>51</v>
      </c>
      <c r="C111" s="8" t="s">
        <v>833</v>
      </c>
      <c r="D111" s="7" t="s">
        <v>33</v>
      </c>
      <c r="E111" s="9" t="s">
        <v>34</v>
      </c>
      <c r="F111" t="s">
        <v>36</v>
      </c>
      <c r="H111" t="s">
        <v>733</v>
      </c>
      <c r="J111" s="7">
        <v>9819987295</v>
      </c>
      <c r="K111" s="17" t="s">
        <v>834</v>
      </c>
      <c r="L111" t="s">
        <v>84</v>
      </c>
      <c r="M111" t="s">
        <v>40</v>
      </c>
      <c r="N111" s="18">
        <v>24139</v>
      </c>
      <c r="O111" s="11">
        <v>46083</v>
      </c>
      <c r="P111"/>
      <c r="Q111" s="7" t="s">
        <v>81</v>
      </c>
      <c r="R111" t="s">
        <v>458</v>
      </c>
      <c r="T111" t="s">
        <v>124</v>
      </c>
      <c r="U111" s="16" t="s">
        <v>835</v>
      </c>
      <c r="V111" s="7" t="s">
        <v>836</v>
      </c>
      <c r="Y111" s="21" t="s">
        <v>837</v>
      </c>
      <c r="AA111" s="33" t="s">
        <v>838</v>
      </c>
      <c r="AB111" s="13" t="s">
        <v>51</v>
      </c>
      <c r="AC111" s="7" t="s">
        <v>50</v>
      </c>
      <c r="AD111" s="13" t="s">
        <v>52</v>
      </c>
      <c r="AE111" s="18">
        <v>46077</v>
      </c>
    </row>
    <row r="112" spans="1:31" ht="15" customHeight="1" x14ac:dyDescent="0.3">
      <c r="A112" s="7">
        <v>202618052</v>
      </c>
      <c r="B112" s="17">
        <f>IF(EEmaster[[#This Row],[Firm]]="Ashil Shah &amp; Associates",COUNTIFS($Y$2:AB112,AB112)-17,COUNTIFS($Y$2:AB112,AB112))</f>
        <v>52</v>
      </c>
      <c r="C112" s="8" t="s">
        <v>839</v>
      </c>
      <c r="D112" s="7" t="s">
        <v>33</v>
      </c>
      <c r="E112" s="9" t="s">
        <v>34</v>
      </c>
      <c r="H112" t="s">
        <v>37</v>
      </c>
      <c r="J112" s="7"/>
      <c r="K112" s="17" t="s">
        <v>840</v>
      </c>
      <c r="L112" t="s">
        <v>39</v>
      </c>
      <c r="M112" t="s">
        <v>96</v>
      </c>
      <c r="N112" s="18">
        <v>24139</v>
      </c>
      <c r="O112" s="11">
        <v>46129</v>
      </c>
      <c r="P112"/>
      <c r="Q112" s="7" t="s">
        <v>59</v>
      </c>
      <c r="R112" t="s">
        <v>43</v>
      </c>
      <c r="T112" t="s">
        <v>97</v>
      </c>
      <c r="U112" s="16" t="s">
        <v>841</v>
      </c>
      <c r="V112" s="7" t="s">
        <v>842</v>
      </c>
      <c r="Y112" s="21" t="s">
        <v>843</v>
      </c>
      <c r="AA112" s="33" t="s">
        <v>838</v>
      </c>
      <c r="AB112" s="13" t="s">
        <v>51</v>
      </c>
      <c r="AC112" s="7" t="s">
        <v>50</v>
      </c>
      <c r="AD112" s="13" t="s">
        <v>52</v>
      </c>
      <c r="AE112" s="18">
        <v>46144</v>
      </c>
    </row>
  </sheetData>
  <dataValidations count="1">
    <dataValidation type="list" allowBlank="1" showInputMessage="1" showErrorMessage="1" sqref="AF2:AF112" xr:uid="{84C8E0A3-9EB2-4A13-B1B9-17AE1E484C9A}">
      <formula1>"Terminated,Resigned,AWOL"</formula1>
    </dataValidation>
  </dataValidations>
  <hyperlinks>
    <hyperlink ref="AA9" r:id="rId1" xr:uid="{A8DAEBA5-82BA-40AF-BB6B-13EEE7060E97}"/>
    <hyperlink ref="AA11" r:id="rId2" xr:uid="{9A5C6D6F-F046-489C-8750-C6A77631B402}"/>
    <hyperlink ref="W12" r:id="rId3" xr:uid="{48D490DB-E1BC-4EE6-B97E-369357342757}"/>
    <hyperlink ref="AA13" r:id="rId4" xr:uid="{E33065AF-E612-4916-A80F-4813200196A2}"/>
    <hyperlink ref="AA20" r:id="rId5" xr:uid="{E69527D0-9C83-4EE8-934D-61E51D2DE465}"/>
    <hyperlink ref="AA21" r:id="rId6" xr:uid="{B413F648-CDB8-4C37-81C3-75E9533E04F3}"/>
    <hyperlink ref="AA22" r:id="rId7" xr:uid="{B4A57E99-FB48-4B8E-A937-A24A6FB30E0F}"/>
    <hyperlink ref="AA23" r:id="rId8" xr:uid="{55086CE8-9AE8-48AF-A524-F15B458C7FDD}"/>
    <hyperlink ref="AA24" r:id="rId9" xr:uid="{CB016C50-1153-4BF1-A05E-FF0A86BFA463}"/>
    <hyperlink ref="AA25" r:id="rId10" xr:uid="{66251627-A53A-469C-8F0A-5FD6CB331D56}"/>
    <hyperlink ref="AA26" r:id="rId11" xr:uid="{A99E90BF-ABCB-44F0-AB93-A03D9F6A8AC6}"/>
    <hyperlink ref="AA27" r:id="rId12" xr:uid="{A78E2AFB-619F-4844-BDD1-3FC3BF803C61}"/>
    <hyperlink ref="AA30" r:id="rId13" xr:uid="{C1135CD5-6819-4393-8933-6E6B02BDEE44}"/>
    <hyperlink ref="W33" r:id="rId14" xr:uid="{FD28556D-A3D0-41D5-A1EA-3D21B79F6893}"/>
    <hyperlink ref="AA34" r:id="rId15" xr:uid="{A8B19251-E9D8-40DD-A605-BE1B838CA00E}"/>
    <hyperlink ref="AA37" r:id="rId16" xr:uid="{5A092798-A107-428B-8B24-A60A56733D22}"/>
    <hyperlink ref="AA38" r:id="rId17" xr:uid="{2E79AE26-9952-4E59-BAFD-8310C7B578F4}"/>
    <hyperlink ref="AA40" r:id="rId18" xr:uid="{7B8D5DEF-EBF8-4067-810C-1038D36906BB}"/>
    <hyperlink ref="AA41" r:id="rId19" xr:uid="{E6EA8C3D-833A-4B43-BBCB-92FB1440EC9A}"/>
    <hyperlink ref="AA42" r:id="rId20" xr:uid="{EAA2F06E-8EE0-49EE-91BF-D51C6CE8112F}"/>
    <hyperlink ref="AA44" r:id="rId21" xr:uid="{92E592CC-2FDC-4CBE-A0D6-0855F3FE153F}"/>
    <hyperlink ref="AA46" r:id="rId22" xr:uid="{E83F1AEA-2B37-497D-9746-1894FA5FD427}"/>
    <hyperlink ref="W50" r:id="rId23" xr:uid="{62559FB3-6D62-4AB3-99BD-C1EB099A4267}"/>
    <hyperlink ref="AA50" r:id="rId24" xr:uid="{63525434-3002-4A36-8769-BEEDEAA01AD7}"/>
    <hyperlink ref="AA52" r:id="rId25" xr:uid="{372487CB-4E39-411D-878D-A0F2E2314CB4}"/>
    <hyperlink ref="AA35" r:id="rId26" xr:uid="{960A5877-C1CE-4C04-B82D-0B9ABFBC8D3E}"/>
    <hyperlink ref="W55" r:id="rId27" xr:uid="{1900BB24-6641-49A5-8A5C-44AF95D2E706}"/>
    <hyperlink ref="AA43" r:id="rId28" xr:uid="{6EC6D573-C64F-4BDB-AA39-7E975884A0A5}"/>
    <hyperlink ref="AA55" r:id="rId29" xr:uid="{9686EF85-7DFA-4245-98A2-F5A45808397B}"/>
    <hyperlink ref="AA57" r:id="rId30" xr:uid="{3F61D880-55A0-437A-89D1-7D5C5DABB1E9}"/>
    <hyperlink ref="W58" r:id="rId31" xr:uid="{9F371E21-D252-40D8-8C76-3DC0667FB5E1}"/>
    <hyperlink ref="AA58" r:id="rId32" xr:uid="{6D546C7D-FF9E-4380-B89B-047C352486DF}"/>
    <hyperlink ref="AA66" r:id="rId33" xr:uid="{D9B0516B-81E9-4BA2-9ED8-2BCE59E0F156}"/>
    <hyperlink ref="W66" r:id="rId34" xr:uid="{CDA3AFD9-9818-444A-BC1B-F4DCCEC76BCB}"/>
    <hyperlink ref="W67" r:id="rId35" xr:uid="{6E0F3DC3-8B3A-4C38-86CF-0E6D3FC62FEA}"/>
    <hyperlink ref="AA67" r:id="rId36" xr:uid="{606C0668-7F98-4C76-8A72-DCF20D716114}"/>
    <hyperlink ref="AA68" r:id="rId37" xr:uid="{CEEE6D5C-407F-4C1D-91CA-37C8FE9E9F0D}"/>
    <hyperlink ref="W68" r:id="rId38" xr:uid="{88B8BEAA-7CD1-423D-8F7D-D6D69F9E9F3E}"/>
    <hyperlink ref="W70" r:id="rId39" xr:uid="{F8B3BCEF-1A50-4598-AEC2-57DBBEDF922F}"/>
    <hyperlink ref="AA70" r:id="rId40" xr:uid="{CD427003-CD50-40E6-A17E-48D6B3295B3F}"/>
    <hyperlink ref="W71" r:id="rId41" xr:uid="{4570D09E-EBE1-4FEC-967F-D7F89C84B72D}"/>
    <hyperlink ref="AA71" r:id="rId42" xr:uid="{E1398261-DED8-41B9-B2A8-B5F3110766D6}"/>
    <hyperlink ref="AA72" r:id="rId43" xr:uid="{8C8B0E83-F738-4797-AD14-795D85ECEE0A}"/>
    <hyperlink ref="AA73" r:id="rId44" xr:uid="{01E9A13D-E8D5-4DFD-9168-EEF3183643CB}"/>
    <hyperlink ref="AA74" r:id="rId45" xr:uid="{92B1D9B3-AB0C-47EB-A120-6694C512798C}"/>
    <hyperlink ref="AA75" r:id="rId46" xr:uid="{0365E211-411E-4CF8-A749-558EBE259E07}"/>
    <hyperlink ref="AA76" r:id="rId47" xr:uid="{60863B3C-18F4-4303-B391-F759F90EC147}"/>
    <hyperlink ref="AA77" r:id="rId48" xr:uid="{6035DA86-DE31-45CC-A84C-9317AE48F791}"/>
    <hyperlink ref="AA78" r:id="rId49" xr:uid="{47A278EF-EBD7-4BC4-98F7-0CAACDE25AC5}"/>
    <hyperlink ref="AA4" r:id="rId50" xr:uid="{C0F51862-4BD9-47BE-B80B-EA1D3B791C3B}"/>
    <hyperlink ref="AA80" r:id="rId51" xr:uid="{7C4A647A-0AF1-4A60-B317-DC59746D2F20}"/>
    <hyperlink ref="AA82" r:id="rId52" xr:uid="{1309F11B-DA60-432A-B12A-219CD673D1E8}"/>
    <hyperlink ref="W85" r:id="rId53" display="mailto:chandrayash99@gmail.com" xr:uid="{547ECFA0-6340-4A5D-A95D-B3DD0C76B0A1}"/>
    <hyperlink ref="AA87" r:id="rId54" xr:uid="{55B7E3B5-EC7B-4AC2-96CA-9E98A24D608D}"/>
    <hyperlink ref="AA19" r:id="rId55" xr:uid="{1547EED4-746F-48D0-B689-F6B91253BE60}"/>
    <hyperlink ref="W89" r:id="rId56" display="mailto:heetrana1782001@gmail.com" xr:uid="{6A2F849E-0A56-41E7-ADA3-F6693E4036DC}"/>
    <hyperlink ref="AA90" r:id="rId57" xr:uid="{08D95799-1B09-485E-8B58-865516C8FF90}"/>
    <hyperlink ref="W90" r:id="rId58" xr:uid="{B963A9B2-5CDC-4D42-BCD5-5A6D96D6FF44}"/>
    <hyperlink ref="AA91" r:id="rId59" xr:uid="{13DFD218-007E-4B72-9BE1-4F4207F6E9F3}"/>
    <hyperlink ref="AA92" r:id="rId60" xr:uid="{E776905F-1CB3-4CE3-9003-03951AE49879}"/>
    <hyperlink ref="W92" r:id="rId61" xr:uid="{9666D6A3-071A-4348-A9E5-C1273277A564}"/>
    <hyperlink ref="W91" r:id="rId62" xr:uid="{B31EE13A-6394-495B-A535-763CDEF25CD9}"/>
    <hyperlink ref="AA99" r:id="rId63" xr:uid="{6042FEB8-B9A1-4074-A100-AE707091438A}"/>
    <hyperlink ref="W99" r:id="rId64" xr:uid="{820A3AEE-7B1C-44CD-A00F-ED27FD96CFB5}"/>
    <hyperlink ref="W102" r:id="rId65" xr:uid="{75A18A91-F79E-42F7-A09E-D62FD99B78A2}"/>
    <hyperlink ref="AA102" r:id="rId66" xr:uid="{DAAF11A8-D1E3-4B2E-8288-EDB1A8173E43}"/>
    <hyperlink ref="AA103" r:id="rId67" xr:uid="{9C3D3D64-E385-4600-ADFB-2674F9C41B94}"/>
    <hyperlink ref="W104" r:id="rId68" xr:uid="{65A7FDE0-EFF2-44E7-A6DC-D75591171B04}"/>
    <hyperlink ref="AA104" r:id="rId69" xr:uid="{793BE3E3-48F6-49F2-9DC4-5DF2554AD86E}"/>
    <hyperlink ref="W105" r:id="rId70" xr:uid="{E02699E9-C055-4A56-8963-D3C0C98E58F0}"/>
    <hyperlink ref="AA105" r:id="rId71" xr:uid="{02B494AC-705C-4151-92AA-E0873F9F475A}"/>
    <hyperlink ref="W106" r:id="rId72" xr:uid="{345D0980-AAC7-4C27-A099-9992E3BF9A3B}"/>
    <hyperlink ref="AA106" r:id="rId73" xr:uid="{BBECE769-5F93-4572-A92C-CB160E33597F}"/>
    <hyperlink ref="W107" r:id="rId74" xr:uid="{B6F57FEA-AC4E-4C3E-B4BF-D90F38044CD9}"/>
    <hyperlink ref="AA107" r:id="rId75" xr:uid="{E213FEBA-0A25-4C8A-B400-C22814292F15}"/>
    <hyperlink ref="AA108" r:id="rId76" xr:uid="{EE7E76F2-A88C-4210-994F-CD387808C322}"/>
    <hyperlink ref="W109" r:id="rId77" xr:uid="{31667B78-CF00-4D68-AD64-7B1397DC98B4}"/>
    <hyperlink ref="AA109" r:id="rId78" xr:uid="{29F8DF76-7C51-4100-AF66-A58F0C43A802}"/>
    <hyperlink ref="W110" r:id="rId79" xr:uid="{0AA6B1B1-63FF-4C75-8ED3-45F7C38C63A7}"/>
    <hyperlink ref="AA110" r:id="rId80" xr:uid="{08298301-9412-46EC-9A6B-3E3C30582ABA}"/>
    <hyperlink ref="AA111" r:id="rId81" xr:uid="{9FB609E9-16FA-42C2-83B5-9AD9B74CA635}"/>
    <hyperlink ref="AA112" r:id="rId82" xr:uid="{5E2A2221-3BF5-43BC-B4DF-DD1D130267D8}"/>
  </hyperlinks>
  <pageMargins left="0.7" right="0.7" top="0.75" bottom="0.75" header="0" footer="0"/>
  <pageSetup orientation="portrait" r:id="rId83"/>
  <tableParts count="1">
    <tablePart r:id="rId8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Hierarchy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Pandey</dc:creator>
  <cp:lastModifiedBy>Dhruv</cp:lastModifiedBy>
  <dcterms:created xsi:type="dcterms:W3CDTF">2026-06-01T09:21:09Z</dcterms:created>
  <dcterms:modified xsi:type="dcterms:W3CDTF">2026-06-01T09:37:05Z</dcterms:modified>
</cp:coreProperties>
</file>